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a957bc5ab12bfd/Documentos/AUXILIAR DE INGENIERIA/ALUMBRADO PUBLICO/"/>
    </mc:Choice>
  </mc:AlternateContent>
  <xr:revisionPtr revIDLastSave="952" documentId="8_{B30A0AD4-F18E-4638-B831-74396F878B25}" xr6:coauthVersionLast="47" xr6:coauthVersionMax="47" xr10:uidLastSave="{B19D96B1-3ED5-4CA1-ACC6-71FD7D126860}"/>
  <bookViews>
    <workbookView xWindow="-120" yWindow="-120" windowWidth="29040" windowHeight="15720" activeTab="1" xr2:uid="{63B72870-8AEC-49DB-A67F-6DEE75C377E1}"/>
  </bookViews>
  <sheets>
    <sheet name="RESUMEN" sheetId="1" r:id="rId1"/>
    <sheet name="9958" sheetId="2" r:id="rId2"/>
  </sheets>
  <definedNames>
    <definedName name="_xlnm._FilterDatabase" localSheetId="1" hidden="1">'9958'!$B$10:$U$336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24" i="2" l="1"/>
  <c r="E325" i="2"/>
  <c r="E326" i="2"/>
  <c r="E323" i="2"/>
  <c r="E321" i="2"/>
  <c r="E320" i="2"/>
  <c r="E319" i="2"/>
  <c r="E318" i="2"/>
  <c r="E317" i="2"/>
  <c r="E316" i="2"/>
  <c r="E315" i="2"/>
  <c r="E313" i="2"/>
  <c r="E312" i="2"/>
  <c r="E311" i="2"/>
  <c r="E309" i="2"/>
  <c r="E310" i="2"/>
  <c r="E308" i="2"/>
  <c r="E307" i="2"/>
  <c r="E305" i="2"/>
  <c r="E304" i="2" l="1"/>
  <c r="E296" i="2"/>
  <c r="E297" i="2"/>
  <c r="E295" i="2"/>
  <c r="E291" i="2"/>
  <c r="E286" i="2"/>
  <c r="E285" i="2"/>
  <c r="E283" i="2"/>
  <c r="E276" i="2"/>
  <c r="E274" i="2"/>
  <c r="E266" i="2"/>
  <c r="E265" i="2"/>
  <c r="E254" i="2"/>
  <c r="E227" i="2"/>
  <c r="E209" i="2"/>
  <c r="D259" i="2"/>
  <c r="E259" i="2"/>
  <c r="D258" i="2"/>
  <c r="E258" i="2"/>
  <c r="E253" i="2"/>
  <c r="E252" i="2"/>
  <c r="E251" i="2"/>
  <c r="E242" i="2"/>
  <c r="E238" i="2"/>
  <c r="E239" i="2" s="1"/>
  <c r="E228" i="2"/>
  <c r="E215" i="2"/>
  <c r="E211" i="2"/>
  <c r="E213" i="2"/>
  <c r="E214" i="2"/>
  <c r="E212" i="2"/>
  <c r="D263" i="2" l="1"/>
  <c r="H258" i="1" s="1"/>
  <c r="H254" i="1"/>
  <c r="D207" i="2"/>
  <c r="H202" i="1" s="1"/>
  <c r="D208" i="2"/>
  <c r="H203" i="1" s="1"/>
  <c r="D209" i="2"/>
  <c r="H204" i="1" s="1"/>
  <c r="D210" i="2"/>
  <c r="H205" i="1" s="1"/>
  <c r="D211" i="2"/>
  <c r="H206" i="1" s="1"/>
  <c r="D212" i="2"/>
  <c r="H207" i="1" s="1"/>
  <c r="D213" i="2"/>
  <c r="H208" i="1" s="1"/>
  <c r="D214" i="2"/>
  <c r="H209" i="1" s="1"/>
  <c r="D215" i="2"/>
  <c r="H210" i="1" s="1"/>
  <c r="D216" i="2"/>
  <c r="H211" i="1" s="1"/>
  <c r="D217" i="2"/>
  <c r="H212" i="1" s="1"/>
  <c r="D218" i="2"/>
  <c r="H213" i="1" s="1"/>
  <c r="D219" i="2"/>
  <c r="H214" i="1" s="1"/>
  <c r="D220" i="2"/>
  <c r="H215" i="1" s="1"/>
  <c r="D221" i="2"/>
  <c r="H216" i="1" s="1"/>
  <c r="D222" i="2"/>
  <c r="H217" i="1" s="1"/>
  <c r="D223" i="2"/>
  <c r="H218" i="1" s="1"/>
  <c r="D224" i="2"/>
  <c r="H219" i="1" s="1"/>
  <c r="D225" i="2"/>
  <c r="H220" i="1" s="1"/>
  <c r="D226" i="2"/>
  <c r="H221" i="1" s="1"/>
  <c r="D227" i="2"/>
  <c r="H222" i="1" s="1"/>
  <c r="D228" i="2"/>
  <c r="H223" i="1" s="1"/>
  <c r="D229" i="2"/>
  <c r="H224" i="1" s="1"/>
  <c r="D231" i="2"/>
  <c r="H226" i="1" s="1"/>
  <c r="D232" i="2"/>
  <c r="H227" i="1" s="1"/>
  <c r="D233" i="2"/>
  <c r="H228" i="1" s="1"/>
  <c r="D234" i="2"/>
  <c r="H229" i="1" s="1"/>
  <c r="D235" i="2"/>
  <c r="H230" i="1" s="1"/>
  <c r="D236" i="2"/>
  <c r="H231" i="1" s="1"/>
  <c r="D237" i="2"/>
  <c r="H232" i="1" s="1"/>
  <c r="D238" i="2"/>
  <c r="H233" i="1" s="1"/>
  <c r="D239" i="2"/>
  <c r="H234" i="1" s="1"/>
  <c r="D240" i="2"/>
  <c r="H235" i="1" s="1"/>
  <c r="D241" i="2"/>
  <c r="H236" i="1" s="1"/>
  <c r="D242" i="2"/>
  <c r="H237" i="1" s="1"/>
  <c r="D243" i="2"/>
  <c r="H238" i="1" s="1"/>
  <c r="D244" i="2"/>
  <c r="H239" i="1" s="1"/>
  <c r="D245" i="2"/>
  <c r="H240" i="1" s="1"/>
  <c r="D246" i="2"/>
  <c r="H241" i="1" s="1"/>
  <c r="D247" i="2"/>
  <c r="H242" i="1" s="1"/>
  <c r="D248" i="2"/>
  <c r="H243" i="1" s="1"/>
  <c r="D249" i="2"/>
  <c r="H244" i="1" s="1"/>
  <c r="D250" i="2"/>
  <c r="H245" i="1" s="1"/>
  <c r="D251" i="2"/>
  <c r="H246" i="1" s="1"/>
  <c r="D252" i="2"/>
  <c r="H247" i="1" s="1"/>
  <c r="D253" i="2"/>
  <c r="H248" i="1" s="1"/>
  <c r="D254" i="2"/>
  <c r="H249" i="1" s="1"/>
  <c r="D255" i="2"/>
  <c r="H250" i="1" s="1"/>
  <c r="D256" i="2"/>
  <c r="H251" i="1" s="1"/>
  <c r="D257" i="2"/>
  <c r="H252" i="1" s="1"/>
  <c r="H253" i="1"/>
  <c r="D260" i="2"/>
  <c r="H255" i="1" s="1"/>
  <c r="D261" i="2"/>
  <c r="H256" i="1" s="1"/>
  <c r="D262" i="2"/>
  <c r="H257" i="1" s="1"/>
  <c r="D264" i="2"/>
  <c r="H259" i="1" s="1"/>
  <c r="D265" i="2"/>
  <c r="H260" i="1" s="1"/>
  <c r="G260" i="1" s="1"/>
  <c r="D266" i="2"/>
  <c r="H261" i="1" s="1"/>
  <c r="D267" i="2"/>
  <c r="H262" i="1" s="1"/>
  <c r="D268" i="2"/>
  <c r="H263" i="1" s="1"/>
  <c r="D269" i="2"/>
  <c r="H264" i="1" s="1"/>
  <c r="D270" i="2"/>
  <c r="H265" i="1" s="1"/>
  <c r="D271" i="2"/>
  <c r="H266" i="1" s="1"/>
  <c r="G266" i="1" s="1"/>
  <c r="D272" i="2"/>
  <c r="H267" i="1" s="1"/>
  <c r="D273" i="2"/>
  <c r="H268" i="1" s="1"/>
  <c r="D274" i="2"/>
  <c r="H269" i="1" s="1"/>
  <c r="D275" i="2"/>
  <c r="H270" i="1" s="1"/>
  <c r="D276" i="2"/>
  <c r="H271" i="1" s="1"/>
  <c r="D277" i="2"/>
  <c r="H272" i="1" s="1"/>
  <c r="G272" i="1" s="1"/>
  <c r="D278" i="2"/>
  <c r="H273" i="1" s="1"/>
  <c r="D279" i="2"/>
  <c r="H274" i="1" s="1"/>
  <c r="D280" i="2"/>
  <c r="H275" i="1" s="1"/>
  <c r="D281" i="2"/>
  <c r="H276" i="1" s="1"/>
  <c r="D282" i="2"/>
  <c r="H277" i="1" s="1"/>
  <c r="D283" i="2"/>
  <c r="H278" i="1" s="1"/>
  <c r="G278" i="1" s="1"/>
  <c r="D284" i="2"/>
  <c r="H279" i="1" s="1"/>
  <c r="D285" i="2"/>
  <c r="H280" i="1" s="1"/>
  <c r="D286" i="2"/>
  <c r="H281" i="1" s="1"/>
  <c r="D287" i="2"/>
  <c r="H282" i="1" s="1"/>
  <c r="D288" i="2"/>
  <c r="H283" i="1" s="1"/>
  <c r="D289" i="2"/>
  <c r="H284" i="1" s="1"/>
  <c r="G284" i="1" s="1"/>
  <c r="D290" i="2"/>
  <c r="H285" i="1" s="1"/>
  <c r="D291" i="2"/>
  <c r="H286" i="1" s="1"/>
  <c r="D292" i="2"/>
  <c r="H287" i="1" s="1"/>
  <c r="D293" i="2"/>
  <c r="H288" i="1" s="1"/>
  <c r="D294" i="2"/>
  <c r="H289" i="1" s="1"/>
  <c r="D295" i="2"/>
  <c r="H290" i="1" s="1"/>
  <c r="G290" i="1" s="1"/>
  <c r="D296" i="2"/>
  <c r="H291" i="1" s="1"/>
  <c r="D297" i="2"/>
  <c r="H292" i="1" s="1"/>
  <c r="D298" i="2"/>
  <c r="H293" i="1" s="1"/>
  <c r="D299" i="2"/>
  <c r="H294" i="1" s="1"/>
  <c r="D300" i="2"/>
  <c r="H295" i="1" s="1"/>
  <c r="D301" i="2"/>
  <c r="H296" i="1" s="1"/>
  <c r="G296" i="1" s="1"/>
  <c r="D302" i="2"/>
  <c r="H297" i="1" s="1"/>
  <c r="D303" i="2"/>
  <c r="H298" i="1" s="1"/>
  <c r="D304" i="2"/>
  <c r="H299" i="1" s="1"/>
  <c r="D305" i="2"/>
  <c r="H300" i="1" s="1"/>
  <c r="D306" i="2"/>
  <c r="H301" i="1" s="1"/>
  <c r="D307" i="2"/>
  <c r="H302" i="1" s="1"/>
  <c r="G302" i="1" s="1"/>
  <c r="D308" i="2"/>
  <c r="H303" i="1" s="1"/>
  <c r="D309" i="2"/>
  <c r="H304" i="1" s="1"/>
  <c r="D310" i="2"/>
  <c r="H305" i="1" s="1"/>
  <c r="D311" i="2"/>
  <c r="H306" i="1" s="1"/>
  <c r="D312" i="2"/>
  <c r="H307" i="1" s="1"/>
  <c r="D313" i="2"/>
  <c r="H308" i="1" s="1"/>
  <c r="G308" i="1" s="1"/>
  <c r="D314" i="2"/>
  <c r="H309" i="1" s="1"/>
  <c r="D315" i="2"/>
  <c r="H310" i="1" s="1"/>
  <c r="D316" i="2"/>
  <c r="H311" i="1" s="1"/>
  <c r="D317" i="2"/>
  <c r="H312" i="1" s="1"/>
  <c r="D318" i="2"/>
  <c r="H313" i="1" s="1"/>
  <c r="D319" i="2"/>
  <c r="H314" i="1" s="1"/>
  <c r="G314" i="1" s="1"/>
  <c r="D320" i="2"/>
  <c r="H315" i="1" s="1"/>
  <c r="D321" i="2"/>
  <c r="H316" i="1" s="1"/>
  <c r="D322" i="2"/>
  <c r="H317" i="1" s="1"/>
  <c r="D323" i="2"/>
  <c r="H318" i="1" s="1"/>
  <c r="D324" i="2"/>
  <c r="H319" i="1" s="1"/>
  <c r="D325" i="2"/>
  <c r="H320" i="1" s="1"/>
  <c r="G320" i="1" s="1"/>
  <c r="D326" i="2"/>
  <c r="H321" i="1" s="1"/>
  <c r="D327" i="2"/>
  <c r="H322" i="1" s="1"/>
  <c r="D328" i="2"/>
  <c r="H323" i="1" s="1"/>
  <c r="D329" i="2"/>
  <c r="H324" i="1" s="1"/>
  <c r="D330" i="2"/>
  <c r="H325" i="1" s="1"/>
  <c r="D331" i="2"/>
  <c r="H326" i="1" s="1"/>
  <c r="G326" i="1" s="1"/>
  <c r="D332" i="2"/>
  <c r="H327" i="1" s="1"/>
  <c r="D333" i="2"/>
  <c r="H328" i="1" s="1"/>
  <c r="D334" i="2"/>
  <c r="H329" i="1" s="1"/>
  <c r="D335" i="2"/>
  <c r="H330" i="1" s="1"/>
  <c r="D336" i="2"/>
  <c r="H331" i="1" s="1"/>
  <c r="D12" i="2"/>
  <c r="H7" i="1" s="1"/>
  <c r="D13" i="2"/>
  <c r="H8" i="1" s="1"/>
  <c r="D14" i="2"/>
  <c r="H9" i="1" s="1"/>
  <c r="D15" i="2"/>
  <c r="H10" i="1" s="1"/>
  <c r="D16" i="2"/>
  <c r="H11" i="1" s="1"/>
  <c r="D17" i="2"/>
  <c r="H12" i="1" s="1"/>
  <c r="G12" i="1" s="1"/>
  <c r="F12" i="1" s="1"/>
  <c r="D18" i="2"/>
  <c r="H13" i="1" s="1"/>
  <c r="D19" i="2"/>
  <c r="H14" i="1" s="1"/>
  <c r="D20" i="2"/>
  <c r="H15" i="1" s="1"/>
  <c r="D21" i="2"/>
  <c r="H16" i="1" s="1"/>
  <c r="D22" i="2"/>
  <c r="H17" i="1" s="1"/>
  <c r="D23" i="2"/>
  <c r="H18" i="1" s="1"/>
  <c r="D24" i="2"/>
  <c r="H19" i="1" s="1"/>
  <c r="D25" i="2"/>
  <c r="H20" i="1" s="1"/>
  <c r="D26" i="2"/>
  <c r="H21" i="1" s="1"/>
  <c r="D27" i="2"/>
  <c r="H22" i="1" s="1"/>
  <c r="D28" i="2"/>
  <c r="H23" i="1" s="1"/>
  <c r="D29" i="2"/>
  <c r="H24" i="1" s="1"/>
  <c r="G24" i="1" s="1"/>
  <c r="F24" i="1" s="1"/>
  <c r="D30" i="2"/>
  <c r="H25" i="1" s="1"/>
  <c r="D31" i="2"/>
  <c r="H26" i="1" s="1"/>
  <c r="D32" i="2"/>
  <c r="H27" i="1" s="1"/>
  <c r="D33" i="2"/>
  <c r="H28" i="1" s="1"/>
  <c r="D34" i="2"/>
  <c r="H29" i="1" s="1"/>
  <c r="D35" i="2"/>
  <c r="H30" i="1" s="1"/>
  <c r="D36" i="2"/>
  <c r="H31" i="1" s="1"/>
  <c r="D37" i="2"/>
  <c r="H32" i="1" s="1"/>
  <c r="D38" i="2"/>
  <c r="H33" i="1" s="1"/>
  <c r="D39" i="2"/>
  <c r="H34" i="1" s="1"/>
  <c r="D40" i="2"/>
  <c r="H35" i="1" s="1"/>
  <c r="D41" i="2"/>
  <c r="H36" i="1" s="1"/>
  <c r="D42" i="2"/>
  <c r="H37" i="1" s="1"/>
  <c r="D43" i="2"/>
  <c r="H38" i="1" s="1"/>
  <c r="D44" i="2"/>
  <c r="H39" i="1" s="1"/>
  <c r="D45" i="2"/>
  <c r="H40" i="1" s="1"/>
  <c r="D46" i="2"/>
  <c r="H41" i="1" s="1"/>
  <c r="D47" i="2"/>
  <c r="H42" i="1" s="1"/>
  <c r="D48" i="2"/>
  <c r="H43" i="1" s="1"/>
  <c r="D49" i="2"/>
  <c r="H44" i="1" s="1"/>
  <c r="D50" i="2"/>
  <c r="H45" i="1" s="1"/>
  <c r="D51" i="2"/>
  <c r="H46" i="1" s="1"/>
  <c r="D52" i="2"/>
  <c r="H47" i="1" s="1"/>
  <c r="D53" i="2"/>
  <c r="H48" i="1" s="1"/>
  <c r="G48" i="1" s="1"/>
  <c r="F48" i="1" s="1"/>
  <c r="D54" i="2"/>
  <c r="H49" i="1" s="1"/>
  <c r="D55" i="2"/>
  <c r="H50" i="1" s="1"/>
  <c r="D56" i="2"/>
  <c r="H51" i="1" s="1"/>
  <c r="D57" i="2"/>
  <c r="H52" i="1" s="1"/>
  <c r="D58" i="2"/>
  <c r="H53" i="1" s="1"/>
  <c r="D59" i="2"/>
  <c r="H54" i="1" s="1"/>
  <c r="G54" i="1" s="1"/>
  <c r="F54" i="1" s="1"/>
  <c r="D60" i="2"/>
  <c r="H55" i="1" s="1"/>
  <c r="D61" i="2"/>
  <c r="H56" i="1" s="1"/>
  <c r="D62" i="2"/>
  <c r="H57" i="1" s="1"/>
  <c r="D63" i="2"/>
  <c r="H58" i="1" s="1"/>
  <c r="D64" i="2"/>
  <c r="H59" i="1" s="1"/>
  <c r="D65" i="2"/>
  <c r="H60" i="1" s="1"/>
  <c r="G60" i="1" s="1"/>
  <c r="F60" i="1" s="1"/>
  <c r="D66" i="2"/>
  <c r="H61" i="1" s="1"/>
  <c r="D67" i="2"/>
  <c r="H62" i="1" s="1"/>
  <c r="D68" i="2"/>
  <c r="H63" i="1" s="1"/>
  <c r="D69" i="2"/>
  <c r="H64" i="1" s="1"/>
  <c r="D70" i="2"/>
  <c r="H65" i="1" s="1"/>
  <c r="D71" i="2"/>
  <c r="H66" i="1" s="1"/>
  <c r="G66" i="1" s="1"/>
  <c r="F66" i="1" s="1"/>
  <c r="D72" i="2"/>
  <c r="H67" i="1" s="1"/>
  <c r="D73" i="2"/>
  <c r="H68" i="1" s="1"/>
  <c r="D74" i="2"/>
  <c r="H69" i="1" s="1"/>
  <c r="D75" i="2"/>
  <c r="H70" i="1" s="1"/>
  <c r="D76" i="2"/>
  <c r="H71" i="1" s="1"/>
  <c r="D77" i="2"/>
  <c r="H72" i="1" s="1"/>
  <c r="D78" i="2"/>
  <c r="H73" i="1" s="1"/>
  <c r="D79" i="2"/>
  <c r="H74" i="1" s="1"/>
  <c r="D80" i="2"/>
  <c r="H75" i="1" s="1"/>
  <c r="D81" i="2"/>
  <c r="H76" i="1" s="1"/>
  <c r="D82" i="2"/>
  <c r="H77" i="1" s="1"/>
  <c r="D83" i="2"/>
  <c r="H78" i="1" s="1"/>
  <c r="D84" i="2"/>
  <c r="H79" i="1" s="1"/>
  <c r="D85" i="2"/>
  <c r="H80" i="1" s="1"/>
  <c r="D86" i="2"/>
  <c r="H81" i="1" s="1"/>
  <c r="D87" i="2"/>
  <c r="H82" i="1" s="1"/>
  <c r="D88" i="2"/>
  <c r="H83" i="1" s="1"/>
  <c r="D89" i="2"/>
  <c r="H84" i="1" s="1"/>
  <c r="D90" i="2"/>
  <c r="H85" i="1" s="1"/>
  <c r="D91" i="2"/>
  <c r="H86" i="1" s="1"/>
  <c r="D92" i="2"/>
  <c r="H87" i="1" s="1"/>
  <c r="D93" i="2"/>
  <c r="H88" i="1" s="1"/>
  <c r="D94" i="2"/>
  <c r="H89" i="1" s="1"/>
  <c r="D95" i="2"/>
  <c r="H90" i="1" s="1"/>
  <c r="G90" i="1" s="1"/>
  <c r="F90" i="1" s="1"/>
  <c r="D96" i="2"/>
  <c r="H91" i="1" s="1"/>
  <c r="D97" i="2"/>
  <c r="H92" i="1" s="1"/>
  <c r="D98" i="2"/>
  <c r="H93" i="1" s="1"/>
  <c r="D99" i="2"/>
  <c r="H94" i="1" s="1"/>
  <c r="D100" i="2"/>
  <c r="H95" i="1" s="1"/>
  <c r="D101" i="2"/>
  <c r="H96" i="1" s="1"/>
  <c r="D102" i="2"/>
  <c r="H97" i="1" s="1"/>
  <c r="D103" i="2"/>
  <c r="H98" i="1" s="1"/>
  <c r="D104" i="2"/>
  <c r="H99" i="1" s="1"/>
  <c r="D105" i="2"/>
  <c r="H100" i="1" s="1"/>
  <c r="D106" i="2"/>
  <c r="H101" i="1" s="1"/>
  <c r="D107" i="2"/>
  <c r="H102" i="1" s="1"/>
  <c r="G102" i="1" s="1"/>
  <c r="F102" i="1" s="1"/>
  <c r="D108" i="2"/>
  <c r="H103" i="1" s="1"/>
  <c r="D109" i="2"/>
  <c r="H104" i="1" s="1"/>
  <c r="D110" i="2"/>
  <c r="H105" i="1" s="1"/>
  <c r="D111" i="2"/>
  <c r="H106" i="1" s="1"/>
  <c r="D112" i="2"/>
  <c r="H107" i="1" s="1"/>
  <c r="D113" i="2"/>
  <c r="H108" i="1" s="1"/>
  <c r="G108" i="1" s="1"/>
  <c r="F108" i="1" s="1"/>
  <c r="D114" i="2"/>
  <c r="H109" i="1" s="1"/>
  <c r="D115" i="2"/>
  <c r="H110" i="1" s="1"/>
  <c r="D116" i="2"/>
  <c r="H111" i="1" s="1"/>
  <c r="D117" i="2"/>
  <c r="H112" i="1" s="1"/>
  <c r="D118" i="2"/>
  <c r="H113" i="1" s="1"/>
  <c r="D119" i="2"/>
  <c r="H114" i="1" s="1"/>
  <c r="G114" i="1" s="1"/>
  <c r="F114" i="1" s="1"/>
  <c r="D120" i="2"/>
  <c r="H115" i="1" s="1"/>
  <c r="D121" i="2"/>
  <c r="H116" i="1" s="1"/>
  <c r="D122" i="2"/>
  <c r="H117" i="1" s="1"/>
  <c r="D123" i="2"/>
  <c r="H118" i="1" s="1"/>
  <c r="D124" i="2"/>
  <c r="H119" i="1" s="1"/>
  <c r="D125" i="2"/>
  <c r="H120" i="1" s="1"/>
  <c r="D126" i="2"/>
  <c r="H121" i="1" s="1"/>
  <c r="D127" i="2"/>
  <c r="H122" i="1" s="1"/>
  <c r="D128" i="2"/>
  <c r="H123" i="1" s="1"/>
  <c r="D129" i="2"/>
  <c r="H124" i="1" s="1"/>
  <c r="D130" i="2"/>
  <c r="H125" i="1" s="1"/>
  <c r="D131" i="2"/>
  <c r="H126" i="1" s="1"/>
  <c r="G126" i="1" s="1"/>
  <c r="F126" i="1" s="1"/>
  <c r="D132" i="2"/>
  <c r="H127" i="1" s="1"/>
  <c r="D133" i="2"/>
  <c r="H128" i="1" s="1"/>
  <c r="D134" i="2"/>
  <c r="H129" i="1" s="1"/>
  <c r="D135" i="2"/>
  <c r="H130" i="1" s="1"/>
  <c r="D136" i="2"/>
  <c r="H131" i="1" s="1"/>
  <c r="D137" i="2"/>
  <c r="H132" i="1" s="1"/>
  <c r="G132" i="1" s="1"/>
  <c r="F132" i="1" s="1"/>
  <c r="D138" i="2"/>
  <c r="H133" i="1" s="1"/>
  <c r="D139" i="2"/>
  <c r="H134" i="1" s="1"/>
  <c r="D140" i="2"/>
  <c r="H135" i="1" s="1"/>
  <c r="D141" i="2"/>
  <c r="H136" i="1" s="1"/>
  <c r="D142" i="2"/>
  <c r="H137" i="1" s="1"/>
  <c r="D143" i="2"/>
  <c r="H138" i="1" s="1"/>
  <c r="G138" i="1" s="1"/>
  <c r="F138" i="1" s="1"/>
  <c r="D144" i="2"/>
  <c r="H139" i="1" s="1"/>
  <c r="D145" i="2"/>
  <c r="H140" i="1" s="1"/>
  <c r="D146" i="2"/>
  <c r="H141" i="1" s="1"/>
  <c r="D147" i="2"/>
  <c r="H142" i="1" s="1"/>
  <c r="D148" i="2"/>
  <c r="H143" i="1" s="1"/>
  <c r="D149" i="2"/>
  <c r="H144" i="1" s="1"/>
  <c r="G144" i="1" s="1"/>
  <c r="F144" i="1" s="1"/>
  <c r="D150" i="2"/>
  <c r="H145" i="1" s="1"/>
  <c r="D151" i="2"/>
  <c r="H146" i="1" s="1"/>
  <c r="D152" i="2"/>
  <c r="H147" i="1" s="1"/>
  <c r="D153" i="2"/>
  <c r="H148" i="1" s="1"/>
  <c r="D154" i="2"/>
  <c r="H149" i="1" s="1"/>
  <c r="D155" i="2"/>
  <c r="H150" i="1" s="1"/>
  <c r="G150" i="1" s="1"/>
  <c r="F150" i="1" s="1"/>
  <c r="D156" i="2"/>
  <c r="H151" i="1" s="1"/>
  <c r="D157" i="2"/>
  <c r="H152" i="1" s="1"/>
  <c r="D158" i="2"/>
  <c r="H153" i="1" s="1"/>
  <c r="D159" i="2"/>
  <c r="H154" i="1" s="1"/>
  <c r="D160" i="2"/>
  <c r="H155" i="1" s="1"/>
  <c r="D161" i="2"/>
  <c r="H156" i="1" s="1"/>
  <c r="G156" i="1" s="1"/>
  <c r="F156" i="1" s="1"/>
  <c r="D162" i="2"/>
  <c r="H157" i="1" s="1"/>
  <c r="D163" i="2"/>
  <c r="H158" i="1" s="1"/>
  <c r="D164" i="2"/>
  <c r="H159" i="1" s="1"/>
  <c r="D165" i="2"/>
  <c r="H160" i="1" s="1"/>
  <c r="D166" i="2"/>
  <c r="H161" i="1" s="1"/>
  <c r="D167" i="2"/>
  <c r="H162" i="1" s="1"/>
  <c r="G162" i="1" s="1"/>
  <c r="F162" i="1" s="1"/>
  <c r="D168" i="2"/>
  <c r="H163" i="1" s="1"/>
  <c r="D169" i="2"/>
  <c r="H164" i="1" s="1"/>
  <c r="D170" i="2"/>
  <c r="H165" i="1" s="1"/>
  <c r="D171" i="2"/>
  <c r="H166" i="1" s="1"/>
  <c r="D172" i="2"/>
  <c r="H167" i="1" s="1"/>
  <c r="D173" i="2"/>
  <c r="H168" i="1" s="1"/>
  <c r="G168" i="1" s="1"/>
  <c r="F168" i="1" s="1"/>
  <c r="D174" i="2"/>
  <c r="H169" i="1" s="1"/>
  <c r="D175" i="2"/>
  <c r="H170" i="1" s="1"/>
  <c r="D176" i="2"/>
  <c r="H171" i="1" s="1"/>
  <c r="D177" i="2"/>
  <c r="H172" i="1" s="1"/>
  <c r="D178" i="2"/>
  <c r="H173" i="1" s="1"/>
  <c r="D179" i="2"/>
  <c r="H174" i="1" s="1"/>
  <c r="G174" i="1" s="1"/>
  <c r="F174" i="1" s="1"/>
  <c r="D180" i="2"/>
  <c r="H175" i="1" s="1"/>
  <c r="D181" i="2"/>
  <c r="H176" i="1" s="1"/>
  <c r="D182" i="2"/>
  <c r="H177" i="1" s="1"/>
  <c r="D183" i="2"/>
  <c r="H178" i="1" s="1"/>
  <c r="D184" i="2"/>
  <c r="H179" i="1" s="1"/>
  <c r="D185" i="2"/>
  <c r="H180" i="1" s="1"/>
  <c r="G180" i="1" s="1"/>
  <c r="F180" i="1" s="1"/>
  <c r="D186" i="2"/>
  <c r="D187" i="2"/>
  <c r="H182" i="1" s="1"/>
  <c r="D188" i="2"/>
  <c r="H183" i="1" s="1"/>
  <c r="D189" i="2"/>
  <c r="H184" i="1" s="1"/>
  <c r="D190" i="2"/>
  <c r="H185" i="1" s="1"/>
  <c r="D191" i="2"/>
  <c r="H186" i="1" s="1"/>
  <c r="G186" i="1" s="1"/>
  <c r="F186" i="1" s="1"/>
  <c r="D192" i="2"/>
  <c r="H187" i="1" s="1"/>
  <c r="D193" i="2"/>
  <c r="H188" i="1" s="1"/>
  <c r="D194" i="2"/>
  <c r="H189" i="1" s="1"/>
  <c r="D195" i="2"/>
  <c r="H190" i="1" s="1"/>
  <c r="D196" i="2"/>
  <c r="H191" i="1" s="1"/>
  <c r="D197" i="2"/>
  <c r="H192" i="1" s="1"/>
  <c r="G192" i="1" s="1"/>
  <c r="F192" i="1" s="1"/>
  <c r="D198" i="2"/>
  <c r="H193" i="1" s="1"/>
  <c r="D199" i="2"/>
  <c r="H194" i="1" s="1"/>
  <c r="D200" i="2"/>
  <c r="H195" i="1" s="1"/>
  <c r="D201" i="2"/>
  <c r="H196" i="1" s="1"/>
  <c r="D202" i="2"/>
  <c r="H197" i="1" s="1"/>
  <c r="D203" i="2"/>
  <c r="H198" i="1" s="1"/>
  <c r="G198" i="1" s="1"/>
  <c r="F198" i="1" s="1"/>
  <c r="D204" i="2"/>
  <c r="H199" i="1" s="1"/>
  <c r="D205" i="2"/>
  <c r="H200" i="1" s="1"/>
  <c r="D11" i="2"/>
  <c r="H6" i="1" s="1"/>
  <c r="G6" i="1" s="1"/>
  <c r="F6" i="1" s="1"/>
  <c r="G120" i="1"/>
  <c r="F120" i="1" s="1"/>
  <c r="G96" i="1"/>
  <c r="F96" i="1" s="1"/>
  <c r="G84" i="1"/>
  <c r="F84" i="1" s="1"/>
  <c r="G78" i="1"/>
  <c r="F78" i="1" s="1"/>
  <c r="G42" i="1"/>
  <c r="F42" i="1" s="1"/>
  <c r="G36" i="1"/>
  <c r="F36" i="1" s="1"/>
  <c r="G30" i="1"/>
  <c r="F30" i="1" s="1"/>
  <c r="H181" i="1" l="1"/>
  <c r="E230" i="2"/>
  <c r="D230" i="2" s="1"/>
  <c r="H225" i="1" s="1"/>
  <c r="G116" i="1"/>
  <c r="F116" i="1" s="1"/>
  <c r="G122" i="1"/>
  <c r="F122" i="1" s="1"/>
  <c r="G134" i="1"/>
  <c r="F134" i="1" s="1"/>
  <c r="G140" i="1"/>
  <c r="F140" i="1" s="1"/>
  <c r="G146" i="1"/>
  <c r="F146" i="1" s="1"/>
  <c r="G152" i="1"/>
  <c r="F152" i="1" s="1"/>
  <c r="G158" i="1"/>
  <c r="F158" i="1" s="1"/>
  <c r="G164" i="1"/>
  <c r="F164" i="1" s="1"/>
  <c r="G170" i="1"/>
  <c r="F170" i="1" s="1"/>
  <c r="G176" i="1"/>
  <c r="F176" i="1" s="1"/>
  <c r="G182" i="1"/>
  <c r="F182" i="1" s="1"/>
  <c r="G188" i="1"/>
  <c r="F188" i="1" s="1"/>
  <c r="G194" i="1"/>
  <c r="F194" i="1" s="1"/>
  <c r="G200" i="1"/>
  <c r="F200" i="1" s="1"/>
  <c r="G13" i="1"/>
  <c r="F13" i="1" s="1"/>
  <c r="G19" i="1"/>
  <c r="F19" i="1" s="1"/>
  <c r="G31" i="1"/>
  <c r="F31" i="1" s="1"/>
  <c r="G43" i="1"/>
  <c r="F43" i="1" s="1"/>
  <c r="G49" i="1"/>
  <c r="F49" i="1" s="1"/>
  <c r="G55" i="1"/>
  <c r="F55" i="1" s="1"/>
  <c r="G67" i="1"/>
  <c r="F67" i="1" s="1"/>
  <c r="G139" i="1"/>
  <c r="F139" i="1" s="1"/>
  <c r="G151" i="1"/>
  <c r="F151" i="1" s="1"/>
  <c r="G163" i="1"/>
  <c r="F163" i="1" s="1"/>
  <c r="G169" i="1"/>
  <c r="F169" i="1" s="1"/>
  <c r="G175" i="1"/>
  <c r="F175" i="1" s="1"/>
  <c r="G7" i="1"/>
  <c r="F7" i="1" s="1"/>
  <c r="G25" i="1"/>
  <c r="F25" i="1" s="1"/>
  <c r="G37" i="1"/>
  <c r="F37" i="1" s="1"/>
  <c r="G61" i="1"/>
  <c r="F61" i="1" s="1"/>
  <c r="G21" i="1"/>
  <c r="F21" i="1" s="1"/>
  <c r="G33" i="1"/>
  <c r="F33" i="1" s="1"/>
  <c r="G51" i="1"/>
  <c r="F51" i="1" s="1"/>
  <c r="G63" i="1"/>
  <c r="F63" i="1" s="1"/>
  <c r="G69" i="1"/>
  <c r="F69" i="1" s="1"/>
  <c r="G87" i="1"/>
  <c r="F87" i="1" s="1"/>
  <c r="G99" i="1"/>
  <c r="F99" i="1" s="1"/>
  <c r="G123" i="1"/>
  <c r="F123" i="1" s="1"/>
  <c r="G141" i="1"/>
  <c r="F141" i="1" s="1"/>
  <c r="G147" i="1"/>
  <c r="F147" i="1" s="1"/>
  <c r="G159" i="1"/>
  <c r="F159" i="1" s="1"/>
  <c r="G195" i="1"/>
  <c r="F195" i="1" s="1"/>
  <c r="G15" i="1"/>
  <c r="F15" i="1" s="1"/>
  <c r="G27" i="1"/>
  <c r="F27" i="1" s="1"/>
  <c r="G39" i="1"/>
  <c r="F39" i="1" s="1"/>
  <c r="G45" i="1"/>
  <c r="F45" i="1" s="1"/>
  <c r="G57" i="1"/>
  <c r="F57" i="1" s="1"/>
  <c r="G75" i="1"/>
  <c r="F75" i="1" s="1"/>
  <c r="G81" i="1"/>
  <c r="F81" i="1" s="1"/>
  <c r="G93" i="1"/>
  <c r="F93" i="1" s="1"/>
  <c r="G117" i="1"/>
  <c r="F117" i="1" s="1"/>
  <c r="G129" i="1"/>
  <c r="F129" i="1" s="1"/>
  <c r="G135" i="1"/>
  <c r="F135" i="1" s="1"/>
  <c r="G153" i="1"/>
  <c r="F153" i="1" s="1"/>
  <c r="G165" i="1"/>
  <c r="F165" i="1" s="1"/>
  <c r="G177" i="1"/>
  <c r="F177" i="1" s="1"/>
  <c r="G183" i="1"/>
  <c r="F183" i="1" s="1"/>
  <c r="G189" i="1"/>
  <c r="F189" i="1" s="1"/>
  <c r="G239" i="1"/>
  <c r="F239" i="1" s="1"/>
  <c r="G209" i="1"/>
  <c r="F209" i="1" s="1"/>
  <c r="G251" i="1"/>
  <c r="F251" i="1" s="1"/>
  <c r="G215" i="1"/>
  <c r="F215" i="1" s="1"/>
  <c r="G245" i="1"/>
  <c r="F245" i="1" s="1"/>
  <c r="G233" i="1"/>
  <c r="F233" i="1" s="1"/>
  <c r="G227" i="1"/>
  <c r="F227" i="1" s="1"/>
  <c r="G221" i="1"/>
  <c r="F221" i="1" s="1"/>
  <c r="G203" i="1"/>
  <c r="F203" i="1" s="1"/>
  <c r="G246" i="1"/>
  <c r="F246" i="1" s="1"/>
  <c r="G240" i="1"/>
  <c r="F240" i="1" s="1"/>
  <c r="G234" i="1"/>
  <c r="F234" i="1" s="1"/>
  <c r="G228" i="1"/>
  <c r="F228" i="1" s="1"/>
  <c r="G222" i="1"/>
  <c r="F222" i="1" s="1"/>
  <c r="G216" i="1"/>
  <c r="F216" i="1" s="1"/>
  <c r="G210" i="1"/>
  <c r="F210" i="1" s="1"/>
  <c r="G204" i="1"/>
  <c r="F204" i="1" s="1"/>
  <c r="G259" i="1"/>
  <c r="F259" i="1" s="1"/>
  <c r="G202" i="1"/>
  <c r="F202" i="1" s="1"/>
  <c r="G329" i="1"/>
  <c r="F329" i="1" s="1"/>
  <c r="G323" i="1"/>
  <c r="F323" i="1" s="1"/>
  <c r="G317" i="1"/>
  <c r="F317" i="1" s="1"/>
  <c r="G311" i="1"/>
  <c r="F311" i="1" s="1"/>
  <c r="G305" i="1"/>
  <c r="F305" i="1" s="1"/>
  <c r="G299" i="1"/>
  <c r="F299" i="1" s="1"/>
  <c r="G293" i="1"/>
  <c r="F293" i="1" s="1"/>
  <c r="G287" i="1"/>
  <c r="F287" i="1" s="1"/>
  <c r="G281" i="1"/>
  <c r="F281" i="1" s="1"/>
  <c r="G275" i="1"/>
  <c r="F275" i="1" s="1"/>
  <c r="G269" i="1"/>
  <c r="F269" i="1" s="1"/>
  <c r="G263" i="1"/>
  <c r="F263" i="1" s="1"/>
  <c r="G256" i="1"/>
  <c r="F256" i="1" s="1"/>
  <c r="G249" i="1"/>
  <c r="F249" i="1" s="1"/>
  <c r="G243" i="1"/>
  <c r="F243" i="1" s="1"/>
  <c r="G237" i="1"/>
  <c r="F237" i="1" s="1"/>
  <c r="G231" i="1"/>
  <c r="F231" i="1" s="1"/>
  <c r="G225" i="1"/>
  <c r="F225" i="1" s="1"/>
  <c r="G219" i="1"/>
  <c r="F219" i="1" s="1"/>
  <c r="G213" i="1"/>
  <c r="F213" i="1" s="1"/>
  <c r="G207" i="1"/>
  <c r="F207" i="1" s="1"/>
  <c r="G254" i="1"/>
  <c r="F254" i="1" s="1"/>
  <c r="G328" i="1"/>
  <c r="F328" i="1" s="1"/>
  <c r="G322" i="1"/>
  <c r="F322" i="1" s="1"/>
  <c r="G316" i="1"/>
  <c r="F316" i="1" s="1"/>
  <c r="G310" i="1"/>
  <c r="F310" i="1" s="1"/>
  <c r="G304" i="1"/>
  <c r="F304" i="1" s="1"/>
  <c r="G298" i="1"/>
  <c r="F298" i="1" s="1"/>
  <c r="G292" i="1"/>
  <c r="F292" i="1" s="1"/>
  <c r="G286" i="1"/>
  <c r="F286" i="1" s="1"/>
  <c r="G280" i="1"/>
  <c r="F280" i="1" s="1"/>
  <c r="G274" i="1"/>
  <c r="F274" i="1" s="1"/>
  <c r="G268" i="1"/>
  <c r="F268" i="1" s="1"/>
  <c r="G262" i="1"/>
  <c r="F262" i="1" s="1"/>
  <c r="G255" i="1"/>
  <c r="F255" i="1" s="1"/>
  <c r="G248" i="1"/>
  <c r="F248" i="1" s="1"/>
  <c r="G242" i="1"/>
  <c r="G236" i="1"/>
  <c r="F236" i="1" s="1"/>
  <c r="G230" i="1"/>
  <c r="F230" i="1" s="1"/>
  <c r="G224" i="1"/>
  <c r="F224" i="1" s="1"/>
  <c r="G218" i="1"/>
  <c r="F218" i="1" s="1"/>
  <c r="G212" i="1"/>
  <c r="F212" i="1" s="1"/>
  <c r="G206" i="1"/>
  <c r="F206" i="1" s="1"/>
  <c r="G252" i="1"/>
  <c r="F252" i="1" s="1"/>
  <c r="G327" i="1"/>
  <c r="F327" i="1" s="1"/>
  <c r="G321" i="1"/>
  <c r="F321" i="1" s="1"/>
  <c r="G315" i="1"/>
  <c r="F315" i="1" s="1"/>
  <c r="G309" i="1"/>
  <c r="F309" i="1" s="1"/>
  <c r="G303" i="1"/>
  <c r="F303" i="1" s="1"/>
  <c r="G297" i="1"/>
  <c r="F297" i="1" s="1"/>
  <c r="G291" i="1"/>
  <c r="F291" i="1" s="1"/>
  <c r="G285" i="1"/>
  <c r="F285" i="1" s="1"/>
  <c r="G279" i="1"/>
  <c r="F279" i="1" s="1"/>
  <c r="G273" i="1"/>
  <c r="F273" i="1" s="1"/>
  <c r="G267" i="1"/>
  <c r="F267" i="1" s="1"/>
  <c r="G261" i="1"/>
  <c r="F261" i="1" s="1"/>
  <c r="G161" i="1"/>
  <c r="F161" i="1" s="1"/>
  <c r="G258" i="1"/>
  <c r="F258" i="1" s="1"/>
  <c r="G173" i="1"/>
  <c r="F173" i="1" s="1"/>
  <c r="G185" i="1"/>
  <c r="F185" i="1" s="1"/>
  <c r="G331" i="1"/>
  <c r="F331" i="1" s="1"/>
  <c r="G277" i="1"/>
  <c r="F277" i="1" s="1"/>
  <c r="G167" i="1"/>
  <c r="F167" i="1" s="1"/>
  <c r="G179" i="1"/>
  <c r="F179" i="1" s="1"/>
  <c r="G191" i="1"/>
  <c r="F191" i="1" s="1"/>
  <c r="G325" i="1"/>
  <c r="F325" i="1" s="1"/>
  <c r="G319" i="1"/>
  <c r="F319" i="1" s="1"/>
  <c r="G313" i="1"/>
  <c r="F313" i="1" s="1"/>
  <c r="G307" i="1"/>
  <c r="F307" i="1" s="1"/>
  <c r="G301" i="1"/>
  <c r="F301" i="1" s="1"/>
  <c r="G295" i="1"/>
  <c r="F295" i="1" s="1"/>
  <c r="G289" i="1"/>
  <c r="F289" i="1" s="1"/>
  <c r="G283" i="1"/>
  <c r="F283" i="1" s="1"/>
  <c r="G271" i="1"/>
  <c r="F271" i="1" s="1"/>
  <c r="G265" i="1"/>
  <c r="F265" i="1" s="1"/>
  <c r="G181" i="1"/>
  <c r="F181" i="1" s="1"/>
  <c r="G193" i="1"/>
  <c r="F193" i="1" s="1"/>
  <c r="G199" i="1"/>
  <c r="F199" i="1" s="1"/>
  <c r="F242" i="1"/>
  <c r="F266" i="1"/>
  <c r="F272" i="1"/>
  <c r="F278" i="1"/>
  <c r="F284" i="1"/>
  <c r="F290" i="1"/>
  <c r="F296" i="1"/>
  <c r="F302" i="1"/>
  <c r="F308" i="1"/>
  <c r="F314" i="1"/>
  <c r="F320" i="1"/>
  <c r="F326" i="1"/>
  <c r="G29" i="1"/>
  <c r="F29" i="1" s="1"/>
  <c r="G107" i="1"/>
  <c r="F107" i="1" s="1"/>
  <c r="G155" i="1"/>
  <c r="F155" i="1" s="1"/>
  <c r="G197" i="1"/>
  <c r="F197" i="1" s="1"/>
  <c r="G330" i="1"/>
  <c r="F330" i="1" s="1"/>
  <c r="G324" i="1"/>
  <c r="F324" i="1" s="1"/>
  <c r="G318" i="1"/>
  <c r="F318" i="1" s="1"/>
  <c r="G312" i="1"/>
  <c r="F312" i="1" s="1"/>
  <c r="G306" i="1"/>
  <c r="F306" i="1" s="1"/>
  <c r="G300" i="1"/>
  <c r="F300" i="1" s="1"/>
  <c r="G294" i="1"/>
  <c r="F294" i="1" s="1"/>
  <c r="G288" i="1"/>
  <c r="F288" i="1" s="1"/>
  <c r="G282" i="1"/>
  <c r="F282" i="1" s="1"/>
  <c r="G276" i="1"/>
  <c r="F276" i="1" s="1"/>
  <c r="G270" i="1"/>
  <c r="F270" i="1" s="1"/>
  <c r="G264" i="1"/>
  <c r="F264" i="1" s="1"/>
  <c r="G257" i="1"/>
  <c r="F257" i="1" s="1"/>
  <c r="G250" i="1"/>
  <c r="F250" i="1" s="1"/>
  <c r="G244" i="1"/>
  <c r="F244" i="1" s="1"/>
  <c r="G238" i="1"/>
  <c r="F238" i="1" s="1"/>
  <c r="G232" i="1"/>
  <c r="F232" i="1" s="1"/>
  <c r="G226" i="1"/>
  <c r="F226" i="1" s="1"/>
  <c r="G220" i="1"/>
  <c r="F220" i="1" s="1"/>
  <c r="G214" i="1"/>
  <c r="F214" i="1" s="1"/>
  <c r="G208" i="1"/>
  <c r="F208" i="1" s="1"/>
  <c r="G10" i="1"/>
  <c r="F10" i="1" s="1"/>
  <c r="G28" i="1"/>
  <c r="F28" i="1" s="1"/>
  <c r="G34" i="1"/>
  <c r="F34" i="1" s="1"/>
  <c r="G40" i="1"/>
  <c r="F40" i="1" s="1"/>
  <c r="G46" i="1"/>
  <c r="F46" i="1" s="1"/>
  <c r="G52" i="1"/>
  <c r="F52" i="1" s="1"/>
  <c r="G58" i="1"/>
  <c r="F58" i="1" s="1"/>
  <c r="G64" i="1"/>
  <c r="F64" i="1" s="1"/>
  <c r="G70" i="1"/>
  <c r="F70" i="1" s="1"/>
  <c r="G76" i="1"/>
  <c r="F76" i="1" s="1"/>
  <c r="G82" i="1"/>
  <c r="F82" i="1" s="1"/>
  <c r="G94" i="1"/>
  <c r="F94" i="1" s="1"/>
  <c r="G100" i="1"/>
  <c r="F100" i="1" s="1"/>
  <c r="G106" i="1"/>
  <c r="F106" i="1" s="1"/>
  <c r="G112" i="1"/>
  <c r="F112" i="1" s="1"/>
  <c r="G118" i="1"/>
  <c r="F118" i="1" s="1"/>
  <c r="G130" i="1"/>
  <c r="F130" i="1" s="1"/>
  <c r="G142" i="1"/>
  <c r="F142" i="1" s="1"/>
  <c r="G148" i="1"/>
  <c r="F148" i="1" s="1"/>
  <c r="G154" i="1"/>
  <c r="F154" i="1" s="1"/>
  <c r="G166" i="1"/>
  <c r="F166" i="1" s="1"/>
  <c r="G172" i="1"/>
  <c r="F172" i="1" s="1"/>
  <c r="G178" i="1"/>
  <c r="F178" i="1" s="1"/>
  <c r="G184" i="1"/>
  <c r="F184" i="1" s="1"/>
  <c r="G190" i="1"/>
  <c r="F190" i="1" s="1"/>
  <c r="G196" i="1"/>
  <c r="F196" i="1" s="1"/>
  <c r="G253" i="1"/>
  <c r="F253" i="1" s="1"/>
  <c r="G247" i="1"/>
  <c r="F247" i="1" s="1"/>
  <c r="G241" i="1"/>
  <c r="F241" i="1" s="1"/>
  <c r="G235" i="1"/>
  <c r="F235" i="1" s="1"/>
  <c r="G229" i="1"/>
  <c r="F229" i="1" s="1"/>
  <c r="G223" i="1"/>
  <c r="F223" i="1" s="1"/>
  <c r="G217" i="1"/>
  <c r="F217" i="1" s="1"/>
  <c r="G211" i="1"/>
  <c r="F211" i="1" s="1"/>
  <c r="G205" i="1"/>
  <c r="F205" i="1" s="1"/>
  <c r="G85" i="1"/>
  <c r="F85" i="1" s="1"/>
  <c r="G91" i="1"/>
  <c r="F91" i="1" s="1"/>
  <c r="G103" i="1"/>
  <c r="F103" i="1" s="1"/>
  <c r="G109" i="1"/>
  <c r="F109" i="1" s="1"/>
  <c r="G121" i="1"/>
  <c r="F121" i="1" s="1"/>
  <c r="G133" i="1"/>
  <c r="F133" i="1" s="1"/>
  <c r="G73" i="1"/>
  <c r="F73" i="1" s="1"/>
  <c r="G79" i="1"/>
  <c r="F79" i="1" s="1"/>
  <c r="G97" i="1"/>
  <c r="F97" i="1" s="1"/>
  <c r="G115" i="1"/>
  <c r="F115" i="1" s="1"/>
  <c r="G72" i="1"/>
  <c r="F72" i="1" s="1"/>
  <c r="G160" i="1"/>
  <c r="F160" i="1" s="1"/>
  <c r="G136" i="1"/>
  <c r="F136" i="1" s="1"/>
  <c r="G128" i="1"/>
  <c r="F128" i="1" s="1"/>
  <c r="G124" i="1"/>
  <c r="F124" i="1" s="1"/>
  <c r="G111" i="1"/>
  <c r="F111" i="1" s="1"/>
  <c r="G105" i="1"/>
  <c r="F105" i="1" s="1"/>
  <c r="G88" i="1"/>
  <c r="F88" i="1" s="1"/>
  <c r="G22" i="1"/>
  <c r="F22" i="1" s="1"/>
  <c r="G16" i="1"/>
  <c r="F16" i="1" s="1"/>
  <c r="G11" i="1"/>
  <c r="F11" i="1" s="1"/>
  <c r="G17" i="1"/>
  <c r="F17" i="1" s="1"/>
  <c r="G23" i="1"/>
  <c r="F23" i="1" s="1"/>
  <c r="G35" i="1"/>
  <c r="F35" i="1" s="1"/>
  <c r="G41" i="1"/>
  <c r="F41" i="1" s="1"/>
  <c r="G47" i="1"/>
  <c r="F47" i="1" s="1"/>
  <c r="G53" i="1"/>
  <c r="F53" i="1" s="1"/>
  <c r="G59" i="1"/>
  <c r="F59" i="1" s="1"/>
  <c r="G65" i="1"/>
  <c r="F65" i="1" s="1"/>
  <c r="G71" i="1"/>
  <c r="F71" i="1" s="1"/>
  <c r="G77" i="1"/>
  <c r="F77" i="1" s="1"/>
  <c r="G83" i="1"/>
  <c r="F83" i="1" s="1"/>
  <c r="G89" i="1"/>
  <c r="F89" i="1" s="1"/>
  <c r="G95" i="1"/>
  <c r="F95" i="1" s="1"/>
  <c r="G101" i="1"/>
  <c r="F101" i="1" s="1"/>
  <c r="G113" i="1"/>
  <c r="F113" i="1" s="1"/>
  <c r="G119" i="1"/>
  <c r="F119" i="1" s="1"/>
  <c r="G125" i="1"/>
  <c r="F125" i="1" s="1"/>
  <c r="G131" i="1"/>
  <c r="F131" i="1" s="1"/>
  <c r="G137" i="1"/>
  <c r="F137" i="1" s="1"/>
  <c r="G143" i="1"/>
  <c r="F143" i="1" s="1"/>
  <c r="G149" i="1"/>
  <c r="F149" i="1" s="1"/>
  <c r="G18" i="1"/>
  <c r="F18" i="1" s="1"/>
  <c r="G8" i="1"/>
  <c r="F8" i="1" s="1"/>
  <c r="G14" i="1"/>
  <c r="F14" i="1" s="1"/>
  <c r="G20" i="1"/>
  <c r="F20" i="1" s="1"/>
  <c r="G26" i="1"/>
  <c r="F26" i="1" s="1"/>
  <c r="G32" i="1"/>
  <c r="F32" i="1" s="1"/>
  <c r="G38" i="1"/>
  <c r="F38" i="1" s="1"/>
  <c r="G44" i="1"/>
  <c r="F44" i="1" s="1"/>
  <c r="G50" i="1"/>
  <c r="F50" i="1" s="1"/>
  <c r="G56" i="1"/>
  <c r="F56" i="1" s="1"/>
  <c r="G62" i="1"/>
  <c r="F62" i="1" s="1"/>
  <c r="G68" i="1"/>
  <c r="F68" i="1" s="1"/>
  <c r="G74" i="1"/>
  <c r="F74" i="1" s="1"/>
  <c r="G80" i="1"/>
  <c r="F80" i="1" s="1"/>
  <c r="G86" i="1"/>
  <c r="F86" i="1" s="1"/>
  <c r="G92" i="1"/>
  <c r="F92" i="1" s="1"/>
  <c r="G98" i="1"/>
  <c r="F98" i="1" s="1"/>
  <c r="G104" i="1"/>
  <c r="F104" i="1" s="1"/>
  <c r="G110" i="1"/>
  <c r="F110" i="1" s="1"/>
  <c r="F260" i="1"/>
  <c r="G171" i="1"/>
  <c r="F171" i="1" s="1"/>
  <c r="G145" i="1"/>
  <c r="F145" i="1" s="1"/>
  <c r="G187" i="1"/>
  <c r="F187" i="1" s="1"/>
  <c r="G157" i="1"/>
  <c r="F157" i="1" s="1"/>
  <c r="G127" i="1"/>
  <c r="F127" i="1" s="1"/>
  <c r="G9" i="1"/>
  <c r="F9" i="1" s="1"/>
  <c r="F3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Garcia</author>
  </authors>
  <commentList>
    <comment ref="E3" authorId="0" shapeId="0" xr:uid="{4E98BBA2-B2B9-4D43-9F21-B0F3055074ED}">
      <text>
        <r>
          <rPr>
            <b/>
            <sz val="9"/>
            <color indexed="81"/>
            <rFont val="Tahoma"/>
            <charset val="1"/>
          </rPr>
          <t>Luna Garcia:</t>
        </r>
        <r>
          <rPr>
            <sz val="9"/>
            <color indexed="81"/>
            <rFont val="Tahoma"/>
            <charset val="1"/>
          </rPr>
          <t xml:space="preserve">
ITEM=CANTIDAD DE POSTES</t>
        </r>
      </text>
    </comment>
    <comment ref="E4" authorId="0" shapeId="0" xr:uid="{884433E9-E697-41D5-A723-A0685790B982}">
      <text>
        <r>
          <rPr>
            <b/>
            <sz val="9"/>
            <color indexed="81"/>
            <rFont val="Tahoma"/>
            <charset val="1"/>
          </rPr>
          <t>Luna Garcia:</t>
        </r>
        <r>
          <rPr>
            <sz val="9"/>
            <color indexed="81"/>
            <rFont val="Tahoma"/>
            <charset val="1"/>
          </rPr>
          <t xml:space="preserve">
NUEMERO DE POSTES</t>
        </r>
      </text>
    </comment>
    <comment ref="E5" authorId="0" shapeId="0" xr:uid="{A3CEE4F5-0CE6-41BA-9D11-033899221928}">
      <text>
        <r>
          <rPr>
            <b/>
            <sz val="9"/>
            <color indexed="81"/>
            <rFont val="Tahoma"/>
            <charset val="1"/>
          </rPr>
          <t>Luna Garcia:</t>
        </r>
        <r>
          <rPr>
            <sz val="9"/>
            <color indexed="81"/>
            <rFont val="Tahoma"/>
            <charset val="1"/>
          </rPr>
          <t xml:space="preserve">
CODIGO DE LA LUMINARIA - EL NUMERO</t>
        </r>
      </text>
    </comment>
    <comment ref="E6" authorId="0" shapeId="0" xr:uid="{7271B52C-CED8-475C-A33C-94AD18E591C7}">
      <text>
        <r>
          <rPr>
            <b/>
            <sz val="9"/>
            <color indexed="81"/>
            <rFont val="Tahoma"/>
            <charset val="1"/>
          </rPr>
          <t>Luna Garcia:</t>
        </r>
        <r>
          <rPr>
            <sz val="9"/>
            <color indexed="81"/>
            <rFont val="Tahoma"/>
            <charset val="1"/>
          </rPr>
          <t xml:space="preserve">
LA POTENCIA DE LA LUMINARIA</t>
        </r>
      </text>
    </comment>
    <comment ref="E7" authorId="0" shapeId="0" xr:uid="{A4384F01-197F-4982-AD5C-A25896BD6E09}">
      <text>
        <r>
          <rPr>
            <b/>
            <sz val="9"/>
            <color indexed="81"/>
            <rFont val="Tahoma"/>
            <charset val="1"/>
          </rPr>
          <t>Luna Garcia:</t>
        </r>
        <r>
          <rPr>
            <sz val="9"/>
            <color indexed="81"/>
            <rFont val="Tahoma"/>
            <charset val="1"/>
          </rPr>
          <t xml:space="preserve">
SIEMPRE VA SC= SIN CODIGO</t>
        </r>
      </text>
    </comment>
    <comment ref="E8" authorId="0" shapeId="0" xr:uid="{AF9AF03E-61E5-4CB5-B19E-B9A972B128F6}">
      <text>
        <r>
          <rPr>
            <b/>
            <sz val="9"/>
            <color indexed="81"/>
            <rFont val="Tahoma"/>
            <charset val="1"/>
          </rPr>
          <t>Luna Garcia:</t>
        </r>
        <r>
          <rPr>
            <sz val="9"/>
            <color indexed="81"/>
            <rFont val="Tahoma"/>
            <charset val="1"/>
          </rPr>
          <t xml:space="preserve">
DEPENDE DEL CODIGO HAY QUE VER SI ES DE EMCALI O DE LA PERSONA QUE NOS CONTRATA </t>
        </r>
      </text>
    </comment>
    <comment ref="E9" authorId="0" shapeId="0" xr:uid="{5991C748-44DA-4AAA-80A9-4E1145F0F388}">
      <text>
        <r>
          <rPr>
            <b/>
            <sz val="9"/>
            <color indexed="81"/>
            <rFont val="Tahoma"/>
            <charset val="1"/>
          </rPr>
          <t>Luna Garcia:</t>
        </r>
        <r>
          <rPr>
            <sz val="9"/>
            <color indexed="81"/>
            <rFont val="Tahoma"/>
            <charset val="1"/>
          </rPr>
          <t xml:space="preserve">
SI ES CAMBIO DE LUMINARIA ES MODERNIZACION Y SI ES UN POSTE NUEVO O SI EN EL POSTE EXISTENTE NO HABIA NADA ES EXPANSION </t>
        </r>
      </text>
    </comment>
    <comment ref="B10" authorId="0" shapeId="0" xr:uid="{442BDF74-8B92-4239-92EC-0510BCFB9BDA}">
      <text>
        <r>
          <rPr>
            <b/>
            <sz val="9"/>
            <color indexed="81"/>
            <rFont val="Tahoma"/>
            <charset val="1"/>
          </rPr>
          <t>Luna Garcia:</t>
        </r>
        <r>
          <rPr>
            <sz val="9"/>
            <color indexed="81"/>
            <rFont val="Tahoma"/>
            <charset val="1"/>
          </rPr>
          <t xml:space="preserve">
DE ACUERDO A LOSMATERIALES HAY UNA MANO DE OBRA QUE ES LO QUE SE COBRA </t>
        </r>
      </text>
    </comment>
    <comment ref="C10" authorId="0" shapeId="0" xr:uid="{6C2FE2BA-B47F-4820-8EFF-F2F555C3A2D2}">
      <text>
        <r>
          <rPr>
            <b/>
            <sz val="9"/>
            <color indexed="81"/>
            <rFont val="Tahoma"/>
            <charset val="1"/>
          </rPr>
          <t>Luna Garcia:</t>
        </r>
        <r>
          <rPr>
            <sz val="9"/>
            <color indexed="81"/>
            <rFont val="Tahoma"/>
            <charset val="1"/>
          </rPr>
          <t xml:space="preserve">
CODIGO QUE MANEJA EL CONTRATANTE, EL CUAL NO PODEMOS BORRAR TIENE QUE QUEDAR TAN Y COMO ESTA </t>
        </r>
      </text>
    </comment>
    <comment ref="D10" authorId="0" shapeId="0" xr:uid="{319134B7-351C-47FD-9347-56E72CF2EA2C}">
      <text>
        <r>
          <rPr>
            <b/>
            <sz val="9"/>
            <color indexed="81"/>
            <rFont val="Tahoma"/>
            <charset val="1"/>
          </rPr>
          <t>Luna Garcia:</t>
        </r>
        <r>
          <rPr>
            <sz val="9"/>
            <color indexed="81"/>
            <rFont val="Tahoma"/>
            <charset val="1"/>
          </rPr>
          <t xml:space="preserve">
AQUÍ VA LA SUMA DE TODOS LOS MATERIALES QUE SE INSTALARON EN CAMPO </t>
        </r>
      </text>
    </comment>
    <comment ref="E10" authorId="0" shapeId="0" xr:uid="{F7FDD723-814A-46C7-B0EC-F99DAAFBA7CA}">
      <text>
        <r>
          <rPr>
            <b/>
            <sz val="9"/>
            <color indexed="81"/>
            <rFont val="Tahoma"/>
            <charset val="1"/>
          </rPr>
          <t>Luna Garcia:</t>
        </r>
        <r>
          <rPr>
            <sz val="9"/>
            <color indexed="81"/>
            <rFont val="Tahoma"/>
            <charset val="1"/>
          </rPr>
          <t xml:space="preserve">
EN ESTA CASILLA PARA ADELANTE SE EMPIEZAN A ESCRIBIR LOS MATERIALES QUE SE INSTALAN EN CAMPO</t>
        </r>
      </text>
    </comment>
    <comment ref="B206" authorId="0" shapeId="0" xr:uid="{4595413E-6319-4E89-A93C-77DAC6E14B26}">
      <text>
        <r>
          <rPr>
            <b/>
            <sz val="9"/>
            <color indexed="81"/>
            <rFont val="Tahoma"/>
            <charset val="1"/>
          </rPr>
          <t>Luna Garcia:</t>
        </r>
        <r>
          <rPr>
            <sz val="9"/>
            <color indexed="81"/>
            <rFont val="Tahoma"/>
            <charset val="1"/>
          </rPr>
          <t xml:space="preserve">
MANO DE OBRA ES LA CUAL YO COBRO, SON LAS ACTIVIDADES ECHAS EN CAMPO</t>
        </r>
      </text>
    </comment>
    <comment ref="B217" authorId="0" shapeId="0" xr:uid="{46343FDB-731A-4785-8646-70B16392C9BE}">
      <text>
        <r>
          <rPr>
            <b/>
            <sz val="9"/>
            <color indexed="81"/>
            <rFont val="Tahoma"/>
            <family val="2"/>
          </rPr>
          <t>Luna Garcia:</t>
        </r>
        <r>
          <rPr>
            <sz val="9"/>
            <color indexed="81"/>
            <rFont val="Tahoma"/>
            <family val="2"/>
          </rPr>
          <t xml:space="preserve">
SOLO CUANDO SE NECESITA SE HACE</t>
        </r>
      </text>
    </comment>
    <comment ref="B218" authorId="0" shapeId="0" xr:uid="{B56725BC-CBE0-42B8-A51A-691646D9C8F3}">
      <text>
        <r>
          <rPr>
            <b/>
            <sz val="9"/>
            <color indexed="81"/>
            <rFont val="Tahoma"/>
            <family val="2"/>
          </rPr>
          <t>Luna Garcia:</t>
        </r>
        <r>
          <rPr>
            <sz val="9"/>
            <color indexed="81"/>
            <rFont val="Tahoma"/>
            <family val="2"/>
          </rPr>
          <t xml:space="preserve">
SOLO CUANDO SE NECESITA SE HACE</t>
        </r>
      </text>
    </comment>
    <comment ref="B219" authorId="0" shapeId="0" xr:uid="{0AF40CEA-9641-4E22-B529-0108A353CAE4}">
      <text>
        <r>
          <rPr>
            <b/>
            <sz val="9"/>
            <color indexed="81"/>
            <rFont val="Tahoma"/>
            <family val="2"/>
          </rPr>
          <t>Luna Garcia:</t>
        </r>
        <r>
          <rPr>
            <sz val="9"/>
            <color indexed="81"/>
            <rFont val="Tahoma"/>
            <family val="2"/>
          </rPr>
          <t xml:space="preserve">
CUANDO HAY POSTE NUEVO: 
CUANDO HAY UNA CAJA VIEJA SE HACE LIMPIEZA LO CUAL EQUIVALE A 2
CUANDO HAY EXCAVACION:
CUANDO HAY CAJA NUEVA: </t>
        </r>
      </text>
    </comment>
    <comment ref="Q219" authorId="0" shapeId="0" xr:uid="{77E335E2-29F8-4D45-8AB0-B7B33FC11A45}">
      <text>
        <r>
          <rPr>
            <b/>
            <sz val="9"/>
            <color indexed="81"/>
            <rFont val="Tahoma"/>
            <family val="2"/>
          </rPr>
          <t>Luna Garcia:</t>
        </r>
        <r>
          <rPr>
            <sz val="9"/>
            <color indexed="81"/>
            <rFont val="Tahoma"/>
            <family val="2"/>
          </rPr>
          <t xml:space="preserve">
PENDIENTE COBRAR 20 MTS MOVIMIENTO DE TIERRA</t>
        </r>
      </text>
    </comment>
    <comment ref="B220" authorId="0" shapeId="0" xr:uid="{2C20AEDD-F085-4EEB-8F8C-F23BE13275CB}">
      <text>
        <r>
          <rPr>
            <b/>
            <sz val="9"/>
            <color indexed="81"/>
            <rFont val="Tahoma"/>
            <family val="2"/>
          </rPr>
          <t>Luna Garcia:</t>
        </r>
        <r>
          <rPr>
            <sz val="9"/>
            <color indexed="81"/>
            <rFont val="Tahoma"/>
            <family val="2"/>
          </rPr>
          <t xml:space="preserve">
CUANDO SE REQUIERA </t>
        </r>
      </text>
    </comment>
    <comment ref="B235" authorId="0" shapeId="0" xr:uid="{4B616523-7D87-454F-96A0-A32DF4FB79FA}">
      <text>
        <r>
          <rPr>
            <b/>
            <sz val="9"/>
            <color indexed="81"/>
            <rFont val="Tahoma"/>
            <family val="2"/>
          </rPr>
          <t>Luna Garcia:</t>
        </r>
        <r>
          <rPr>
            <sz val="9"/>
            <color indexed="81"/>
            <rFont val="Tahoma"/>
            <family val="2"/>
          </rPr>
          <t xml:space="preserve">
EL QUE RETIRAN EN CAMPO</t>
        </r>
      </text>
    </comment>
    <comment ref="B236" authorId="0" shapeId="0" xr:uid="{0280C071-B07E-4A4F-BCC8-17C9E24CD82E}">
      <text>
        <r>
          <rPr>
            <b/>
            <sz val="9"/>
            <color indexed="81"/>
            <rFont val="Tahoma"/>
            <family val="2"/>
          </rPr>
          <t>Luna Garcia:</t>
        </r>
        <r>
          <rPr>
            <sz val="9"/>
            <color indexed="81"/>
            <rFont val="Tahoma"/>
            <family val="2"/>
          </rPr>
          <t xml:space="preserve">
LO QUE SE DESMONTE EN CAMPO</t>
        </r>
      </text>
    </comment>
    <comment ref="B237" authorId="0" shapeId="0" xr:uid="{BF89E1C3-B323-4290-A8D9-81328CFC758A}">
      <text>
        <r>
          <rPr>
            <b/>
            <sz val="9"/>
            <color indexed="81"/>
            <rFont val="Tahoma"/>
            <family val="2"/>
          </rPr>
          <t>Luna Garcia:</t>
        </r>
        <r>
          <rPr>
            <sz val="9"/>
            <color indexed="81"/>
            <rFont val="Tahoma"/>
            <family val="2"/>
          </rPr>
          <t xml:space="preserve">
CUANDO SE DESMONTAN EN CAMPO</t>
        </r>
      </text>
    </comment>
    <comment ref="B248" authorId="0" shapeId="0" xr:uid="{6638E7ED-CBF1-4B42-B321-ED3795FD67E8}">
      <text>
        <r>
          <rPr>
            <b/>
            <sz val="9"/>
            <color indexed="81"/>
            <rFont val="Tahoma"/>
            <family val="2"/>
          </rPr>
          <t>Luna Garcia:</t>
        </r>
        <r>
          <rPr>
            <sz val="9"/>
            <color indexed="81"/>
            <rFont val="Tahoma"/>
            <family val="2"/>
          </rPr>
          <t xml:space="preserve">
DEPENDE DEL TERRENO SE IDENTIFICA SI ES ZONA BLANDA OSEA TIERRA O ZONA DURA QUE ES PAIMENTO</t>
        </r>
      </text>
    </comment>
    <comment ref="B249" authorId="0" shapeId="0" xr:uid="{C044E947-3008-411E-B3BD-A5B5FC01EF04}">
      <text>
        <r>
          <rPr>
            <b/>
            <sz val="9"/>
            <color indexed="81"/>
            <rFont val="Tahoma"/>
            <family val="2"/>
          </rPr>
          <t>Luna Garcia:</t>
        </r>
        <r>
          <rPr>
            <sz val="9"/>
            <color indexed="81"/>
            <rFont val="Tahoma"/>
            <family val="2"/>
          </rPr>
          <t xml:space="preserve">
DEPENDE DEL TERRENO SE IDENTIFICA SI ES ZONA BLANDA OSEA TIERRA O ZONA DURA QUE ES PAIMENTO</t>
        </r>
      </text>
    </comment>
    <comment ref="B258" authorId="0" shapeId="0" xr:uid="{3AD25302-6BEB-4B91-A9E4-FC2CC244004A}">
      <text>
        <r>
          <rPr>
            <b/>
            <sz val="9"/>
            <color indexed="81"/>
            <rFont val="Tahoma"/>
            <family val="2"/>
          </rPr>
          <t>Luna Garcia:</t>
        </r>
        <r>
          <rPr>
            <sz val="9"/>
            <color indexed="81"/>
            <rFont val="Tahoma"/>
            <family val="2"/>
          </rPr>
          <t xml:space="preserve">
TODOS LOS CABLES AL SUMARLOS SE TIENES QUE MULTIPLICAR POR 0,05 Y ESO SUMARLO A LO QUE YA HABIA DADO</t>
        </r>
      </text>
    </comment>
  </commentList>
</comments>
</file>

<file path=xl/sharedStrings.xml><?xml version="1.0" encoding="utf-8"?>
<sst xmlns="http://schemas.openxmlformats.org/spreadsheetml/2006/main" count="1012" uniqueCount="348">
  <si>
    <t>PROYECTO No. 9966</t>
  </si>
  <si>
    <t>NODO</t>
  </si>
  <si>
    <t xml:space="preserve">CODIGO DE LUMINARIA </t>
  </si>
  <si>
    <t>POTENCIA INSTALADA</t>
  </si>
  <si>
    <t>CODIGO FOTOCELDA</t>
  </si>
  <si>
    <t>LUMINARIA EMCALI (E) /CONTRATISTA (C )</t>
  </si>
  <si>
    <t>LUMINARIA MODERNIZACION (M) /EXPANSION (E)</t>
  </si>
  <si>
    <t xml:space="preserve">MATERIALES </t>
  </si>
  <si>
    <t>SERV SUM/INST ABRAZ SIN SDA 10 PULG</t>
  </si>
  <si>
    <t>SERV SUM/INST ABRAZ SIN SDA 4 PULG</t>
  </si>
  <si>
    <t>SERV SUM/INST ABRAZ SIN SDA 5 PULG</t>
  </si>
  <si>
    <t>SERV SUM/INST ABRAZ SIN SDA 6 PULG</t>
  </si>
  <si>
    <t>SERV SUM/INST ABRAZ SIN SDA 7 PULG</t>
  </si>
  <si>
    <t>SERV SUM/INST ABRAZ SIN SDA 8 PULG</t>
  </si>
  <si>
    <t>SERV SUM/INST ABRAZ TIPO CORONA 10 PULG</t>
  </si>
  <si>
    <t>SERV SUM/INST ABRAZ TIPO CORONA 6 PULG</t>
  </si>
  <si>
    <t>SERV SUM/INST ABRAZ TIPO CORONA 7 PULG</t>
  </si>
  <si>
    <t>SERV SUM/INST ABRAZ UNA SDA 10 PULG</t>
  </si>
  <si>
    <t>SERV SUM/INST ABRAZ UNA SDA 4 PULG</t>
  </si>
  <si>
    <t>SERV SUM/INST ABRAZ UNA SDA 5 PULG</t>
  </si>
  <si>
    <t>SERV SUM/INST ABRAZ UNA SDA 6 PULG</t>
  </si>
  <si>
    <t>SERV SUM/INST ABRAZ UNA SDA 7 PULG</t>
  </si>
  <si>
    <t>SERV SUM/INST ABRAZ UNA SDA 8 PULG</t>
  </si>
  <si>
    <t>SERV SUM/INST ADAPTADOR TERMINAL 3-4 EMT</t>
  </si>
  <si>
    <t>SERV SUM/INST AISL CARR A.P 3 PULG</t>
  </si>
  <si>
    <t>SERV SUM/INST ALAMBRE CU THHN 14</t>
  </si>
  <si>
    <t>SERV SUM/INST ALAMBRE CU THHN 14VERDE</t>
  </si>
  <si>
    <t>SERV SUM/INST ANGULAR EN V 18X48 PULG</t>
  </si>
  <si>
    <t>SERV SUM/INST ARRANC LUM 70W 2 HILOS</t>
  </si>
  <si>
    <t>SERV SUM/INST ARRANC LUM 150-400W 2 HILO</t>
  </si>
  <si>
    <t>SERV SUM/INST BALAST NA 150W 208-240</t>
  </si>
  <si>
    <t>SERV SUM/INST BALAST NA 250W 208-240</t>
  </si>
  <si>
    <t>SERV SUM/INST BALAST NA 400W 208-220-240</t>
  </si>
  <si>
    <t>SERV SUM/INST BALAST NA 400W 208-240</t>
  </si>
  <si>
    <t>SERV SUM/INST BALAST NA 70W 208-240</t>
  </si>
  <si>
    <t>SERV SUM/INST BALAST NA MH 150W 208-220-</t>
  </si>
  <si>
    <t>SERV SUM/INST BALAST NA MH 250W 208-220-</t>
  </si>
  <si>
    <t>SERV SUM/INST BALAST NA MH 70W 208-220-</t>
  </si>
  <si>
    <t>SERV SUM/INST BAND 1 C 1 S GALV 4 PULG</t>
  </si>
  <si>
    <t>SERV SUM/INST BAND 1 C 1 S GALV 5 PULG</t>
  </si>
  <si>
    <t>SERV SUM/INST BAND 1 C 1 S GALV 8 PULG</t>
  </si>
  <si>
    <t>SERV SUM/INST BAND 1 C 1 S GALV 10 PULG</t>
  </si>
  <si>
    <t>SERV SUM/INST BAND 1 C 1 S GALV 6 PULG</t>
  </si>
  <si>
    <t>SERV SUM/INST BAND 1 C 1 S GALV 7 PULG</t>
  </si>
  <si>
    <t>SERV SUM/INST BAND CIEG 1 C GALVÂ 8 PULG</t>
  </si>
  <si>
    <t>SERV SUM/INST BAND CIEG 1 C GALV 10 PULG</t>
  </si>
  <si>
    <t>SERV SUM/INST BAND CIEG 1 C GALV 4 PULG</t>
  </si>
  <si>
    <t>SERV SUM/INST BAND CIEG 1 C GALV 5 PULG</t>
  </si>
  <si>
    <t>SERV SUM/INST BAND CIEG 1 C GALV 6 PULG</t>
  </si>
  <si>
    <t>SERV SUM/INST BAND CIEG 1 C GALV 7 PULG</t>
  </si>
  <si>
    <t>SERV SUM/INST BOMB 150 W MCW CDO-TT</t>
  </si>
  <si>
    <t>SERV SUM/INST BOMB 250 W MCW CDO-TT</t>
  </si>
  <si>
    <t>SERV SUM/INST BOMB 400 W CMH HPI-T PLUS</t>
  </si>
  <si>
    <t>SERV SUM/INST BOMB 70 W MCW CDO-TT</t>
  </si>
  <si>
    <t>SERV SUM/INST BOMB CMH150W STREETWISE</t>
  </si>
  <si>
    <t>SERV SUM/INST BOMB CMH250W STREETWISE</t>
  </si>
  <si>
    <t>SERV SUM/INST BOMB CMH70W STREETWISE</t>
  </si>
  <si>
    <t>SERV SUM/INST BOMB MH TUB BLANCA 1000 W</t>
  </si>
  <si>
    <t>SERV SUM/INST BOMB MH TUB BLANCA 400 W</t>
  </si>
  <si>
    <t>SERV SUM/INST BOMB NA Â 150 Â W</t>
  </si>
  <si>
    <t>SERV SUM/INST BOMB NA Â 250 Â W</t>
  </si>
  <si>
    <t>SERV SUM/INST BOMB NA Â 400 W</t>
  </si>
  <si>
    <t>SERV SUM/INST BOMB NA 70 W</t>
  </si>
  <si>
    <t>SERV SUM/INST BOMB SUPER 150W NA SILV</t>
  </si>
  <si>
    <t>SERV SUM/INST BOMB SUPER 250W NA SILV</t>
  </si>
  <si>
    <t>SERV SUM/INST BRAZO 1 1-2X6 C12 PERF</t>
  </si>
  <si>
    <t>SERV SUM/INST BRAZO GALVÂ 2 1-2X6M C12</t>
  </si>
  <si>
    <t>SERV SUM/INST BRAZO GALV 1 1-2X2M C12</t>
  </si>
  <si>
    <t>SERV SUM/INST BRAZO GALV 1 1-2X3M C12</t>
  </si>
  <si>
    <t>SERV SUM/INST BRAZO GALV 1 1-2X1.5MC12</t>
  </si>
  <si>
    <t>SERV SUM/INST BRAZP SENCILLO 2M NEGRO</t>
  </si>
  <si>
    <t>SERV SUM/INST CABLE AL PVC THHN 1-0 AWG</t>
  </si>
  <si>
    <t>SERV SUM/INST CABLE AL PVC THHN 4 AWG</t>
  </si>
  <si>
    <t>SERV SUM/INST CABLE AL PVC THHN 6 AWG</t>
  </si>
  <si>
    <t>SERV SUM/INST CABLE AL AA-8000 1-0 AWG</t>
  </si>
  <si>
    <t>SERV SUM/INST CABLE AL AA-8000 4 AWG</t>
  </si>
  <si>
    <t>SERV SUM/INST CABLE AL AA-8000 6 AWG</t>
  </si>
  <si>
    <t>SERV SUM/INST CABLE AL TPX 2X1-0 1X1-0</t>
  </si>
  <si>
    <t>SERV SUM/INST CABLE AL TPX 2X2 1X2 AWG</t>
  </si>
  <si>
    <t>SERV SUM/INST CABLE AL TPX 2X4 1X4 AWG</t>
  </si>
  <si>
    <t>SERV SUM/INST CABLE ENCAUCHE 3X14 PVC</t>
  </si>
  <si>
    <t>SERV SUM/INST CAJA DE PASO 20X20 CM</t>
  </si>
  <si>
    <t>SERV SUM/INST CAJA RAWELT 4X2 3-4 P 3 EN</t>
  </si>
  <si>
    <t>SERV SUM/INST CAJA RAWELT 4X4 3-4 P 3 EN</t>
  </si>
  <si>
    <t>SERV SUM/INST CAPACETE 2 PULG</t>
  </si>
  <si>
    <t>SERV SUM/INST CAPACE ROSC AL TUB IMC 1-2</t>
  </si>
  <si>
    <t>SERV SUM/INST CAPACETE TUBERIA IMC 3-4</t>
  </si>
  <si>
    <t>SERV SUM/INST CHAZO EXP 3-8Â X 2 PULG Â </t>
  </si>
  <si>
    <t>SERV SUM/INST CINTA 3M SUP SCTH 33X20M</t>
  </si>
  <si>
    <t>SERV SUM/INST CINTA 3M TEM 1700 COLOR</t>
  </si>
  <si>
    <t>SERV SUM/INST CINTA AUTOFUNDENTE 23</t>
  </si>
  <si>
    <t>SERV SUM/INST CINTA BANDI 1-2 PULGXML</t>
  </si>
  <si>
    <t>SERV SUM/INST CINTA BANDIT 5-8XML</t>
  </si>
  <si>
    <t>SERV SUM/INST CINTA PREC AMARILLAXM</t>
  </si>
  <si>
    <t>SERV SUM/INST COFRE MH 1000 W</t>
  </si>
  <si>
    <t>SERV SUM/INST COFRE MH 400 W 208-240</t>
  </si>
  <si>
    <t>SERV SUM/INST COFRE NA 250 W 208-240</t>
  </si>
  <si>
    <t>SERV SUM/INST CONCERT INOX DIAM 45CMX6M</t>
  </si>
  <si>
    <t>SERV SUM/INST CONCERT SENCI 6 M 18 PULG</t>
  </si>
  <si>
    <t>SERV SUM/INST CONDENSADOR 10MF 250V</t>
  </si>
  <si>
    <t>SERV SUM/INST CONDENSADOR 20MF 250V</t>
  </si>
  <si>
    <t>SERV SUM/INST CONDENSADOR 30MF 250V</t>
  </si>
  <si>
    <t>SERV SUM/INST CONDENSADOR 45MF 250V</t>
  </si>
  <si>
    <t>SERV SUM/INST CONDULET CONEX T C 3-4 P</t>
  </si>
  <si>
    <t>SERV SUM/INST CONDULET MET CONEX T 3-4 P</t>
  </si>
  <si>
    <t>SERV SUM/INST CONDULET CONEX LB 3-4 P Â </t>
  </si>
  <si>
    <t>SERV SUM/INST CONECT PERF 4-0 KP 16-95</t>
  </si>
  <si>
    <t>SERV SUM/INST CONECT PERF KZ-EP (EP95)</t>
  </si>
  <si>
    <t>SERV SUM/INST CONECTOR BIME-COM AP-2</t>
  </si>
  <si>
    <t>SERV SUM/INST CONECTOR REC COR AME 3-4 P</t>
  </si>
  <si>
    <t>SERV SUM/INST CONECTOR RESORTE 18-8 AWG</t>
  </si>
  <si>
    <t>SERV SUM/INST CONECT VARILLA COOPERWELD</t>
  </si>
  <si>
    <t>SERV SUM/INST CORAZA AME METALICA 3-4 P</t>
  </si>
  <si>
    <t>SERV SUM/INST CRUCE MET 3X3X1-4 PX2.4M</t>
  </si>
  <si>
    <t>SERV SUM/INST CURVA CONDUIT IMC 1-2 PULG</t>
  </si>
  <si>
    <t>SERV SUM/INST CURVA CONDUIT IMC 3-4 PULG</t>
  </si>
  <si>
    <t>SERV SUM/INST CURVA EMT 3-4 PULG</t>
  </si>
  <si>
    <t>SERV SUM/INST CURVA IMC 3-4 PULG</t>
  </si>
  <si>
    <t>SERV SUM/INST CURVA PVC CONDUIT 1-2 PULG</t>
  </si>
  <si>
    <t>SERV SUM/INST CURVA PVC CONDUIT 2 PULG</t>
  </si>
  <si>
    <t>SERV SUM/INST CURVA PVC CONDUIT 3-4 PULG</t>
  </si>
  <si>
    <t>SERV SUM/INST EMP GEL GFCH 8-4-0A14-2-0</t>
  </si>
  <si>
    <t>SERV SUM/INST EMP GEL GHFC1 CONECT PPAL</t>
  </si>
  <si>
    <t>SERV SUM/INST EMP GEL GHFC2 CONECT PPAL</t>
  </si>
  <si>
    <t>SERV SUM/INST EMP GEL PPAL 4-2-0A14-6</t>
  </si>
  <si>
    <t>SERV SUM/INST FAROL NA CARTAGENA 150 W</t>
  </si>
  <si>
    <t>SERV SUM/INST FOTOCEL AZUL 305V IP65</t>
  </si>
  <si>
    <t>SERV SUM/INST FOTOCELDA TEMPORIZADA</t>
  </si>
  <si>
    <t>SERV SUM/INST GRAPA MET DBLE OREJ 3-4</t>
  </si>
  <si>
    <t>SERV SUM/INST GRILLET GALV 1 1-2 PULG</t>
  </si>
  <si>
    <t>SERV SUM/INST GRILLET GALV 2 1-2 PULG</t>
  </si>
  <si>
    <t>SERV SUM/INST GUARDACABO GALV 1-2 PULG</t>
  </si>
  <si>
    <t>SERV SUM/INST HEBILLA CINT BANDIT 1-2 P</t>
  </si>
  <si>
    <t>SERV SUM/INST KIT PTA TIERRA ACE INOX</t>
  </si>
  <si>
    <t>SERV SUM/INST LUM NA 400W 208-240</t>
  </si>
  <si>
    <t>SERV SUM/INST LUM NA 150W 208-240</t>
  </si>
  <si>
    <t>SERV SUM/INST LUM NA 250W 208-240</t>
  </si>
  <si>
    <t>SERV SUM/INST LUM NA 70W 208-240</t>
  </si>
  <si>
    <t>SERV SUM/INST PERCHA GALV CAL 1 PUEST</t>
  </si>
  <si>
    <t>SERV SUM/INST PERCHA GALV CAL 10 2 PUEST</t>
  </si>
  <si>
    <t>SERV SUM/INST PERF RAN U R CHAN 3MX2.5MM</t>
  </si>
  <si>
    <t>SERV SUM/INST PERNO CARRU GAV 5-8X1 1-2P</t>
  </si>
  <si>
    <t>SERV SUM/INST PERNO CARRU GAV 5-8X3 P</t>
  </si>
  <si>
    <t>SERV SUM/INST POSTE CONC 10MX510KG D.I</t>
  </si>
  <si>
    <t>SERV SUM/INST POSTE CONC 12MX510KG D.I</t>
  </si>
  <si>
    <t>SERV SUM/INST POSTE CONC 14MX750KG D.I</t>
  </si>
  <si>
    <t>SERV SUM/INST POSTE CONC 8MX510KG D.I</t>
  </si>
  <si>
    <t>SERV SUM/INST POSTE FIBRA V 10MX510 KG</t>
  </si>
  <si>
    <t>SERV SUM/INST POSTE FIBRA V 12MX510 KG</t>
  </si>
  <si>
    <t>SERV SUM/INST POSTE FIBRA V 14MX510 KG</t>
  </si>
  <si>
    <t>SERV SUM/INST POSTE FIBRA V 16MX510 KG</t>
  </si>
  <si>
    <t>SERV SUM/INST POSTE FIBRA 8MX510 KG NEG</t>
  </si>
  <si>
    <t>SERV SUM/INST POSTE FIBRA V 8MX510 KG</t>
  </si>
  <si>
    <t>SERV SUM/INST PRENSA EST DEX 1-2 P PG21</t>
  </si>
  <si>
    <t>SERV SUM/INST PROY ALON NA 150W</t>
  </si>
  <si>
    <t>SERV SUM/INST PROY UNIVERS REF 250-400W</t>
  </si>
  <si>
    <t>SERV SUM/INST RELEV 2X60A (COMPLETO)</t>
  </si>
  <si>
    <t>SERV SUM/INST RIEL CHANEL PERF 2X4CMX3M</t>
  </si>
  <si>
    <t>SERV SUM/INST TAPA CIEGA RAWELT 2X4</t>
  </si>
  <si>
    <t>SERV SUM/INST TAPA CIEGA RAWELT 4X4</t>
  </si>
  <si>
    <t>SERV SUM/INST TAPA PARA CAJA AP</t>
  </si>
  <si>
    <t>SERV SUM/INST TERM CAMP PVCÂ 2 PULGÂ </t>
  </si>
  <si>
    <t>SERV SUM/INST TORNILLO MAQ 1-2PX1 1-2P</t>
  </si>
  <si>
    <t>SERV SUM/INST TUBERIA CONDUFLEX 3-4 P</t>
  </si>
  <si>
    <t>SERV SUM/INST TUBO CONDUIT EMT 3-4 PULG</t>
  </si>
  <si>
    <t>SERV SUM/INST TUBO CONDUIT EMT 1 PULG</t>
  </si>
  <si>
    <t>SERV SUM/INST TUBO CONDUIT IMC 2 PULG</t>
  </si>
  <si>
    <t>SERV SUM/INST TUBO CONDUIT IMC 3-4 PULG</t>
  </si>
  <si>
    <t>SERV SUM/INST TUBO CONDUIT IMC 1-2 P</t>
  </si>
  <si>
    <t>SERV SUM/INST TUBO PVC CONDUIT 1-2PX3</t>
  </si>
  <si>
    <t>SERV SUM/INST TUBO PVC CONDUIT 2â€X3MTS</t>
  </si>
  <si>
    <t>SERV SUM/INST TUBO PVC CONDUIT 3-4P3M</t>
  </si>
  <si>
    <t>SERV SUM/INST TUERCA 1-2 PULG</t>
  </si>
  <si>
    <t>SERV SUM/INST TUERCA HEXAG GAVL 5-8P</t>
  </si>
  <si>
    <t>SERV SUM/INST UNION CONDUIT EMT 3-4P</t>
  </si>
  <si>
    <t>SERV SUM/INST UNION CONDUIT IMC 3-4P</t>
  </si>
  <si>
    <t>SERV SUM/INST VARILLA COOPERW 5-8PX2.4M</t>
  </si>
  <si>
    <t>SERV SUM/INST WASA 3-8 PULG</t>
  </si>
  <si>
    <t>SERV SUM/INST POST MET 8M FLANCH 150 KGF</t>
  </si>
  <si>
    <t>SERV SUM/INST POST MET 10M ENTER 510 KGF</t>
  </si>
  <si>
    <t>SERV SUM/INST POST MET 12M ENTER 510 KGF</t>
  </si>
  <si>
    <t>SERV SUM/INST POST MET 14M ENTER 510 KGF</t>
  </si>
  <si>
    <t>SERV SUM/INST POST MET 16M ENTER 510 KGF</t>
  </si>
  <si>
    <t>SERV SUM/INST LUM LED HORIZ CERR DE 25W</t>
  </si>
  <si>
    <t>SERV SUM/INST LUM LED HORIZ CERR DE 40W</t>
  </si>
  <si>
    <t>SERV SUM/INST LUM LED HORIZ CERR DE 50W</t>
  </si>
  <si>
    <t>SERV SUM/INST LUM LED HORIZ CERR DE 60W</t>
  </si>
  <si>
    <t>SERV SUM/INST LUM LED HORIZ CERR DE 75W</t>
  </si>
  <si>
    <t>SERV SUM/INST LUM LED HORIZ CERR DE 95W</t>
  </si>
  <si>
    <t>SERV SUM/INST LUM LED HORIZ CERR DE 110W</t>
  </si>
  <si>
    <t>SERV SUM/INST LUM LED HORIZ CERR DE 120W</t>
  </si>
  <si>
    <t>SERV SUM/INST LUM LED HORIZ CERR DE 150W</t>
  </si>
  <si>
    <t>SERV SUM/INST LUM LED HORIZ CERR DE 190W</t>
  </si>
  <si>
    <t>SERV SUM/INST PROY LED CERRADO DE 50W</t>
  </si>
  <si>
    <t>SERV SUM/INST PROY LED CERRADO DE 90W</t>
  </si>
  <si>
    <t>SERV SUM/INST PROY LED CERRADO DE 140W</t>
  </si>
  <si>
    <t>SERV SUM/INST PROY LED CERRADO DE 190W</t>
  </si>
  <si>
    <t>SERV SUM/INST LUMINARIA CURRENT TIPO FAROL 6OW</t>
  </si>
  <si>
    <t>SERV SUM/INST POSTE METALICO CIRCULAR DE 3MTS</t>
  </si>
  <si>
    <t>REJA ANTIHURTO DE 42X21X8.5CM PARA PROYECTOR ADOSADO</t>
  </si>
  <si>
    <t>POSTE TRASLÚCIDO FABRICADO EN POLIÉSTER REFORZADO CON FIBRA DE VIDRIO (PRFV) 8MTS 510KGF</t>
  </si>
  <si>
    <t>POSTE TRASLÚCIDO FABRICADO EN POLIÉSTER REFORZADO CON FIBRA DE VIDRIO (PRFV) 10MTS 510KGF</t>
  </si>
  <si>
    <t>POSTE TRASLÚCIDO FABRICADO EN POLIÉSTER REFORZADO CON FIBRA DE VIDRIO (PRFV) 12MTS 510KGF</t>
  </si>
  <si>
    <t>MANO DE OBRA</t>
  </si>
  <si>
    <t>SERV ALQ EQUIPO CORTAD-OPER-COMBUS-INSU</t>
  </si>
  <si>
    <t>SERV ALQ MACHINE NEUM-COMPRES</t>
  </si>
  <si>
    <t>SERV APERT HUECO POST 11M A 14M Y ANCLAS</t>
  </si>
  <si>
    <t>SERV APERT HUECO POST PRIM 11A14 MTS</t>
  </si>
  <si>
    <t>SERV APERT HUECO POST SECUND 8 A 10 MTS</t>
  </si>
  <si>
    <t>SERV APLOMADA POST CONC 11A14 MTS</t>
  </si>
  <si>
    <t>SERV APLOMADA POST CONC 8 A 10 MTS</t>
  </si>
  <si>
    <t>SERV APLOMADA POST MET Y-O FIBRA 11A14M</t>
  </si>
  <si>
    <t>SERV APLOMADA POST MET Y-O FIBRA 8A10M</t>
  </si>
  <si>
    <t>SERV ARMADO IZAJE MAST 14A24M HINC Y APL</t>
  </si>
  <si>
    <t>SERV BASE DE CONCRETO PARA POSTE 9 MTS</t>
  </si>
  <si>
    <t>SERV BASE POST MET TIPO KEISON 10A12M</t>
  </si>
  <si>
    <t>SERV BOTADO DE ESCOMBROS</t>
  </si>
  <si>
    <t>SERV CAJA AP 0.4X0.4M INC MAT E INST</t>
  </si>
  <si>
    <t>SERV CAMARA BT NORMA EMCALI</t>
  </si>
  <si>
    <t>SERV CAMARA TIPO I NORMA EMCALI</t>
  </si>
  <si>
    <t>SERV CAMBIO BOMBILLA A CMH CAMIONETA</t>
  </si>
  <si>
    <t>SERV CAMBIO DE BOMBILLA A CMH CANASTA</t>
  </si>
  <si>
    <t>SERV CAMBIO FOTOCELDA TEMP EN CAMIONETA</t>
  </si>
  <si>
    <t>SERV CAMBIO FOTOCELDA TEMP EN CANASTA</t>
  </si>
  <si>
    <t>SERV CONCRETA POST CONC 8A12M INC MAT MO</t>
  </si>
  <si>
    <t>SERV CONCRETA POST FIBR 8A12M INC MAT MO</t>
  </si>
  <si>
    <t>SERV CONCRETA ENTRE POST Y CAJA</t>
  </si>
  <si>
    <t>SERV CONEX A CABLE TIER (INST CONEC SPT)</t>
  </si>
  <si>
    <t>SERV CORTE DE PERNO MASTIL</t>
  </si>
  <si>
    <t>SERV CORTE DE PERNO POSTE</t>
  </si>
  <si>
    <t>SERV DEMOL PAV EN CONC RIGID INC RETIRO</t>
  </si>
  <si>
    <t>SERV DEMOL DE POSTE DE CONCRETO</t>
  </si>
  <si>
    <t>SERV DESMON CABLE SECUNDARIO 4 A 2-0</t>
  </si>
  <si>
    <t>SERV DESMON CONJUNTO 1 O 2 PERCHAS</t>
  </si>
  <si>
    <t>SERV DESMON CONJ SECUNDARIO 3 MAS PERCH</t>
  </si>
  <si>
    <t>SERV DESMON DE COFRE</t>
  </si>
  <si>
    <t>SERV DESMON DE LUMINARIAS EN CANASTA</t>
  </si>
  <si>
    <t>SERV DESMON DE MASTIL DE 14 A 24 METROS</t>
  </si>
  <si>
    <t>SERV DESMON DE RETENIDA A TIERRA</t>
  </si>
  <si>
    <t>SERV DESMON LUMINARIAS EN CAMIONETA</t>
  </si>
  <si>
    <t>SERV DESMON POSTE METALICO PRIMARIO</t>
  </si>
  <si>
    <t>SERV DESMON POSTE METALICO SECUNDARIO</t>
  </si>
  <si>
    <t>SERV DESMON POST DE CONC PRIMARIOS</t>
  </si>
  <si>
    <t>SERV DESMON POST DE CONC SECUNDARIOS</t>
  </si>
  <si>
    <t>SERV DIGIT GIS CATASTRO DE REDES</t>
  </si>
  <si>
    <t>SERV EXCAV ZONA BL INC INST 2 TUB Y RELL</t>
  </si>
  <si>
    <t>SERV EXCAV ZONA DR INC INST 2 TUB Y RELL</t>
  </si>
  <si>
    <t>SERV GEOPOS PTOS INC INVENT DEL MISMO</t>
  </si>
  <si>
    <t>SERV HINCADA DE POSTE FIBRA DE 10 A 12M</t>
  </si>
  <si>
    <t>SERV HINCADA DE POSTE FIBRA DE 8M</t>
  </si>
  <si>
    <t>SERV HINCADA DE POST CONC DE 14 MTS</t>
  </si>
  <si>
    <t>SERV HINCADA DE POST CONC DE 8 A 12 MTS</t>
  </si>
  <si>
    <t>SERV INST ANG SEG TUB ADOS EN PUENTE</t>
  </si>
  <si>
    <t>SERV INST TAPA SEG CAJA RAWELT ADOS</t>
  </si>
  <si>
    <t>SERV INST TAPA SEG DEBAJO POSTE ADOS</t>
  </si>
  <si>
    <t>SERV INST CABLE ENCAUCH EN TUB ADOS PTE</t>
  </si>
  <si>
    <t>SERV INST CABLE SEC 14 EN DUCT ADOS</t>
  </si>
  <si>
    <t>SERV INST CABLE SEC 4 A 2-0 EN DUCT ADOS</t>
  </si>
  <si>
    <t>SERV INST CABLE SEC 3-0 A 4-0 AEREO</t>
  </si>
  <si>
    <t>SERV INST CABLE SEC 4 A 2-0 AEREO</t>
  </si>
  <si>
    <t>SERV INST CABLE SEC 4 A 2-0 SUBT</t>
  </si>
  <si>
    <t>SERV INST CORAZA AMER LT 1-2 3-4 Y 1P</t>
  </si>
  <si>
    <t>SERV INST CORONA DE SEGURIDAD</t>
  </si>
  <si>
    <t>SERV INST DE ATERRIZAJES SECUNDARIOS</t>
  </si>
  <si>
    <t>SERV INST BAJTE EXT TUBO 1-2P HAST</t>
  </si>
  <si>
    <t>SERV INST DE BAJANTE SECUNDARIO</t>
  </si>
  <si>
    <t>SERV INST CAJA PASO PARA ILUM ADOS</t>
  </si>
  <si>
    <t>SERV INST CAJA INTEMP 2X2 Y 4X4 RAWELT</t>
  </si>
  <si>
    <t>SERV INST DE COFRE</t>
  </si>
  <si>
    <t>SERV INST DE CONCERTINA POR METRO</t>
  </si>
  <si>
    <t>SERV INST DE CONDULETA</t>
  </si>
  <si>
    <t>SERV INST DE CUBIERTA GEL CONECTORÂ GHFC</t>
  </si>
  <si>
    <t>SERV INST PROY BAJO PTE O ESTRUC ADOS</t>
  </si>
  <si>
    <t>SERV INST DE REFLECTOR</t>
  </si>
  <si>
    <t>SERV INST DE REJA ANTIHURT LUM EMERG</t>
  </si>
  <si>
    <t>SERV INST DE RELEVADOR</t>
  </si>
  <si>
    <t>SERV INST TUB EMT 1-2 A 3-4P CERCH MET</t>
  </si>
  <si>
    <t>SERV INST TUB IMC 1-2 A 3-4P PUENTE ADOS</t>
  </si>
  <si>
    <t>SERV INST TUB IMC 1-2 A 3-4P ADOS MURO</t>
  </si>
  <si>
    <t>SERV INST KIT SELLA DUCTOS RESINA EXPANS</t>
  </si>
  <si>
    <t>SERV INST KIT SPT CINTA METALICA</t>
  </si>
  <si>
    <t>SERV INST LAM ALFAJOR INC MAT Y SOLD</t>
  </si>
  <si>
    <t>SERV INST LUMS EN CAMIONETA</t>
  </si>
  <si>
    <t>SERV INST LUMS EN CANASTA</t>
  </si>
  <si>
    <t>SERV INST LUMS HORIZ ADOS MURO</t>
  </si>
  <si>
    <t>SERV INST SOPORT MET POST MET ADOS PTE</t>
  </si>
  <si>
    <t>SERV INST TRAMA SEG LUM LED INC ACOND BR</t>
  </si>
  <si>
    <t>SERV LEVANT VISITA Y DISEÃ‘O REDES PROYS</t>
  </si>
  <si>
    <t>SERV MAN OBA SOLDADURA 4 CORDONES 10CM</t>
  </si>
  <si>
    <t>SERV MAN OBR SOLDADURA LUM INC EQUIPO</t>
  </si>
  <si>
    <t>SERV MAN OBR SOLDADURA POR PUNTO</t>
  </si>
  <si>
    <t>SERV MARCACION DE LUMARIA CON PINTURA</t>
  </si>
  <si>
    <t>SERV PINTADA NODO INC SUM PINTURA</t>
  </si>
  <si>
    <t>SERV RECUPERACION CONTRAMARCO CAJA AP</t>
  </si>
  <si>
    <t>SERV RECUPERACION TAPA PARA CAJA AP</t>
  </si>
  <si>
    <t>SERV RECUPERACION ZONA DURA</t>
  </si>
  <si>
    <t>SERV REJA ANTIHURTO PARA COFRE CON INST</t>
  </si>
  <si>
    <t>SERV REJA ANTIHURTO PARA PROY CON INST</t>
  </si>
  <si>
    <t>SERV RETIRO SOLDAD TAPA AP-BT CON PULID</t>
  </si>
  <si>
    <t>SERV REUBICACION DE POSTE HASTA 12M</t>
  </si>
  <si>
    <t>SERV SOLDADURA LUM</t>
  </si>
  <si>
    <t>SERV TRANSP LUMS PROYES</t>
  </si>
  <si>
    <t>SERV TRANSP POST CONC 12M SITIO SIN INC</t>
  </si>
  <si>
    <t>SERV TRANSP POST CONC 18M SITIO SIN INC</t>
  </si>
  <si>
    <t>SERV TRANSP.POSTE.METALICO DE 4 A 12MT</t>
  </si>
  <si>
    <t>SERV TRANSP COLLARIN</t>
  </si>
  <si>
    <t>SERV TRANSP BRAZOS 1 1-2 PULG HASTA 3M</t>
  </si>
  <si>
    <t>SERV TRANSP BRAZOS 2 1-2 PULG HASTA 6M</t>
  </si>
  <si>
    <t>SERV TRANSP CABLE</t>
  </si>
  <si>
    <t>SERV TRANSP CRUCETAS HASTA 3 MTS</t>
  </si>
  <si>
    <t>SERV TRANSP DIAGONALES</t>
  </si>
  <si>
    <t>SERV TRANSP MASTILES</t>
  </si>
  <si>
    <t>SERV TRANSP POST CONC 14M 1 A 4 UNID</t>
  </si>
  <si>
    <t>SERV TRANSP POST CONC 14M 4 A 6 UNID</t>
  </si>
  <si>
    <t>SERV TRANSP TAPA PARA CAJA A.P.</t>
  </si>
  <si>
    <t>SERV TRANSP PERCHA CON AISLADOR</t>
  </si>
  <si>
    <t>SERV TRANSP TUBERIA HASTA 4 PULG</t>
  </si>
  <si>
    <t>SERV TRANSP VARI TIER Y-O KIT TIER ACERO</t>
  </si>
  <si>
    <t>SERV VEST CONJUNTO 1 O 2 PERCHAS</t>
  </si>
  <si>
    <t>SERV VEST CONJUNTO 3 O MAS PERCHAS</t>
  </si>
  <si>
    <t>SERV VEST DE CRUCETAS CONJ. SECUNDARIO</t>
  </si>
  <si>
    <t>SERV TRANSP/INST CABLE TPX 2X4+1X4 AWG</t>
  </si>
  <si>
    <t>SERV TRANSP/INST CABLE TPX 2X2+1X2 AWG</t>
  </si>
  <si>
    <t>SERV TRAN/INST CABLE TPX 2X1/0+1X1/0 AWG</t>
  </si>
  <si>
    <t>SERV INST DE TELECELDA EN CAMIONETA</t>
  </si>
  <si>
    <t>SERV INST DE TELECELDA EN CANASTA</t>
  </si>
  <si>
    <t>SERV INST DE RETENIDA SENCILLA</t>
  </si>
  <si>
    <t>SERV PERF HORIZ DIRIG CANALIZ 2X2" PVC</t>
  </si>
  <si>
    <t>SERV APERT HUECO POST PRIMAR ZONA ROCOSA</t>
  </si>
  <si>
    <t>SERV APERT HUECO POST SECUND ZONA ROCOSA</t>
  </si>
  <si>
    <t>SERV DESMON DE LUMINARIAS EN BRAZO DE 6M</t>
  </si>
  <si>
    <t>BASE POSTE METALICO TIPO KEISON DE 0,3 x 0,3 x 1,2 CM</t>
  </si>
  <si>
    <t>SERVICIO DE GEORREFERENCIACION SUBMETRICA DE PUNTOS DEL SISTEMA DE AP, INCLUYE REFERENCIACION E INVENTARIO DE POSTES Y LUMINARIAS</t>
  </si>
  <si>
    <t>COD</t>
  </si>
  <si>
    <t>-</t>
  </si>
  <si>
    <t>UN</t>
  </si>
  <si>
    <t>M</t>
  </si>
  <si>
    <t>Un</t>
  </si>
  <si>
    <t>M3</t>
  </si>
  <si>
    <t>UND</t>
  </si>
  <si>
    <t>MACROPROYECTO</t>
  </si>
  <si>
    <t>CANT. TOTAL</t>
  </si>
  <si>
    <t>VALOR UNITARIO</t>
  </si>
  <si>
    <t>VALOR TOTAL</t>
  </si>
  <si>
    <t>CANT</t>
  </si>
  <si>
    <t xml:space="preserve">MANO DE OBRA </t>
  </si>
  <si>
    <t>MATERIALES</t>
  </si>
  <si>
    <t>Las actividades resaltadas en rojo se utilizan con poca frecuencia; sin embargo, deben mantenerse en el documento, ya que no es posible eliminarlas.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</si>
</sst>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4" fillId="0" borderId="1" xfId="0" applyFont="1" applyBorder="1" applyAlignment="1">
      <alignment vertical="center" wrapText="1"/>
    </xf>
    <xf numFmtId="4" fontId="3" fillId="0" borderId="1" xfId="2" applyNumberFormat="1" applyFont="1" applyBorder="1" applyAlignment="1" applyProtection="1">
      <alignment horizontal="left" vertical="center" wrapText="1" readingOrder="1"/>
      <protection locked="0"/>
    </xf>
    <xf numFmtId="4" fontId="4" fillId="0" borderId="1" xfId="2" applyNumberFormat="1" applyFont="1" applyBorder="1" applyAlignment="1" applyProtection="1">
      <alignment horizontal="left" vertical="center" wrapText="1" readingOrder="1"/>
      <protection locked="0"/>
    </xf>
    <xf numFmtId="0" fontId="2" fillId="2" borderId="0" xfId="0" applyFont="1" applyFill="1" applyAlignment="1">
      <alignment wrapText="1"/>
    </xf>
    <xf numFmtId="0" fontId="5" fillId="0" borderId="1" xfId="2" applyFont="1" applyBorder="1" applyAlignment="1">
      <alignment horizontal="left" vertical="center" wrapText="1"/>
    </xf>
    <xf numFmtId="0" fontId="0" fillId="0" borderId="0" xfId="0" applyAlignment="1">
      <alignment wrapText="1"/>
    </xf>
    <xf numFmtId="1" fontId="5" fillId="0" borderId="1" xfId="2" applyNumberFormat="1" applyFont="1" applyBorder="1" applyAlignment="1">
      <alignment horizontal="center" vertical="center"/>
    </xf>
    <xf numFmtId="1" fontId="5" fillId="0" borderId="2" xfId="2" applyNumberFormat="1" applyFont="1" applyBorder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2" borderId="0" xfId="0" applyFill="1"/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" fontId="5" fillId="0" borderId="1" xfId="2" applyNumberFormat="1" applyFont="1" applyBorder="1" applyAlignment="1" applyProtection="1">
      <alignment horizontal="center" vertical="center" wrapText="1" readingOrder="1"/>
      <protection locked="0"/>
    </xf>
    <xf numFmtId="0" fontId="8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5" fillId="0" borderId="1" xfId="2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0" xfId="1" applyNumberFormat="1" applyFont="1" applyFill="1" applyAlignment="1">
      <alignment horizontal="left" vertical="center"/>
    </xf>
    <xf numFmtId="164" fontId="6" fillId="0" borderId="5" xfId="1" applyNumberFormat="1" applyFont="1" applyFill="1" applyBorder="1" applyAlignment="1">
      <alignment horizontal="left" vertical="center" wrapText="1"/>
    </xf>
    <xf numFmtId="164" fontId="6" fillId="0" borderId="1" xfId="1" applyNumberFormat="1" applyFont="1" applyFill="1" applyBorder="1" applyAlignment="1">
      <alignment horizontal="center" vertical="center" wrapText="1"/>
    </xf>
    <xf numFmtId="0" fontId="13" fillId="0" borderId="1" xfId="1" applyNumberFormat="1" applyFont="1" applyFill="1" applyBorder="1" applyAlignment="1">
      <alignment horizontal="center" vertical="center" wrapText="1"/>
    </xf>
    <xf numFmtId="0" fontId="14" fillId="0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2" fillId="2" borderId="1" xfId="0" applyFont="1" applyFill="1" applyBorder="1"/>
    <xf numFmtId="44" fontId="2" fillId="2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6" xfId="1" applyNumberFormat="1" applyFont="1" applyFill="1" applyBorder="1" applyAlignment="1">
      <alignment horizontal="center" vertical="center" wrapText="1"/>
    </xf>
    <xf numFmtId="164" fontId="0" fillId="0" borderId="7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Fill="1" applyBorder="1" applyAlignment="1">
      <alignment horizontal="center" vertical="center" wrapText="1"/>
    </xf>
    <xf numFmtId="164" fontId="12" fillId="0" borderId="3" xfId="1" applyNumberFormat="1" applyFont="1" applyFill="1" applyBorder="1" applyAlignment="1">
      <alignment horizontal="center" vertical="center" wrapText="1"/>
    </xf>
    <xf numFmtId="164" fontId="12" fillId="0" borderId="4" xfId="1" applyNumberFormat="1" applyFont="1" applyFill="1" applyBorder="1" applyAlignment="1">
      <alignment horizontal="center" vertical="center" wrapText="1"/>
    </xf>
    <xf numFmtId="0" fontId="17" fillId="0" borderId="1" xfId="2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/>
    </xf>
  </cellXfs>
  <cellStyles count="3">
    <cellStyle name="Moneda" xfId="1" builtinId="4"/>
    <cellStyle name="Normal" xfId="0" builtinId="0"/>
    <cellStyle name="Normal 2" xfId="2" xr:uid="{2A5E9F73-4ECC-4D99-BD56-D500EC1062E2}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2CDC-BFF5-48C4-9527-BDE5ADEA649B}">
  <dimension ref="B3:H334"/>
  <sheetViews>
    <sheetView topLeftCell="A16" workbookViewId="0">
      <selection activeCell="O20" sqref="O20"/>
    </sheetView>
  </sheetViews>
  <sheetFormatPr baseColWidth="10" defaultRowHeight="15" x14ac:dyDescent="0.25"/>
  <cols>
    <col min="2" max="2" width="56.7109375" style="6" customWidth="1"/>
    <col min="3" max="3" width="4.85546875" bestFit="1" customWidth="1"/>
    <col min="4" max="4" width="5" bestFit="1" customWidth="1"/>
    <col min="5" max="6" width="12.7109375" style="26" customWidth="1"/>
    <col min="7" max="7" width="12.7109375" style="31" customWidth="1"/>
    <col min="8" max="8" width="11.42578125" style="14"/>
  </cols>
  <sheetData>
    <row r="3" spans="2:8" x14ac:dyDescent="0.25">
      <c r="B3" s="2" t="s">
        <v>340</v>
      </c>
      <c r="C3" s="35" t="s">
        <v>333</v>
      </c>
      <c r="D3" s="35" t="s">
        <v>339</v>
      </c>
      <c r="E3" s="36" t="s">
        <v>342</v>
      </c>
      <c r="F3" s="38" t="s">
        <v>343</v>
      </c>
      <c r="G3" s="39" t="s">
        <v>344</v>
      </c>
      <c r="H3" s="10">
        <v>1</v>
      </c>
    </row>
    <row r="4" spans="2:8" x14ac:dyDescent="0.25">
      <c r="B4" s="3" t="s">
        <v>1</v>
      </c>
      <c r="C4" s="35"/>
      <c r="D4" s="35"/>
      <c r="E4" s="37"/>
      <c r="F4" s="38"/>
      <c r="G4" s="40"/>
      <c r="H4" s="10">
        <v>9958</v>
      </c>
    </row>
    <row r="5" spans="2:8" x14ac:dyDescent="0.25">
      <c r="B5" s="4" t="s">
        <v>7</v>
      </c>
      <c r="C5" s="9" t="s">
        <v>334</v>
      </c>
      <c r="D5" s="9" t="s">
        <v>334</v>
      </c>
      <c r="E5" s="9" t="s">
        <v>334</v>
      </c>
      <c r="F5" s="9" t="s">
        <v>334</v>
      </c>
      <c r="G5" s="9" t="s">
        <v>334</v>
      </c>
      <c r="H5" s="9" t="s">
        <v>334</v>
      </c>
    </row>
    <row r="6" spans="2:8" x14ac:dyDescent="0.25">
      <c r="B6" s="5" t="s">
        <v>8</v>
      </c>
      <c r="C6" s="7">
        <v>518</v>
      </c>
      <c r="D6" s="13" t="s">
        <v>335</v>
      </c>
      <c r="E6" s="27"/>
      <c r="F6" s="28">
        <f>+G6*E6</f>
        <v>0</v>
      </c>
      <c r="G6" s="29">
        <f t="shared" ref="G6:G37" si="0">SUM(H6:H6)</f>
        <v>0</v>
      </c>
      <c r="H6" s="10">
        <f>+'9958'!D11</f>
        <v>0</v>
      </c>
    </row>
    <row r="7" spans="2:8" x14ac:dyDescent="0.25">
      <c r="B7" s="5" t="s">
        <v>9</v>
      </c>
      <c r="C7" s="7">
        <v>519</v>
      </c>
      <c r="D7" s="13" t="s">
        <v>335</v>
      </c>
      <c r="E7" s="27"/>
      <c r="F7" s="28">
        <f t="shared" ref="F7:F70" si="1">+G7*E7</f>
        <v>0</v>
      </c>
      <c r="G7" s="29">
        <f t="shared" si="0"/>
        <v>0</v>
      </c>
      <c r="H7" s="10">
        <f>+'9958'!D12</f>
        <v>0</v>
      </c>
    </row>
    <row r="8" spans="2:8" x14ac:dyDescent="0.25">
      <c r="B8" s="5" t="s">
        <v>10</v>
      </c>
      <c r="C8" s="7">
        <v>520</v>
      </c>
      <c r="D8" s="13" t="s">
        <v>335</v>
      </c>
      <c r="E8" s="27"/>
      <c r="F8" s="28">
        <f t="shared" si="1"/>
        <v>0</v>
      </c>
      <c r="G8" s="29">
        <f t="shared" si="0"/>
        <v>0</v>
      </c>
      <c r="H8" s="10">
        <f>+'9958'!D13</f>
        <v>0</v>
      </c>
    </row>
    <row r="9" spans="2:8" x14ac:dyDescent="0.25">
      <c r="B9" s="5" t="s">
        <v>11</v>
      </c>
      <c r="C9" s="7">
        <v>521</v>
      </c>
      <c r="D9" s="13" t="s">
        <v>335</v>
      </c>
      <c r="E9" s="27"/>
      <c r="F9" s="28">
        <f t="shared" si="1"/>
        <v>0</v>
      </c>
      <c r="G9" s="29">
        <f t="shared" si="0"/>
        <v>0</v>
      </c>
      <c r="H9" s="10">
        <f>+'9958'!D14</f>
        <v>0</v>
      </c>
    </row>
    <row r="10" spans="2:8" x14ac:dyDescent="0.25">
      <c r="B10" s="5" t="s">
        <v>12</v>
      </c>
      <c r="C10" s="7">
        <v>522</v>
      </c>
      <c r="D10" s="13" t="s">
        <v>335</v>
      </c>
      <c r="E10" s="27"/>
      <c r="F10" s="28">
        <f t="shared" si="1"/>
        <v>0</v>
      </c>
      <c r="G10" s="29">
        <f t="shared" si="0"/>
        <v>0</v>
      </c>
      <c r="H10" s="10">
        <f>+'9958'!D15</f>
        <v>0</v>
      </c>
    </row>
    <row r="11" spans="2:8" x14ac:dyDescent="0.25">
      <c r="B11" s="5" t="s">
        <v>13</v>
      </c>
      <c r="C11" s="7">
        <v>523</v>
      </c>
      <c r="D11" s="13" t="s">
        <v>335</v>
      </c>
      <c r="E11" s="27"/>
      <c r="F11" s="28">
        <f t="shared" si="1"/>
        <v>0</v>
      </c>
      <c r="G11" s="29">
        <f t="shared" si="0"/>
        <v>0</v>
      </c>
      <c r="H11" s="10">
        <f>+'9958'!D16</f>
        <v>0</v>
      </c>
    </row>
    <row r="12" spans="2:8" x14ac:dyDescent="0.25">
      <c r="B12" s="5" t="s">
        <v>14</v>
      </c>
      <c r="C12" s="7">
        <v>524</v>
      </c>
      <c r="D12" s="13" t="s">
        <v>335</v>
      </c>
      <c r="E12" s="27"/>
      <c r="F12" s="28">
        <f t="shared" si="1"/>
        <v>0</v>
      </c>
      <c r="G12" s="29">
        <f t="shared" si="0"/>
        <v>0</v>
      </c>
      <c r="H12" s="10">
        <f>+'9958'!D17</f>
        <v>0</v>
      </c>
    </row>
    <row r="13" spans="2:8" x14ac:dyDescent="0.25">
      <c r="B13" s="5" t="s">
        <v>15</v>
      </c>
      <c r="C13" s="7">
        <v>525</v>
      </c>
      <c r="D13" s="13" t="s">
        <v>335</v>
      </c>
      <c r="E13" s="27"/>
      <c r="F13" s="28">
        <f t="shared" si="1"/>
        <v>0</v>
      </c>
      <c r="G13" s="29">
        <f t="shared" si="0"/>
        <v>0</v>
      </c>
      <c r="H13" s="10">
        <f>+'9958'!D18</f>
        <v>0</v>
      </c>
    </row>
    <row r="14" spans="2:8" x14ac:dyDescent="0.25">
      <c r="B14" s="5" t="s">
        <v>16</v>
      </c>
      <c r="C14" s="7">
        <v>526</v>
      </c>
      <c r="D14" s="13" t="s">
        <v>335</v>
      </c>
      <c r="E14" s="27"/>
      <c r="F14" s="28">
        <f t="shared" si="1"/>
        <v>0</v>
      </c>
      <c r="G14" s="29">
        <f t="shared" si="0"/>
        <v>0</v>
      </c>
      <c r="H14" s="10">
        <f>+'9958'!D19</f>
        <v>0</v>
      </c>
    </row>
    <row r="15" spans="2:8" x14ac:dyDescent="0.25">
      <c r="B15" s="5" t="s">
        <v>17</v>
      </c>
      <c r="C15" s="7">
        <v>527</v>
      </c>
      <c r="D15" s="13" t="s">
        <v>335</v>
      </c>
      <c r="E15" s="27"/>
      <c r="F15" s="28">
        <f t="shared" si="1"/>
        <v>0</v>
      </c>
      <c r="G15" s="29">
        <f t="shared" si="0"/>
        <v>0</v>
      </c>
      <c r="H15" s="10">
        <f>+'9958'!D20</f>
        <v>0</v>
      </c>
    </row>
    <row r="16" spans="2:8" x14ac:dyDescent="0.25">
      <c r="B16" s="5" t="s">
        <v>18</v>
      </c>
      <c r="C16" s="7">
        <v>528</v>
      </c>
      <c r="D16" s="13" t="s">
        <v>335</v>
      </c>
      <c r="E16" s="27"/>
      <c r="F16" s="28">
        <f t="shared" si="1"/>
        <v>0</v>
      </c>
      <c r="G16" s="29">
        <f t="shared" si="0"/>
        <v>0</v>
      </c>
      <c r="H16" s="10">
        <f>+'9958'!D21</f>
        <v>0</v>
      </c>
    </row>
    <row r="17" spans="2:8" x14ac:dyDescent="0.25">
      <c r="B17" s="5" t="s">
        <v>19</v>
      </c>
      <c r="C17" s="7">
        <v>529</v>
      </c>
      <c r="D17" s="13" t="s">
        <v>335</v>
      </c>
      <c r="E17" s="27"/>
      <c r="F17" s="28">
        <f t="shared" si="1"/>
        <v>0</v>
      </c>
      <c r="G17" s="29">
        <f t="shared" si="0"/>
        <v>0</v>
      </c>
      <c r="H17" s="10">
        <f>+'9958'!D22</f>
        <v>0</v>
      </c>
    </row>
    <row r="18" spans="2:8" x14ac:dyDescent="0.25">
      <c r="B18" s="5" t="s">
        <v>20</v>
      </c>
      <c r="C18" s="7">
        <v>530</v>
      </c>
      <c r="D18" s="13" t="s">
        <v>335</v>
      </c>
      <c r="E18" s="27"/>
      <c r="F18" s="28">
        <f t="shared" si="1"/>
        <v>0</v>
      </c>
      <c r="G18" s="29">
        <f t="shared" si="0"/>
        <v>0</v>
      </c>
      <c r="H18" s="10">
        <f>+'9958'!D23</f>
        <v>0</v>
      </c>
    </row>
    <row r="19" spans="2:8" x14ac:dyDescent="0.25">
      <c r="B19" s="5" t="s">
        <v>21</v>
      </c>
      <c r="C19" s="7">
        <v>531</v>
      </c>
      <c r="D19" s="13" t="s">
        <v>335</v>
      </c>
      <c r="E19" s="27"/>
      <c r="F19" s="28">
        <f t="shared" si="1"/>
        <v>0</v>
      </c>
      <c r="G19" s="29">
        <f t="shared" si="0"/>
        <v>0</v>
      </c>
      <c r="H19" s="10">
        <f>+'9958'!D24</f>
        <v>0</v>
      </c>
    </row>
    <row r="20" spans="2:8" x14ac:dyDescent="0.25">
      <c r="B20" s="5" t="s">
        <v>22</v>
      </c>
      <c r="C20" s="7">
        <v>532</v>
      </c>
      <c r="D20" s="13" t="s">
        <v>335</v>
      </c>
      <c r="E20" s="27"/>
      <c r="F20" s="28">
        <f t="shared" si="1"/>
        <v>0</v>
      </c>
      <c r="G20" s="29">
        <f t="shared" si="0"/>
        <v>0</v>
      </c>
      <c r="H20" s="10">
        <f>+'9958'!D25</f>
        <v>0</v>
      </c>
    </row>
    <row r="21" spans="2:8" x14ac:dyDescent="0.25">
      <c r="B21" s="5" t="s">
        <v>23</v>
      </c>
      <c r="C21" s="7">
        <v>533</v>
      </c>
      <c r="D21" s="13" t="s">
        <v>335</v>
      </c>
      <c r="E21" s="27"/>
      <c r="F21" s="28">
        <f t="shared" si="1"/>
        <v>0</v>
      </c>
      <c r="G21" s="29">
        <f t="shared" si="0"/>
        <v>0</v>
      </c>
      <c r="H21" s="10">
        <f>+'9958'!D26</f>
        <v>0</v>
      </c>
    </row>
    <row r="22" spans="2:8" x14ac:dyDescent="0.25">
      <c r="B22" s="5" t="s">
        <v>24</v>
      </c>
      <c r="C22" s="7">
        <v>534</v>
      </c>
      <c r="D22" s="13" t="s">
        <v>335</v>
      </c>
      <c r="E22" s="27"/>
      <c r="F22" s="28">
        <f t="shared" si="1"/>
        <v>0</v>
      </c>
      <c r="G22" s="29">
        <f t="shared" si="0"/>
        <v>0</v>
      </c>
      <c r="H22" s="10">
        <f>+'9958'!D27</f>
        <v>0</v>
      </c>
    </row>
    <row r="23" spans="2:8" x14ac:dyDescent="0.25">
      <c r="B23" s="5" t="s">
        <v>25</v>
      </c>
      <c r="C23" s="7">
        <v>535</v>
      </c>
      <c r="D23" s="13" t="s">
        <v>336</v>
      </c>
      <c r="E23" s="27"/>
      <c r="F23" s="28">
        <f t="shared" si="1"/>
        <v>0</v>
      </c>
      <c r="G23" s="29">
        <f t="shared" si="0"/>
        <v>0</v>
      </c>
      <c r="H23" s="10">
        <f>+'9958'!D28</f>
        <v>0</v>
      </c>
    </row>
    <row r="24" spans="2:8" x14ac:dyDescent="0.25">
      <c r="B24" s="5" t="s">
        <v>26</v>
      </c>
      <c r="C24" s="7">
        <v>536</v>
      </c>
      <c r="D24" s="13" t="s">
        <v>336</v>
      </c>
      <c r="E24" s="27"/>
      <c r="F24" s="28">
        <f t="shared" si="1"/>
        <v>0</v>
      </c>
      <c r="G24" s="29">
        <f t="shared" si="0"/>
        <v>0</v>
      </c>
      <c r="H24" s="10">
        <f>+'9958'!D29</f>
        <v>0</v>
      </c>
    </row>
    <row r="25" spans="2:8" x14ac:dyDescent="0.25">
      <c r="B25" s="5" t="s">
        <v>27</v>
      </c>
      <c r="C25" s="7">
        <v>537</v>
      </c>
      <c r="D25" s="13" t="s">
        <v>335</v>
      </c>
      <c r="E25" s="27"/>
      <c r="F25" s="28">
        <f t="shared" si="1"/>
        <v>0</v>
      </c>
      <c r="G25" s="29">
        <f t="shared" si="0"/>
        <v>0</v>
      </c>
      <c r="H25" s="10">
        <f>+'9958'!D30</f>
        <v>0</v>
      </c>
    </row>
    <row r="26" spans="2:8" x14ac:dyDescent="0.25">
      <c r="B26" s="5" t="s">
        <v>28</v>
      </c>
      <c r="C26" s="7">
        <v>538</v>
      </c>
      <c r="D26" s="13" t="s">
        <v>335</v>
      </c>
      <c r="E26" s="27"/>
      <c r="F26" s="28">
        <f t="shared" si="1"/>
        <v>0</v>
      </c>
      <c r="G26" s="29">
        <f t="shared" si="0"/>
        <v>0</v>
      </c>
      <c r="H26" s="10">
        <f>+'9958'!D31</f>
        <v>0</v>
      </c>
    </row>
    <row r="27" spans="2:8" x14ac:dyDescent="0.25">
      <c r="B27" s="5" t="s">
        <v>29</v>
      </c>
      <c r="C27" s="7">
        <v>539</v>
      </c>
      <c r="D27" s="13" t="s">
        <v>335</v>
      </c>
      <c r="E27" s="27"/>
      <c r="F27" s="28">
        <f t="shared" si="1"/>
        <v>0</v>
      </c>
      <c r="G27" s="29">
        <f t="shared" si="0"/>
        <v>0</v>
      </c>
      <c r="H27" s="10">
        <f>+'9958'!D32</f>
        <v>0</v>
      </c>
    </row>
    <row r="28" spans="2:8" x14ac:dyDescent="0.25">
      <c r="B28" s="5" t="s">
        <v>30</v>
      </c>
      <c r="C28" s="7">
        <v>540</v>
      </c>
      <c r="D28" s="13" t="s">
        <v>335</v>
      </c>
      <c r="E28" s="27"/>
      <c r="F28" s="28">
        <f t="shared" si="1"/>
        <v>0</v>
      </c>
      <c r="G28" s="29">
        <f t="shared" si="0"/>
        <v>0</v>
      </c>
      <c r="H28" s="10">
        <f>+'9958'!D33</f>
        <v>0</v>
      </c>
    </row>
    <row r="29" spans="2:8" x14ac:dyDescent="0.25">
      <c r="B29" s="5" t="s">
        <v>31</v>
      </c>
      <c r="C29" s="7">
        <v>541</v>
      </c>
      <c r="D29" s="13" t="s">
        <v>335</v>
      </c>
      <c r="E29" s="27"/>
      <c r="F29" s="28">
        <f t="shared" si="1"/>
        <v>0</v>
      </c>
      <c r="G29" s="29">
        <f t="shared" si="0"/>
        <v>0</v>
      </c>
      <c r="H29" s="10">
        <f>+'9958'!D34</f>
        <v>0</v>
      </c>
    </row>
    <row r="30" spans="2:8" x14ac:dyDescent="0.25">
      <c r="B30" s="5" t="s">
        <v>32</v>
      </c>
      <c r="C30" s="7">
        <v>542</v>
      </c>
      <c r="D30" s="13" t="s">
        <v>335</v>
      </c>
      <c r="E30" s="27"/>
      <c r="F30" s="28">
        <f t="shared" si="1"/>
        <v>0</v>
      </c>
      <c r="G30" s="29">
        <f t="shared" si="0"/>
        <v>0</v>
      </c>
      <c r="H30" s="10">
        <f>+'9958'!D35</f>
        <v>0</v>
      </c>
    </row>
    <row r="31" spans="2:8" x14ac:dyDescent="0.25">
      <c r="B31" s="5" t="s">
        <v>33</v>
      </c>
      <c r="C31" s="7">
        <v>543</v>
      </c>
      <c r="D31" s="13" t="s">
        <v>335</v>
      </c>
      <c r="E31" s="27"/>
      <c r="F31" s="28">
        <f t="shared" si="1"/>
        <v>0</v>
      </c>
      <c r="G31" s="29">
        <f t="shared" si="0"/>
        <v>0</v>
      </c>
      <c r="H31" s="10">
        <f>+'9958'!D36</f>
        <v>0</v>
      </c>
    </row>
    <row r="32" spans="2:8" x14ac:dyDescent="0.25">
      <c r="B32" s="5" t="s">
        <v>34</v>
      </c>
      <c r="C32" s="7">
        <v>544</v>
      </c>
      <c r="D32" s="13" t="s">
        <v>335</v>
      </c>
      <c r="E32" s="27"/>
      <c r="F32" s="28">
        <f t="shared" si="1"/>
        <v>0</v>
      </c>
      <c r="G32" s="29">
        <f t="shared" si="0"/>
        <v>0</v>
      </c>
      <c r="H32" s="10">
        <f>+'9958'!D37</f>
        <v>0</v>
      </c>
    </row>
    <row r="33" spans="2:8" x14ac:dyDescent="0.25">
      <c r="B33" s="5" t="s">
        <v>35</v>
      </c>
      <c r="C33" s="7">
        <v>545</v>
      </c>
      <c r="D33" s="13" t="s">
        <v>335</v>
      </c>
      <c r="E33" s="27"/>
      <c r="F33" s="28">
        <f t="shared" si="1"/>
        <v>0</v>
      </c>
      <c r="G33" s="29">
        <f t="shared" si="0"/>
        <v>0</v>
      </c>
      <c r="H33" s="10">
        <f>+'9958'!D38</f>
        <v>0</v>
      </c>
    </row>
    <row r="34" spans="2:8" x14ac:dyDescent="0.25">
      <c r="B34" s="5" t="s">
        <v>36</v>
      </c>
      <c r="C34" s="7">
        <v>546</v>
      </c>
      <c r="D34" s="13" t="s">
        <v>335</v>
      </c>
      <c r="E34" s="27"/>
      <c r="F34" s="28">
        <f t="shared" si="1"/>
        <v>0</v>
      </c>
      <c r="G34" s="29">
        <f t="shared" si="0"/>
        <v>0</v>
      </c>
      <c r="H34" s="10">
        <f>+'9958'!D39</f>
        <v>0</v>
      </c>
    </row>
    <row r="35" spans="2:8" x14ac:dyDescent="0.25">
      <c r="B35" s="5" t="s">
        <v>37</v>
      </c>
      <c r="C35" s="7">
        <v>547</v>
      </c>
      <c r="D35" s="13" t="s">
        <v>335</v>
      </c>
      <c r="E35" s="27"/>
      <c r="F35" s="28">
        <f t="shared" si="1"/>
        <v>0</v>
      </c>
      <c r="G35" s="29">
        <f t="shared" si="0"/>
        <v>0</v>
      </c>
      <c r="H35" s="10">
        <f>+'9958'!D40</f>
        <v>0</v>
      </c>
    </row>
    <row r="36" spans="2:8" x14ac:dyDescent="0.25">
      <c r="B36" s="5" t="s">
        <v>38</v>
      </c>
      <c r="C36" s="7">
        <v>548</v>
      </c>
      <c r="D36" s="13" t="s">
        <v>335</v>
      </c>
      <c r="E36" s="27"/>
      <c r="F36" s="28">
        <f t="shared" si="1"/>
        <v>0</v>
      </c>
      <c r="G36" s="29">
        <f t="shared" si="0"/>
        <v>0</v>
      </c>
      <c r="H36" s="10">
        <f>+'9958'!D41</f>
        <v>0</v>
      </c>
    </row>
    <row r="37" spans="2:8" x14ac:dyDescent="0.25">
      <c r="B37" s="5" t="s">
        <v>39</v>
      </c>
      <c r="C37" s="7">
        <v>549</v>
      </c>
      <c r="D37" s="13" t="s">
        <v>335</v>
      </c>
      <c r="E37" s="27"/>
      <c r="F37" s="28">
        <f t="shared" si="1"/>
        <v>0</v>
      </c>
      <c r="G37" s="29">
        <f t="shared" si="0"/>
        <v>0</v>
      </c>
      <c r="H37" s="10">
        <f>+'9958'!D42</f>
        <v>0</v>
      </c>
    </row>
    <row r="38" spans="2:8" x14ac:dyDescent="0.25">
      <c r="B38" s="5" t="s">
        <v>40</v>
      </c>
      <c r="C38" s="7">
        <v>550</v>
      </c>
      <c r="D38" s="13" t="s">
        <v>335</v>
      </c>
      <c r="E38" s="27"/>
      <c r="F38" s="28">
        <f t="shared" si="1"/>
        <v>0</v>
      </c>
      <c r="G38" s="29">
        <f t="shared" ref="G38:G69" si="2">SUM(H38:H38)</f>
        <v>0</v>
      </c>
      <c r="H38" s="10">
        <f>+'9958'!D43</f>
        <v>0</v>
      </c>
    </row>
    <row r="39" spans="2:8" x14ac:dyDescent="0.25">
      <c r="B39" s="5" t="s">
        <v>41</v>
      </c>
      <c r="C39" s="7">
        <v>551</v>
      </c>
      <c r="D39" s="13" t="s">
        <v>335</v>
      </c>
      <c r="E39" s="27"/>
      <c r="F39" s="28">
        <f t="shared" si="1"/>
        <v>0</v>
      </c>
      <c r="G39" s="29">
        <f t="shared" si="2"/>
        <v>0</v>
      </c>
      <c r="H39" s="10">
        <f>+'9958'!D44</f>
        <v>0</v>
      </c>
    </row>
    <row r="40" spans="2:8" x14ac:dyDescent="0.25">
      <c r="B40" s="5" t="s">
        <v>42</v>
      </c>
      <c r="C40" s="7">
        <v>552</v>
      </c>
      <c r="D40" s="13" t="s">
        <v>335</v>
      </c>
      <c r="E40" s="27"/>
      <c r="F40" s="28">
        <f t="shared" si="1"/>
        <v>0</v>
      </c>
      <c r="G40" s="29">
        <f t="shared" si="2"/>
        <v>0</v>
      </c>
      <c r="H40" s="10">
        <f>+'9958'!D45</f>
        <v>0</v>
      </c>
    </row>
    <row r="41" spans="2:8" x14ac:dyDescent="0.25">
      <c r="B41" s="5" t="s">
        <v>43</v>
      </c>
      <c r="C41" s="7">
        <v>553</v>
      </c>
      <c r="D41" s="13" t="s">
        <v>335</v>
      </c>
      <c r="E41" s="27"/>
      <c r="F41" s="28">
        <f t="shared" si="1"/>
        <v>0</v>
      </c>
      <c r="G41" s="29">
        <f t="shared" si="2"/>
        <v>0</v>
      </c>
      <c r="H41" s="10">
        <f>+'9958'!D46</f>
        <v>0</v>
      </c>
    </row>
    <row r="42" spans="2:8" x14ac:dyDescent="0.25">
      <c r="B42" s="5" t="s">
        <v>44</v>
      </c>
      <c r="C42" s="7">
        <v>554</v>
      </c>
      <c r="D42" s="13" t="s">
        <v>335</v>
      </c>
      <c r="E42" s="27"/>
      <c r="F42" s="28">
        <f t="shared" si="1"/>
        <v>0</v>
      </c>
      <c r="G42" s="29">
        <f t="shared" si="2"/>
        <v>0</v>
      </c>
      <c r="H42" s="10">
        <f>+'9958'!D47</f>
        <v>0</v>
      </c>
    </row>
    <row r="43" spans="2:8" x14ac:dyDescent="0.25">
      <c r="B43" s="5" t="s">
        <v>45</v>
      </c>
      <c r="C43" s="7">
        <v>555</v>
      </c>
      <c r="D43" s="13" t="s">
        <v>335</v>
      </c>
      <c r="E43" s="27"/>
      <c r="F43" s="28">
        <f t="shared" si="1"/>
        <v>0</v>
      </c>
      <c r="G43" s="29">
        <f t="shared" si="2"/>
        <v>0</v>
      </c>
      <c r="H43" s="10">
        <f>+'9958'!D48</f>
        <v>0</v>
      </c>
    </row>
    <row r="44" spans="2:8" x14ac:dyDescent="0.25">
      <c r="B44" s="5" t="s">
        <v>46</v>
      </c>
      <c r="C44" s="7">
        <v>556</v>
      </c>
      <c r="D44" s="13" t="s">
        <v>335</v>
      </c>
      <c r="E44" s="27"/>
      <c r="F44" s="28">
        <f t="shared" si="1"/>
        <v>0</v>
      </c>
      <c r="G44" s="29">
        <f t="shared" si="2"/>
        <v>0</v>
      </c>
      <c r="H44" s="10">
        <f>+'9958'!D49</f>
        <v>0</v>
      </c>
    </row>
    <row r="45" spans="2:8" x14ac:dyDescent="0.25">
      <c r="B45" s="5" t="s">
        <v>47</v>
      </c>
      <c r="C45" s="7">
        <v>557</v>
      </c>
      <c r="D45" s="13" t="s">
        <v>335</v>
      </c>
      <c r="E45" s="27"/>
      <c r="F45" s="28">
        <f t="shared" si="1"/>
        <v>0</v>
      </c>
      <c r="G45" s="29">
        <f t="shared" si="2"/>
        <v>0</v>
      </c>
      <c r="H45" s="10">
        <f>+'9958'!D50</f>
        <v>0</v>
      </c>
    </row>
    <row r="46" spans="2:8" x14ac:dyDescent="0.25">
      <c r="B46" s="5" t="s">
        <v>48</v>
      </c>
      <c r="C46" s="7">
        <v>558</v>
      </c>
      <c r="D46" s="13" t="s">
        <v>335</v>
      </c>
      <c r="E46" s="27"/>
      <c r="F46" s="28">
        <f t="shared" si="1"/>
        <v>0</v>
      </c>
      <c r="G46" s="29">
        <f t="shared" si="2"/>
        <v>0</v>
      </c>
      <c r="H46" s="10">
        <f>+'9958'!D51</f>
        <v>0</v>
      </c>
    </row>
    <row r="47" spans="2:8" x14ac:dyDescent="0.25">
      <c r="B47" s="5" t="s">
        <v>49</v>
      </c>
      <c r="C47" s="7">
        <v>559</v>
      </c>
      <c r="D47" s="13" t="s">
        <v>335</v>
      </c>
      <c r="E47" s="27"/>
      <c r="F47" s="28">
        <f t="shared" si="1"/>
        <v>0</v>
      </c>
      <c r="G47" s="29">
        <f t="shared" si="2"/>
        <v>0</v>
      </c>
      <c r="H47" s="10">
        <f>+'9958'!D52</f>
        <v>0</v>
      </c>
    </row>
    <row r="48" spans="2:8" x14ac:dyDescent="0.25">
      <c r="B48" s="5" t="s">
        <v>50</v>
      </c>
      <c r="C48" s="7">
        <v>560</v>
      </c>
      <c r="D48" s="13" t="s">
        <v>335</v>
      </c>
      <c r="E48" s="27"/>
      <c r="F48" s="28">
        <f t="shared" si="1"/>
        <v>0</v>
      </c>
      <c r="G48" s="29">
        <f t="shared" si="2"/>
        <v>0</v>
      </c>
      <c r="H48" s="10">
        <f>+'9958'!D53</f>
        <v>0</v>
      </c>
    </row>
    <row r="49" spans="2:8" x14ac:dyDescent="0.25">
      <c r="B49" s="5" t="s">
        <v>51</v>
      </c>
      <c r="C49" s="7">
        <v>561</v>
      </c>
      <c r="D49" s="13" t="s">
        <v>335</v>
      </c>
      <c r="E49" s="27"/>
      <c r="F49" s="28">
        <f t="shared" si="1"/>
        <v>0</v>
      </c>
      <c r="G49" s="29">
        <f t="shared" si="2"/>
        <v>0</v>
      </c>
      <c r="H49" s="10">
        <f>+'9958'!D54</f>
        <v>0</v>
      </c>
    </row>
    <row r="50" spans="2:8" x14ac:dyDescent="0.25">
      <c r="B50" s="5" t="s">
        <v>52</v>
      </c>
      <c r="C50" s="7">
        <v>562</v>
      </c>
      <c r="D50" s="13" t="s">
        <v>335</v>
      </c>
      <c r="E50" s="27"/>
      <c r="F50" s="28">
        <f t="shared" si="1"/>
        <v>0</v>
      </c>
      <c r="G50" s="29">
        <f t="shared" si="2"/>
        <v>0</v>
      </c>
      <c r="H50" s="10">
        <f>+'9958'!D55</f>
        <v>0</v>
      </c>
    </row>
    <row r="51" spans="2:8" x14ac:dyDescent="0.25">
      <c r="B51" s="5" t="s">
        <v>53</v>
      </c>
      <c r="C51" s="7">
        <v>563</v>
      </c>
      <c r="D51" s="13" t="s">
        <v>335</v>
      </c>
      <c r="E51" s="27"/>
      <c r="F51" s="28">
        <f t="shared" si="1"/>
        <v>0</v>
      </c>
      <c r="G51" s="29">
        <f t="shared" si="2"/>
        <v>0</v>
      </c>
      <c r="H51" s="10">
        <f>+'9958'!D56</f>
        <v>0</v>
      </c>
    </row>
    <row r="52" spans="2:8" x14ac:dyDescent="0.25">
      <c r="B52" s="5" t="s">
        <v>54</v>
      </c>
      <c r="C52" s="7">
        <v>564</v>
      </c>
      <c r="D52" s="13" t="s">
        <v>335</v>
      </c>
      <c r="E52" s="27"/>
      <c r="F52" s="28">
        <f t="shared" si="1"/>
        <v>0</v>
      </c>
      <c r="G52" s="29">
        <f t="shared" si="2"/>
        <v>0</v>
      </c>
      <c r="H52" s="10">
        <f>+'9958'!D57</f>
        <v>0</v>
      </c>
    </row>
    <row r="53" spans="2:8" x14ac:dyDescent="0.25">
      <c r="B53" s="5" t="s">
        <v>55</v>
      </c>
      <c r="C53" s="7">
        <v>565</v>
      </c>
      <c r="D53" s="13" t="s">
        <v>335</v>
      </c>
      <c r="E53" s="27"/>
      <c r="F53" s="28">
        <f t="shared" si="1"/>
        <v>0</v>
      </c>
      <c r="G53" s="29">
        <f t="shared" si="2"/>
        <v>0</v>
      </c>
      <c r="H53" s="10">
        <f>+'9958'!D58</f>
        <v>0</v>
      </c>
    </row>
    <row r="54" spans="2:8" x14ac:dyDescent="0.25">
      <c r="B54" s="5" t="s">
        <v>56</v>
      </c>
      <c r="C54" s="7">
        <v>566</v>
      </c>
      <c r="D54" s="13" t="s">
        <v>335</v>
      </c>
      <c r="E54" s="27"/>
      <c r="F54" s="28">
        <f t="shared" si="1"/>
        <v>0</v>
      </c>
      <c r="G54" s="29">
        <f t="shared" si="2"/>
        <v>0</v>
      </c>
      <c r="H54" s="10">
        <f>+'9958'!D59</f>
        <v>0</v>
      </c>
    </row>
    <row r="55" spans="2:8" x14ac:dyDescent="0.25">
      <c r="B55" s="5" t="s">
        <v>57</v>
      </c>
      <c r="C55" s="7">
        <v>567</v>
      </c>
      <c r="D55" s="13" t="s">
        <v>335</v>
      </c>
      <c r="E55" s="27"/>
      <c r="F55" s="28">
        <f t="shared" si="1"/>
        <v>0</v>
      </c>
      <c r="G55" s="29">
        <f t="shared" si="2"/>
        <v>0</v>
      </c>
      <c r="H55" s="10">
        <f>+'9958'!D60</f>
        <v>0</v>
      </c>
    </row>
    <row r="56" spans="2:8" x14ac:dyDescent="0.25">
      <c r="B56" s="5" t="s">
        <v>58</v>
      </c>
      <c r="C56" s="7">
        <v>568</v>
      </c>
      <c r="D56" s="13" t="s">
        <v>335</v>
      </c>
      <c r="E56" s="27"/>
      <c r="F56" s="28">
        <f t="shared" si="1"/>
        <v>0</v>
      </c>
      <c r="G56" s="29">
        <f t="shared" si="2"/>
        <v>0</v>
      </c>
      <c r="H56" s="10">
        <f>+'9958'!D61</f>
        <v>0</v>
      </c>
    </row>
    <row r="57" spans="2:8" x14ac:dyDescent="0.25">
      <c r="B57" s="5" t="s">
        <v>59</v>
      </c>
      <c r="C57" s="7">
        <v>569</v>
      </c>
      <c r="D57" s="13" t="s">
        <v>335</v>
      </c>
      <c r="E57" s="27"/>
      <c r="F57" s="28">
        <f t="shared" si="1"/>
        <v>0</v>
      </c>
      <c r="G57" s="29">
        <f t="shared" si="2"/>
        <v>0</v>
      </c>
      <c r="H57" s="10">
        <f>+'9958'!D62</f>
        <v>0</v>
      </c>
    </row>
    <row r="58" spans="2:8" x14ac:dyDescent="0.25">
      <c r="B58" s="5" t="s">
        <v>60</v>
      </c>
      <c r="C58" s="7">
        <v>570</v>
      </c>
      <c r="D58" s="13" t="s">
        <v>335</v>
      </c>
      <c r="E58" s="27"/>
      <c r="F58" s="28">
        <f t="shared" si="1"/>
        <v>0</v>
      </c>
      <c r="G58" s="29">
        <f t="shared" si="2"/>
        <v>0</v>
      </c>
      <c r="H58" s="10">
        <f>+'9958'!D63</f>
        <v>0</v>
      </c>
    </row>
    <row r="59" spans="2:8" x14ac:dyDescent="0.25">
      <c r="B59" s="5" t="s">
        <v>61</v>
      </c>
      <c r="C59" s="7">
        <v>571</v>
      </c>
      <c r="D59" s="13" t="s">
        <v>335</v>
      </c>
      <c r="E59" s="27"/>
      <c r="F59" s="28">
        <f t="shared" si="1"/>
        <v>0</v>
      </c>
      <c r="G59" s="29">
        <f t="shared" si="2"/>
        <v>0</v>
      </c>
      <c r="H59" s="10">
        <f>+'9958'!D64</f>
        <v>0</v>
      </c>
    </row>
    <row r="60" spans="2:8" x14ac:dyDescent="0.25">
      <c r="B60" s="5" t="s">
        <v>62</v>
      </c>
      <c r="C60" s="7">
        <v>572</v>
      </c>
      <c r="D60" s="13" t="s">
        <v>335</v>
      </c>
      <c r="E60" s="27"/>
      <c r="F60" s="28">
        <f t="shared" si="1"/>
        <v>0</v>
      </c>
      <c r="G60" s="29">
        <f t="shared" si="2"/>
        <v>0</v>
      </c>
      <c r="H60" s="10">
        <f>+'9958'!D65</f>
        <v>0</v>
      </c>
    </row>
    <row r="61" spans="2:8" x14ac:dyDescent="0.25">
      <c r="B61" s="5" t="s">
        <v>63</v>
      </c>
      <c r="C61" s="7">
        <v>573</v>
      </c>
      <c r="D61" s="13" t="s">
        <v>335</v>
      </c>
      <c r="E61" s="27"/>
      <c r="F61" s="28">
        <f t="shared" si="1"/>
        <v>0</v>
      </c>
      <c r="G61" s="29">
        <f t="shared" si="2"/>
        <v>0</v>
      </c>
      <c r="H61" s="10">
        <f>+'9958'!D66</f>
        <v>0</v>
      </c>
    </row>
    <row r="62" spans="2:8" x14ac:dyDescent="0.25">
      <c r="B62" s="5" t="s">
        <v>64</v>
      </c>
      <c r="C62" s="7">
        <v>574</v>
      </c>
      <c r="D62" s="13" t="s">
        <v>335</v>
      </c>
      <c r="E62" s="27"/>
      <c r="F62" s="28">
        <f t="shared" si="1"/>
        <v>0</v>
      </c>
      <c r="G62" s="29">
        <f t="shared" si="2"/>
        <v>0</v>
      </c>
      <c r="H62" s="10">
        <f>+'9958'!D67</f>
        <v>0</v>
      </c>
    </row>
    <row r="63" spans="2:8" x14ac:dyDescent="0.25">
      <c r="B63" s="5" t="s">
        <v>65</v>
      </c>
      <c r="C63" s="7">
        <v>575</v>
      </c>
      <c r="D63" s="13" t="s">
        <v>335</v>
      </c>
      <c r="E63" s="27"/>
      <c r="F63" s="28">
        <f t="shared" si="1"/>
        <v>0</v>
      </c>
      <c r="G63" s="29">
        <f t="shared" si="2"/>
        <v>0</v>
      </c>
      <c r="H63" s="10">
        <f>+'9958'!D68</f>
        <v>0</v>
      </c>
    </row>
    <row r="64" spans="2:8" x14ac:dyDescent="0.25">
      <c r="B64" s="5" t="s">
        <v>66</v>
      </c>
      <c r="C64" s="7">
        <v>576</v>
      </c>
      <c r="D64" s="13" t="s">
        <v>335</v>
      </c>
      <c r="E64" s="27"/>
      <c r="F64" s="28">
        <f t="shared" si="1"/>
        <v>0</v>
      </c>
      <c r="G64" s="29">
        <f t="shared" si="2"/>
        <v>0</v>
      </c>
      <c r="H64" s="10">
        <f>+'9958'!D69</f>
        <v>0</v>
      </c>
    </row>
    <row r="65" spans="2:8" x14ac:dyDescent="0.25">
      <c r="B65" s="5" t="s">
        <v>67</v>
      </c>
      <c r="C65" s="7">
        <v>577</v>
      </c>
      <c r="D65" s="13" t="s">
        <v>335</v>
      </c>
      <c r="E65" s="27"/>
      <c r="F65" s="28">
        <f t="shared" si="1"/>
        <v>0</v>
      </c>
      <c r="G65" s="29">
        <f t="shared" si="2"/>
        <v>0</v>
      </c>
      <c r="H65" s="10">
        <f>+'9958'!D70</f>
        <v>0</v>
      </c>
    </row>
    <row r="66" spans="2:8" x14ac:dyDescent="0.25">
      <c r="B66" s="5" t="s">
        <v>68</v>
      </c>
      <c r="C66" s="7">
        <v>578</v>
      </c>
      <c r="D66" s="13" t="s">
        <v>335</v>
      </c>
      <c r="E66" s="27"/>
      <c r="F66" s="28">
        <f t="shared" si="1"/>
        <v>0</v>
      </c>
      <c r="G66" s="29">
        <f t="shared" si="2"/>
        <v>0</v>
      </c>
      <c r="H66" s="10">
        <f>+'9958'!D71</f>
        <v>0</v>
      </c>
    </row>
    <row r="67" spans="2:8" x14ac:dyDescent="0.25">
      <c r="B67" s="5" t="s">
        <v>69</v>
      </c>
      <c r="C67" s="7">
        <v>579</v>
      </c>
      <c r="D67" s="13" t="s">
        <v>335</v>
      </c>
      <c r="E67" s="27"/>
      <c r="F67" s="28">
        <f t="shared" si="1"/>
        <v>0</v>
      </c>
      <c r="G67" s="29">
        <f t="shared" si="2"/>
        <v>0</v>
      </c>
      <c r="H67" s="10">
        <f>+'9958'!D72</f>
        <v>0</v>
      </c>
    </row>
    <row r="68" spans="2:8" x14ac:dyDescent="0.25">
      <c r="B68" s="5" t="s">
        <v>70</v>
      </c>
      <c r="C68" s="7">
        <v>580</v>
      </c>
      <c r="D68" s="13" t="s">
        <v>335</v>
      </c>
      <c r="E68" s="27"/>
      <c r="F68" s="28">
        <f t="shared" si="1"/>
        <v>0</v>
      </c>
      <c r="G68" s="29">
        <f t="shared" si="2"/>
        <v>0</v>
      </c>
      <c r="H68" s="10">
        <f>+'9958'!D73</f>
        <v>0</v>
      </c>
    </row>
    <row r="69" spans="2:8" x14ac:dyDescent="0.25">
      <c r="B69" s="5" t="s">
        <v>71</v>
      </c>
      <c r="C69" s="7">
        <v>581</v>
      </c>
      <c r="D69" s="13" t="s">
        <v>336</v>
      </c>
      <c r="E69" s="27"/>
      <c r="F69" s="28">
        <f t="shared" si="1"/>
        <v>0</v>
      </c>
      <c r="G69" s="29">
        <f t="shared" si="2"/>
        <v>0</v>
      </c>
      <c r="H69" s="10">
        <f>+'9958'!D74</f>
        <v>0</v>
      </c>
    </row>
    <row r="70" spans="2:8" x14ac:dyDescent="0.25">
      <c r="B70" s="5" t="s">
        <v>72</v>
      </c>
      <c r="C70" s="7">
        <v>582</v>
      </c>
      <c r="D70" s="13" t="s">
        <v>336</v>
      </c>
      <c r="E70" s="27"/>
      <c r="F70" s="28">
        <f t="shared" si="1"/>
        <v>0</v>
      </c>
      <c r="G70" s="29">
        <f t="shared" ref="G70:G101" si="3">SUM(H70:H70)</f>
        <v>0</v>
      </c>
      <c r="H70" s="10">
        <f>+'9958'!D75</f>
        <v>0</v>
      </c>
    </row>
    <row r="71" spans="2:8" x14ac:dyDescent="0.25">
      <c r="B71" s="5" t="s">
        <v>73</v>
      </c>
      <c r="C71" s="7">
        <v>583</v>
      </c>
      <c r="D71" s="13" t="s">
        <v>336</v>
      </c>
      <c r="E71" s="27"/>
      <c r="F71" s="28">
        <f t="shared" ref="F71:F134" si="4">+G71*E71</f>
        <v>0</v>
      </c>
      <c r="G71" s="29">
        <f t="shared" si="3"/>
        <v>0</v>
      </c>
      <c r="H71" s="10">
        <f>+'9958'!D76</f>
        <v>0</v>
      </c>
    </row>
    <row r="72" spans="2:8" x14ac:dyDescent="0.25">
      <c r="B72" s="5" t="s">
        <v>74</v>
      </c>
      <c r="C72" s="7">
        <v>584</v>
      </c>
      <c r="D72" s="13" t="s">
        <v>336</v>
      </c>
      <c r="E72" s="27"/>
      <c r="F72" s="28">
        <f t="shared" si="4"/>
        <v>0</v>
      </c>
      <c r="G72" s="29">
        <f t="shared" si="3"/>
        <v>0</v>
      </c>
      <c r="H72" s="10">
        <f>+'9958'!D77</f>
        <v>0</v>
      </c>
    </row>
    <row r="73" spans="2:8" x14ac:dyDescent="0.25">
      <c r="B73" s="5" t="s">
        <v>75</v>
      </c>
      <c r="C73" s="7">
        <v>585</v>
      </c>
      <c r="D73" s="13" t="s">
        <v>336</v>
      </c>
      <c r="E73" s="27"/>
      <c r="F73" s="28">
        <f t="shared" si="4"/>
        <v>0</v>
      </c>
      <c r="G73" s="29">
        <f t="shared" si="3"/>
        <v>0</v>
      </c>
      <c r="H73" s="10">
        <f>+'9958'!D78</f>
        <v>0</v>
      </c>
    </row>
    <row r="74" spans="2:8" x14ac:dyDescent="0.25">
      <c r="B74" s="5" t="s">
        <v>76</v>
      </c>
      <c r="C74" s="7">
        <v>586</v>
      </c>
      <c r="D74" s="13" t="s">
        <v>336</v>
      </c>
      <c r="E74" s="27"/>
      <c r="F74" s="28">
        <f t="shared" si="4"/>
        <v>0</v>
      </c>
      <c r="G74" s="29">
        <f t="shared" si="3"/>
        <v>0</v>
      </c>
      <c r="H74" s="10">
        <f>+'9958'!D79</f>
        <v>0</v>
      </c>
    </row>
    <row r="75" spans="2:8" x14ac:dyDescent="0.25">
      <c r="B75" s="5" t="s">
        <v>77</v>
      </c>
      <c r="C75" s="7">
        <v>587</v>
      </c>
      <c r="D75" s="13" t="s">
        <v>336</v>
      </c>
      <c r="E75" s="27"/>
      <c r="F75" s="28">
        <f t="shared" si="4"/>
        <v>0</v>
      </c>
      <c r="G75" s="29">
        <f t="shared" si="3"/>
        <v>0</v>
      </c>
      <c r="H75" s="10">
        <f>+'9958'!D80</f>
        <v>0</v>
      </c>
    </row>
    <row r="76" spans="2:8" x14ac:dyDescent="0.25">
      <c r="B76" s="5" t="s">
        <v>78</v>
      </c>
      <c r="C76" s="7">
        <v>588</v>
      </c>
      <c r="D76" s="13" t="s">
        <v>336</v>
      </c>
      <c r="E76" s="27"/>
      <c r="F76" s="28">
        <f t="shared" si="4"/>
        <v>0</v>
      </c>
      <c r="G76" s="29">
        <f t="shared" si="3"/>
        <v>0</v>
      </c>
      <c r="H76" s="10">
        <f>+'9958'!D81</f>
        <v>0</v>
      </c>
    </row>
    <row r="77" spans="2:8" x14ac:dyDescent="0.25">
      <c r="B77" s="5" t="s">
        <v>79</v>
      </c>
      <c r="C77" s="7">
        <v>589</v>
      </c>
      <c r="D77" s="13" t="s">
        <v>336</v>
      </c>
      <c r="E77" s="27"/>
      <c r="F77" s="28">
        <f t="shared" si="4"/>
        <v>0</v>
      </c>
      <c r="G77" s="29">
        <f t="shared" si="3"/>
        <v>0</v>
      </c>
      <c r="H77" s="10">
        <f>+'9958'!D82</f>
        <v>0</v>
      </c>
    </row>
    <row r="78" spans="2:8" x14ac:dyDescent="0.25">
      <c r="B78" s="5" t="s">
        <v>80</v>
      </c>
      <c r="C78" s="7">
        <v>590</v>
      </c>
      <c r="D78" s="13" t="s">
        <v>336</v>
      </c>
      <c r="E78" s="27"/>
      <c r="F78" s="28">
        <f t="shared" si="4"/>
        <v>0</v>
      </c>
      <c r="G78" s="29">
        <f t="shared" si="3"/>
        <v>0</v>
      </c>
      <c r="H78" s="10">
        <f>+'9958'!D83</f>
        <v>0</v>
      </c>
    </row>
    <row r="79" spans="2:8" x14ac:dyDescent="0.25">
      <c r="B79" s="5" t="s">
        <v>81</v>
      </c>
      <c r="C79" s="7">
        <v>591</v>
      </c>
      <c r="D79" s="13" t="s">
        <v>335</v>
      </c>
      <c r="E79" s="27"/>
      <c r="F79" s="28">
        <f t="shared" si="4"/>
        <v>0</v>
      </c>
      <c r="G79" s="29">
        <f t="shared" si="3"/>
        <v>0</v>
      </c>
      <c r="H79" s="10">
        <f>+'9958'!D84</f>
        <v>0</v>
      </c>
    </row>
    <row r="80" spans="2:8" x14ac:dyDescent="0.25">
      <c r="B80" s="5" t="s">
        <v>82</v>
      </c>
      <c r="C80" s="7">
        <v>592</v>
      </c>
      <c r="D80" s="13" t="s">
        <v>335</v>
      </c>
      <c r="E80" s="27"/>
      <c r="F80" s="28">
        <f t="shared" si="4"/>
        <v>0</v>
      </c>
      <c r="G80" s="29">
        <f t="shared" si="3"/>
        <v>0</v>
      </c>
      <c r="H80" s="10">
        <f>+'9958'!D85</f>
        <v>0</v>
      </c>
    </row>
    <row r="81" spans="2:8" x14ac:dyDescent="0.25">
      <c r="B81" s="5" t="s">
        <v>83</v>
      </c>
      <c r="C81" s="7">
        <v>593</v>
      </c>
      <c r="D81" s="13" t="s">
        <v>335</v>
      </c>
      <c r="E81" s="27"/>
      <c r="F81" s="28">
        <f t="shared" si="4"/>
        <v>0</v>
      </c>
      <c r="G81" s="29">
        <f t="shared" si="3"/>
        <v>0</v>
      </c>
      <c r="H81" s="10">
        <f>+'9958'!D86</f>
        <v>0</v>
      </c>
    </row>
    <row r="82" spans="2:8" x14ac:dyDescent="0.25">
      <c r="B82" s="5" t="s">
        <v>84</v>
      </c>
      <c r="C82" s="7">
        <v>594</v>
      </c>
      <c r="D82" s="13" t="s">
        <v>335</v>
      </c>
      <c r="E82" s="27"/>
      <c r="F82" s="28">
        <f t="shared" si="4"/>
        <v>0</v>
      </c>
      <c r="G82" s="29">
        <f t="shared" si="3"/>
        <v>0</v>
      </c>
      <c r="H82" s="10">
        <f>+'9958'!D87</f>
        <v>0</v>
      </c>
    </row>
    <row r="83" spans="2:8" x14ac:dyDescent="0.25">
      <c r="B83" s="5" t="s">
        <v>85</v>
      </c>
      <c r="C83" s="7">
        <v>595</v>
      </c>
      <c r="D83" s="13" t="s">
        <v>335</v>
      </c>
      <c r="E83" s="27"/>
      <c r="F83" s="28">
        <f t="shared" si="4"/>
        <v>0</v>
      </c>
      <c r="G83" s="29">
        <f t="shared" si="3"/>
        <v>0</v>
      </c>
      <c r="H83" s="10">
        <f>+'9958'!D88</f>
        <v>0</v>
      </c>
    </row>
    <row r="84" spans="2:8" x14ac:dyDescent="0.25">
      <c r="B84" s="5" t="s">
        <v>86</v>
      </c>
      <c r="C84" s="7">
        <v>596</v>
      </c>
      <c r="D84" s="13" t="s">
        <v>335</v>
      </c>
      <c r="E84" s="27"/>
      <c r="F84" s="28">
        <f t="shared" si="4"/>
        <v>0</v>
      </c>
      <c r="G84" s="29">
        <f t="shared" si="3"/>
        <v>0</v>
      </c>
      <c r="H84" s="10">
        <f>+'9958'!D89</f>
        <v>0</v>
      </c>
    </row>
    <row r="85" spans="2:8" x14ac:dyDescent="0.25">
      <c r="B85" s="5" t="s">
        <v>87</v>
      </c>
      <c r="C85" s="7">
        <v>597</v>
      </c>
      <c r="D85" s="13" t="s">
        <v>335</v>
      </c>
      <c r="E85" s="27"/>
      <c r="F85" s="28">
        <f t="shared" si="4"/>
        <v>0</v>
      </c>
      <c r="G85" s="29">
        <f t="shared" si="3"/>
        <v>0</v>
      </c>
      <c r="H85" s="10">
        <f>+'9958'!D90</f>
        <v>0</v>
      </c>
    </row>
    <row r="86" spans="2:8" x14ac:dyDescent="0.25">
      <c r="B86" s="5" t="s">
        <v>88</v>
      </c>
      <c r="C86" s="7">
        <v>598</v>
      </c>
      <c r="D86" s="13" t="s">
        <v>335</v>
      </c>
      <c r="E86" s="27"/>
      <c r="F86" s="28">
        <f t="shared" si="4"/>
        <v>0</v>
      </c>
      <c r="G86" s="29">
        <f t="shared" si="3"/>
        <v>0</v>
      </c>
      <c r="H86" s="10">
        <f>+'9958'!D91</f>
        <v>0</v>
      </c>
    </row>
    <row r="87" spans="2:8" x14ac:dyDescent="0.25">
      <c r="B87" s="5" t="s">
        <v>89</v>
      </c>
      <c r="C87" s="7">
        <v>599</v>
      </c>
      <c r="D87" s="13" t="s">
        <v>335</v>
      </c>
      <c r="E87" s="27"/>
      <c r="F87" s="28">
        <f t="shared" si="4"/>
        <v>0</v>
      </c>
      <c r="G87" s="29">
        <f t="shared" si="3"/>
        <v>0</v>
      </c>
      <c r="H87" s="10">
        <f>+'9958'!D92</f>
        <v>0</v>
      </c>
    </row>
    <row r="88" spans="2:8" x14ac:dyDescent="0.25">
      <c r="B88" s="5" t="s">
        <v>90</v>
      </c>
      <c r="C88" s="7">
        <v>600</v>
      </c>
      <c r="D88" s="13" t="s">
        <v>335</v>
      </c>
      <c r="E88" s="27"/>
      <c r="F88" s="28">
        <f t="shared" si="4"/>
        <v>0</v>
      </c>
      <c r="G88" s="29">
        <f t="shared" si="3"/>
        <v>0</v>
      </c>
      <c r="H88" s="10">
        <f>+'9958'!D93</f>
        <v>0</v>
      </c>
    </row>
    <row r="89" spans="2:8" x14ac:dyDescent="0.25">
      <c r="B89" s="5" t="s">
        <v>91</v>
      </c>
      <c r="C89" s="7">
        <v>601</v>
      </c>
      <c r="D89" s="13" t="s">
        <v>335</v>
      </c>
      <c r="E89" s="27"/>
      <c r="F89" s="28">
        <f t="shared" si="4"/>
        <v>0</v>
      </c>
      <c r="G89" s="29">
        <f t="shared" si="3"/>
        <v>0</v>
      </c>
      <c r="H89" s="10">
        <f>+'9958'!D94</f>
        <v>0</v>
      </c>
    </row>
    <row r="90" spans="2:8" x14ac:dyDescent="0.25">
      <c r="B90" s="5" t="s">
        <v>92</v>
      </c>
      <c r="C90" s="7">
        <v>602</v>
      </c>
      <c r="D90" s="13" t="s">
        <v>335</v>
      </c>
      <c r="E90" s="27"/>
      <c r="F90" s="28">
        <f t="shared" si="4"/>
        <v>0</v>
      </c>
      <c r="G90" s="29">
        <f t="shared" si="3"/>
        <v>0</v>
      </c>
      <c r="H90" s="10">
        <f>+'9958'!D95</f>
        <v>0</v>
      </c>
    </row>
    <row r="91" spans="2:8" x14ac:dyDescent="0.25">
      <c r="B91" s="5" t="s">
        <v>93</v>
      </c>
      <c r="C91" s="7">
        <v>603</v>
      </c>
      <c r="D91" s="13" t="s">
        <v>335</v>
      </c>
      <c r="E91" s="27"/>
      <c r="F91" s="28">
        <f t="shared" si="4"/>
        <v>0</v>
      </c>
      <c r="G91" s="29">
        <f t="shared" si="3"/>
        <v>0</v>
      </c>
      <c r="H91" s="10">
        <f>+'9958'!D96</f>
        <v>0</v>
      </c>
    </row>
    <row r="92" spans="2:8" x14ac:dyDescent="0.25">
      <c r="B92" s="5" t="s">
        <v>94</v>
      </c>
      <c r="C92" s="7">
        <v>604</v>
      </c>
      <c r="D92" s="13" t="s">
        <v>335</v>
      </c>
      <c r="E92" s="27"/>
      <c r="F92" s="28">
        <f t="shared" si="4"/>
        <v>0</v>
      </c>
      <c r="G92" s="29">
        <f t="shared" si="3"/>
        <v>0</v>
      </c>
      <c r="H92" s="10">
        <f>+'9958'!D97</f>
        <v>0</v>
      </c>
    </row>
    <row r="93" spans="2:8" x14ac:dyDescent="0.25">
      <c r="B93" s="5" t="s">
        <v>95</v>
      </c>
      <c r="C93" s="7">
        <v>605</v>
      </c>
      <c r="D93" s="13" t="s">
        <v>335</v>
      </c>
      <c r="E93" s="27"/>
      <c r="F93" s="28">
        <f t="shared" si="4"/>
        <v>0</v>
      </c>
      <c r="G93" s="29">
        <f t="shared" si="3"/>
        <v>0</v>
      </c>
      <c r="H93" s="10">
        <f>+'9958'!D98</f>
        <v>0</v>
      </c>
    </row>
    <row r="94" spans="2:8" x14ac:dyDescent="0.25">
      <c r="B94" s="5" t="s">
        <v>96</v>
      </c>
      <c r="C94" s="7">
        <v>606</v>
      </c>
      <c r="D94" s="13" t="s">
        <v>335</v>
      </c>
      <c r="E94" s="27"/>
      <c r="F94" s="28">
        <f t="shared" si="4"/>
        <v>0</v>
      </c>
      <c r="G94" s="29">
        <f t="shared" si="3"/>
        <v>0</v>
      </c>
      <c r="H94" s="10">
        <f>+'9958'!D99</f>
        <v>0</v>
      </c>
    </row>
    <row r="95" spans="2:8" x14ac:dyDescent="0.25">
      <c r="B95" s="5" t="s">
        <v>97</v>
      </c>
      <c r="C95" s="7">
        <v>607</v>
      </c>
      <c r="D95" s="13" t="s">
        <v>335</v>
      </c>
      <c r="E95" s="27"/>
      <c r="F95" s="28">
        <f t="shared" si="4"/>
        <v>0</v>
      </c>
      <c r="G95" s="29">
        <f t="shared" si="3"/>
        <v>0</v>
      </c>
      <c r="H95" s="10">
        <f>+'9958'!D100</f>
        <v>0</v>
      </c>
    </row>
    <row r="96" spans="2:8" x14ac:dyDescent="0.25">
      <c r="B96" s="5" t="s">
        <v>98</v>
      </c>
      <c r="C96" s="7">
        <v>608</v>
      </c>
      <c r="D96" s="13" t="s">
        <v>335</v>
      </c>
      <c r="E96" s="27"/>
      <c r="F96" s="28">
        <f t="shared" si="4"/>
        <v>0</v>
      </c>
      <c r="G96" s="29">
        <f t="shared" si="3"/>
        <v>0</v>
      </c>
      <c r="H96" s="10">
        <f>+'9958'!D101</f>
        <v>0</v>
      </c>
    </row>
    <row r="97" spans="2:8" x14ac:dyDescent="0.25">
      <c r="B97" s="5" t="s">
        <v>99</v>
      </c>
      <c r="C97" s="7">
        <v>609</v>
      </c>
      <c r="D97" s="13" t="s">
        <v>335</v>
      </c>
      <c r="E97" s="27"/>
      <c r="F97" s="28">
        <f t="shared" si="4"/>
        <v>0</v>
      </c>
      <c r="G97" s="29">
        <f t="shared" si="3"/>
        <v>0</v>
      </c>
      <c r="H97" s="10">
        <f>+'9958'!D102</f>
        <v>0</v>
      </c>
    </row>
    <row r="98" spans="2:8" x14ac:dyDescent="0.25">
      <c r="B98" s="5" t="s">
        <v>100</v>
      </c>
      <c r="C98" s="7">
        <v>610</v>
      </c>
      <c r="D98" s="13" t="s">
        <v>335</v>
      </c>
      <c r="E98" s="27"/>
      <c r="F98" s="28">
        <f t="shared" si="4"/>
        <v>0</v>
      </c>
      <c r="G98" s="29">
        <f t="shared" si="3"/>
        <v>0</v>
      </c>
      <c r="H98" s="10">
        <f>+'9958'!D103</f>
        <v>0</v>
      </c>
    </row>
    <row r="99" spans="2:8" x14ac:dyDescent="0.25">
      <c r="B99" s="5" t="s">
        <v>101</v>
      </c>
      <c r="C99" s="7">
        <v>611</v>
      </c>
      <c r="D99" s="13" t="s">
        <v>335</v>
      </c>
      <c r="E99" s="27"/>
      <c r="F99" s="28">
        <f t="shared" si="4"/>
        <v>0</v>
      </c>
      <c r="G99" s="29">
        <f t="shared" si="3"/>
        <v>0</v>
      </c>
      <c r="H99" s="10">
        <f>+'9958'!D104</f>
        <v>0</v>
      </c>
    </row>
    <row r="100" spans="2:8" x14ac:dyDescent="0.25">
      <c r="B100" s="5" t="s">
        <v>102</v>
      </c>
      <c r="C100" s="7">
        <v>612</v>
      </c>
      <c r="D100" s="13" t="s">
        <v>335</v>
      </c>
      <c r="E100" s="27"/>
      <c r="F100" s="28">
        <f t="shared" si="4"/>
        <v>0</v>
      </c>
      <c r="G100" s="29">
        <f t="shared" si="3"/>
        <v>0</v>
      </c>
      <c r="H100" s="10">
        <f>+'9958'!D105</f>
        <v>0</v>
      </c>
    </row>
    <row r="101" spans="2:8" x14ac:dyDescent="0.25">
      <c r="B101" s="5" t="s">
        <v>103</v>
      </c>
      <c r="C101" s="7">
        <v>613</v>
      </c>
      <c r="D101" s="13" t="s">
        <v>335</v>
      </c>
      <c r="E101" s="27"/>
      <c r="F101" s="28">
        <f t="shared" si="4"/>
        <v>0</v>
      </c>
      <c r="G101" s="29">
        <f t="shared" si="3"/>
        <v>0</v>
      </c>
      <c r="H101" s="10">
        <f>+'9958'!D106</f>
        <v>0</v>
      </c>
    </row>
    <row r="102" spans="2:8" x14ac:dyDescent="0.25">
      <c r="B102" s="5" t="s">
        <v>104</v>
      </c>
      <c r="C102" s="7">
        <v>614</v>
      </c>
      <c r="D102" s="13" t="s">
        <v>335</v>
      </c>
      <c r="E102" s="27"/>
      <c r="F102" s="28">
        <f t="shared" si="4"/>
        <v>0</v>
      </c>
      <c r="G102" s="29">
        <f t="shared" ref="G102:G133" si="5">SUM(H102:H102)</f>
        <v>0</v>
      </c>
      <c r="H102" s="10">
        <f>+'9958'!D107</f>
        <v>0</v>
      </c>
    </row>
    <row r="103" spans="2:8" x14ac:dyDescent="0.25">
      <c r="B103" s="5" t="s">
        <v>105</v>
      </c>
      <c r="C103" s="7">
        <v>615</v>
      </c>
      <c r="D103" s="13" t="s">
        <v>335</v>
      </c>
      <c r="E103" s="27"/>
      <c r="F103" s="28">
        <f t="shared" si="4"/>
        <v>0</v>
      </c>
      <c r="G103" s="29">
        <f t="shared" si="5"/>
        <v>0</v>
      </c>
      <c r="H103" s="10">
        <f>+'9958'!D108</f>
        <v>0</v>
      </c>
    </row>
    <row r="104" spans="2:8" x14ac:dyDescent="0.25">
      <c r="B104" s="5" t="s">
        <v>106</v>
      </c>
      <c r="C104" s="7">
        <v>616</v>
      </c>
      <c r="D104" s="13" t="s">
        <v>335</v>
      </c>
      <c r="E104" s="27"/>
      <c r="F104" s="28">
        <f t="shared" si="4"/>
        <v>0</v>
      </c>
      <c r="G104" s="29">
        <f t="shared" si="5"/>
        <v>0</v>
      </c>
      <c r="H104" s="10">
        <f>+'9958'!D109</f>
        <v>0</v>
      </c>
    </row>
    <row r="105" spans="2:8" x14ac:dyDescent="0.25">
      <c r="B105" s="5" t="s">
        <v>107</v>
      </c>
      <c r="C105" s="7">
        <v>617</v>
      </c>
      <c r="D105" s="13" t="s">
        <v>335</v>
      </c>
      <c r="E105" s="27"/>
      <c r="F105" s="28">
        <f t="shared" si="4"/>
        <v>0</v>
      </c>
      <c r="G105" s="29">
        <f t="shared" si="5"/>
        <v>0</v>
      </c>
      <c r="H105" s="10">
        <f>+'9958'!D110</f>
        <v>0</v>
      </c>
    </row>
    <row r="106" spans="2:8" x14ac:dyDescent="0.25">
      <c r="B106" s="5" t="s">
        <v>108</v>
      </c>
      <c r="C106" s="7">
        <v>618</v>
      </c>
      <c r="D106" s="13" t="s">
        <v>335</v>
      </c>
      <c r="E106" s="27"/>
      <c r="F106" s="28">
        <f t="shared" si="4"/>
        <v>0</v>
      </c>
      <c r="G106" s="29">
        <f t="shared" si="5"/>
        <v>0</v>
      </c>
      <c r="H106" s="10">
        <f>+'9958'!D111</f>
        <v>0</v>
      </c>
    </row>
    <row r="107" spans="2:8" x14ac:dyDescent="0.25">
      <c r="B107" s="5" t="s">
        <v>109</v>
      </c>
      <c r="C107" s="7">
        <v>619</v>
      </c>
      <c r="D107" s="13" t="s">
        <v>335</v>
      </c>
      <c r="E107" s="27"/>
      <c r="F107" s="28">
        <f t="shared" si="4"/>
        <v>0</v>
      </c>
      <c r="G107" s="29">
        <f t="shared" si="5"/>
        <v>0</v>
      </c>
      <c r="H107" s="10">
        <f>+'9958'!D112</f>
        <v>0</v>
      </c>
    </row>
    <row r="108" spans="2:8" x14ac:dyDescent="0.25">
      <c r="B108" s="5" t="s">
        <v>110</v>
      </c>
      <c r="C108" s="7">
        <v>620</v>
      </c>
      <c r="D108" s="13" t="s">
        <v>335</v>
      </c>
      <c r="E108" s="27"/>
      <c r="F108" s="28">
        <f t="shared" si="4"/>
        <v>0</v>
      </c>
      <c r="G108" s="29">
        <f t="shared" si="5"/>
        <v>0</v>
      </c>
      <c r="H108" s="10">
        <f>+'9958'!D113</f>
        <v>0</v>
      </c>
    </row>
    <row r="109" spans="2:8" x14ac:dyDescent="0.25">
      <c r="B109" s="5" t="s">
        <v>111</v>
      </c>
      <c r="C109" s="7">
        <v>621</v>
      </c>
      <c r="D109" s="13" t="s">
        <v>335</v>
      </c>
      <c r="E109" s="27"/>
      <c r="F109" s="28">
        <f t="shared" si="4"/>
        <v>0</v>
      </c>
      <c r="G109" s="29">
        <f t="shared" si="5"/>
        <v>0</v>
      </c>
      <c r="H109" s="10">
        <f>+'9958'!D114</f>
        <v>0</v>
      </c>
    </row>
    <row r="110" spans="2:8" x14ac:dyDescent="0.25">
      <c r="B110" s="5" t="s">
        <v>112</v>
      </c>
      <c r="C110" s="7">
        <v>622</v>
      </c>
      <c r="D110" s="13" t="s">
        <v>335</v>
      </c>
      <c r="E110" s="27"/>
      <c r="F110" s="28">
        <f t="shared" si="4"/>
        <v>0</v>
      </c>
      <c r="G110" s="29">
        <f t="shared" si="5"/>
        <v>0</v>
      </c>
      <c r="H110" s="10">
        <f>+'9958'!D115</f>
        <v>0</v>
      </c>
    </row>
    <row r="111" spans="2:8" x14ac:dyDescent="0.25">
      <c r="B111" s="5" t="s">
        <v>113</v>
      </c>
      <c r="C111" s="7">
        <v>623</v>
      </c>
      <c r="D111" s="13" t="s">
        <v>335</v>
      </c>
      <c r="E111" s="27"/>
      <c r="F111" s="28">
        <f t="shared" si="4"/>
        <v>0</v>
      </c>
      <c r="G111" s="29">
        <f t="shared" si="5"/>
        <v>0</v>
      </c>
      <c r="H111" s="10">
        <f>+'9958'!D116</f>
        <v>0</v>
      </c>
    </row>
    <row r="112" spans="2:8" x14ac:dyDescent="0.25">
      <c r="B112" s="5" t="s">
        <v>114</v>
      </c>
      <c r="C112" s="7">
        <v>624</v>
      </c>
      <c r="D112" s="13" t="s">
        <v>335</v>
      </c>
      <c r="E112" s="27"/>
      <c r="F112" s="28">
        <f t="shared" si="4"/>
        <v>0</v>
      </c>
      <c r="G112" s="29">
        <f t="shared" si="5"/>
        <v>0</v>
      </c>
      <c r="H112" s="10">
        <f>+'9958'!D117</f>
        <v>0</v>
      </c>
    </row>
    <row r="113" spans="2:8" x14ac:dyDescent="0.25">
      <c r="B113" s="5" t="s">
        <v>115</v>
      </c>
      <c r="C113" s="7">
        <v>625</v>
      </c>
      <c r="D113" s="13" t="s">
        <v>335</v>
      </c>
      <c r="E113" s="27"/>
      <c r="F113" s="28">
        <f t="shared" si="4"/>
        <v>0</v>
      </c>
      <c r="G113" s="29">
        <f t="shared" si="5"/>
        <v>0</v>
      </c>
      <c r="H113" s="10">
        <f>+'9958'!D118</f>
        <v>0</v>
      </c>
    </row>
    <row r="114" spans="2:8" x14ac:dyDescent="0.25">
      <c r="B114" s="5" t="s">
        <v>116</v>
      </c>
      <c r="C114" s="7">
        <v>626</v>
      </c>
      <c r="D114" s="13" t="s">
        <v>335</v>
      </c>
      <c r="E114" s="27"/>
      <c r="F114" s="28">
        <f t="shared" si="4"/>
        <v>0</v>
      </c>
      <c r="G114" s="29">
        <f t="shared" si="5"/>
        <v>0</v>
      </c>
      <c r="H114" s="10">
        <f>+'9958'!D119</f>
        <v>0</v>
      </c>
    </row>
    <row r="115" spans="2:8" x14ac:dyDescent="0.25">
      <c r="B115" s="5" t="s">
        <v>117</v>
      </c>
      <c r="C115" s="7">
        <v>627</v>
      </c>
      <c r="D115" s="13" t="s">
        <v>335</v>
      </c>
      <c r="E115" s="27"/>
      <c r="F115" s="28">
        <f t="shared" si="4"/>
        <v>0</v>
      </c>
      <c r="G115" s="29">
        <f t="shared" si="5"/>
        <v>0</v>
      </c>
      <c r="H115" s="10">
        <f>+'9958'!D120</f>
        <v>0</v>
      </c>
    </row>
    <row r="116" spans="2:8" x14ac:dyDescent="0.25">
      <c r="B116" s="5" t="s">
        <v>118</v>
      </c>
      <c r="C116" s="7">
        <v>628</v>
      </c>
      <c r="D116" s="13" t="s">
        <v>335</v>
      </c>
      <c r="E116" s="27"/>
      <c r="F116" s="28">
        <f t="shared" si="4"/>
        <v>0</v>
      </c>
      <c r="G116" s="29">
        <f t="shared" si="5"/>
        <v>0</v>
      </c>
      <c r="H116" s="10">
        <f>+'9958'!D121</f>
        <v>0</v>
      </c>
    </row>
    <row r="117" spans="2:8" x14ac:dyDescent="0.25">
      <c r="B117" s="5" t="s">
        <v>119</v>
      </c>
      <c r="C117" s="7">
        <v>629</v>
      </c>
      <c r="D117" s="13" t="s">
        <v>335</v>
      </c>
      <c r="E117" s="27"/>
      <c r="F117" s="28">
        <f t="shared" si="4"/>
        <v>0</v>
      </c>
      <c r="G117" s="29">
        <f t="shared" si="5"/>
        <v>0</v>
      </c>
      <c r="H117" s="10">
        <f>+'9958'!D122</f>
        <v>0</v>
      </c>
    </row>
    <row r="118" spans="2:8" x14ac:dyDescent="0.25">
      <c r="B118" s="5" t="s">
        <v>120</v>
      </c>
      <c r="C118" s="7">
        <v>630</v>
      </c>
      <c r="D118" s="13" t="s">
        <v>335</v>
      </c>
      <c r="E118" s="27"/>
      <c r="F118" s="28">
        <f t="shared" si="4"/>
        <v>0</v>
      </c>
      <c r="G118" s="29">
        <f t="shared" si="5"/>
        <v>0</v>
      </c>
      <c r="H118" s="10">
        <f>+'9958'!D123</f>
        <v>0</v>
      </c>
    </row>
    <row r="119" spans="2:8" x14ac:dyDescent="0.25">
      <c r="B119" s="5" t="s">
        <v>121</v>
      </c>
      <c r="C119" s="7">
        <v>631</v>
      </c>
      <c r="D119" s="13" t="s">
        <v>335</v>
      </c>
      <c r="E119" s="27"/>
      <c r="F119" s="28">
        <f t="shared" si="4"/>
        <v>0</v>
      </c>
      <c r="G119" s="29">
        <f t="shared" si="5"/>
        <v>0</v>
      </c>
      <c r="H119" s="10">
        <f>+'9958'!D124</f>
        <v>0</v>
      </c>
    </row>
    <row r="120" spans="2:8" x14ac:dyDescent="0.25">
      <c r="B120" s="5" t="s">
        <v>122</v>
      </c>
      <c r="C120" s="7">
        <v>632</v>
      </c>
      <c r="D120" s="13" t="s">
        <v>335</v>
      </c>
      <c r="E120" s="27"/>
      <c r="F120" s="28">
        <f t="shared" si="4"/>
        <v>0</v>
      </c>
      <c r="G120" s="29">
        <f t="shared" si="5"/>
        <v>0</v>
      </c>
      <c r="H120" s="10">
        <f>+'9958'!D125</f>
        <v>0</v>
      </c>
    </row>
    <row r="121" spans="2:8" x14ac:dyDescent="0.25">
      <c r="B121" s="5" t="s">
        <v>123</v>
      </c>
      <c r="C121" s="7">
        <v>633</v>
      </c>
      <c r="D121" s="13" t="s">
        <v>335</v>
      </c>
      <c r="E121" s="27"/>
      <c r="F121" s="28">
        <f t="shared" si="4"/>
        <v>0</v>
      </c>
      <c r="G121" s="29">
        <f t="shared" si="5"/>
        <v>0</v>
      </c>
      <c r="H121" s="10">
        <f>+'9958'!D126</f>
        <v>0</v>
      </c>
    </row>
    <row r="122" spans="2:8" x14ac:dyDescent="0.25">
      <c r="B122" s="5" t="s">
        <v>124</v>
      </c>
      <c r="C122" s="7">
        <v>634</v>
      </c>
      <c r="D122" s="13" t="s">
        <v>335</v>
      </c>
      <c r="E122" s="27"/>
      <c r="F122" s="28">
        <f t="shared" si="4"/>
        <v>0</v>
      </c>
      <c r="G122" s="29">
        <f t="shared" si="5"/>
        <v>0</v>
      </c>
      <c r="H122" s="10">
        <f>+'9958'!D127</f>
        <v>0</v>
      </c>
    </row>
    <row r="123" spans="2:8" x14ac:dyDescent="0.25">
      <c r="B123" s="5" t="s">
        <v>125</v>
      </c>
      <c r="C123" s="7">
        <v>635</v>
      </c>
      <c r="D123" s="13" t="s">
        <v>335</v>
      </c>
      <c r="E123" s="27"/>
      <c r="F123" s="28">
        <f t="shared" si="4"/>
        <v>0</v>
      </c>
      <c r="G123" s="29">
        <f t="shared" si="5"/>
        <v>0</v>
      </c>
      <c r="H123" s="10">
        <f>+'9958'!D128</f>
        <v>0</v>
      </c>
    </row>
    <row r="124" spans="2:8" x14ac:dyDescent="0.25">
      <c r="B124" s="5" t="s">
        <v>126</v>
      </c>
      <c r="C124" s="7">
        <v>636</v>
      </c>
      <c r="D124" s="13" t="s">
        <v>335</v>
      </c>
      <c r="E124" s="27"/>
      <c r="F124" s="28">
        <f t="shared" si="4"/>
        <v>0</v>
      </c>
      <c r="G124" s="29">
        <f t="shared" si="5"/>
        <v>0</v>
      </c>
      <c r="H124" s="10">
        <f>+'9958'!D129</f>
        <v>0</v>
      </c>
    </row>
    <row r="125" spans="2:8" x14ac:dyDescent="0.25">
      <c r="B125" s="5" t="s">
        <v>127</v>
      </c>
      <c r="C125" s="7">
        <v>637</v>
      </c>
      <c r="D125" s="13" t="s">
        <v>335</v>
      </c>
      <c r="E125" s="27"/>
      <c r="F125" s="28">
        <f t="shared" si="4"/>
        <v>0</v>
      </c>
      <c r="G125" s="29">
        <f t="shared" si="5"/>
        <v>0</v>
      </c>
      <c r="H125" s="10">
        <f>+'9958'!D130</f>
        <v>0</v>
      </c>
    </row>
    <row r="126" spans="2:8" x14ac:dyDescent="0.25">
      <c r="B126" s="5" t="s">
        <v>128</v>
      </c>
      <c r="C126" s="7">
        <v>638</v>
      </c>
      <c r="D126" s="13" t="s">
        <v>335</v>
      </c>
      <c r="E126" s="27"/>
      <c r="F126" s="28">
        <f t="shared" si="4"/>
        <v>0</v>
      </c>
      <c r="G126" s="29">
        <f t="shared" si="5"/>
        <v>0</v>
      </c>
      <c r="H126" s="10">
        <f>+'9958'!D131</f>
        <v>0</v>
      </c>
    </row>
    <row r="127" spans="2:8" x14ac:dyDescent="0.25">
      <c r="B127" s="5" t="s">
        <v>129</v>
      </c>
      <c r="C127" s="7">
        <v>639</v>
      </c>
      <c r="D127" s="13" t="s">
        <v>335</v>
      </c>
      <c r="E127" s="27"/>
      <c r="F127" s="28">
        <f t="shared" si="4"/>
        <v>0</v>
      </c>
      <c r="G127" s="29">
        <f t="shared" si="5"/>
        <v>0</v>
      </c>
      <c r="H127" s="10">
        <f>+'9958'!D132</f>
        <v>0</v>
      </c>
    </row>
    <row r="128" spans="2:8" x14ac:dyDescent="0.25">
      <c r="B128" s="5" t="s">
        <v>130</v>
      </c>
      <c r="C128" s="7">
        <v>640</v>
      </c>
      <c r="D128" s="13" t="s">
        <v>335</v>
      </c>
      <c r="E128" s="27"/>
      <c r="F128" s="28">
        <f t="shared" si="4"/>
        <v>0</v>
      </c>
      <c r="G128" s="29">
        <f t="shared" si="5"/>
        <v>0</v>
      </c>
      <c r="H128" s="10">
        <f>+'9958'!D133</f>
        <v>0</v>
      </c>
    </row>
    <row r="129" spans="2:8" x14ac:dyDescent="0.25">
      <c r="B129" s="5" t="s">
        <v>131</v>
      </c>
      <c r="C129" s="7">
        <v>641</v>
      </c>
      <c r="D129" s="13" t="s">
        <v>335</v>
      </c>
      <c r="E129" s="27"/>
      <c r="F129" s="28">
        <f t="shared" si="4"/>
        <v>0</v>
      </c>
      <c r="G129" s="29">
        <f t="shared" si="5"/>
        <v>0</v>
      </c>
      <c r="H129" s="10">
        <f>+'9958'!D134</f>
        <v>0</v>
      </c>
    </row>
    <row r="130" spans="2:8" x14ac:dyDescent="0.25">
      <c r="B130" s="5" t="s">
        <v>132</v>
      </c>
      <c r="C130" s="7">
        <v>642</v>
      </c>
      <c r="D130" s="13" t="s">
        <v>335</v>
      </c>
      <c r="E130" s="27"/>
      <c r="F130" s="28">
        <f t="shared" si="4"/>
        <v>0</v>
      </c>
      <c r="G130" s="29">
        <f t="shared" si="5"/>
        <v>0</v>
      </c>
      <c r="H130" s="10">
        <f>+'9958'!D135</f>
        <v>0</v>
      </c>
    </row>
    <row r="131" spans="2:8" x14ac:dyDescent="0.25">
      <c r="B131" s="5" t="s">
        <v>133</v>
      </c>
      <c r="C131" s="7">
        <v>643</v>
      </c>
      <c r="D131" s="13" t="s">
        <v>335</v>
      </c>
      <c r="E131" s="27"/>
      <c r="F131" s="28">
        <f t="shared" si="4"/>
        <v>0</v>
      </c>
      <c r="G131" s="29">
        <f t="shared" si="5"/>
        <v>0</v>
      </c>
      <c r="H131" s="10">
        <f>+'9958'!D136</f>
        <v>0</v>
      </c>
    </row>
    <row r="132" spans="2:8" x14ac:dyDescent="0.25">
      <c r="B132" s="5" t="s">
        <v>134</v>
      </c>
      <c r="C132" s="7">
        <v>644</v>
      </c>
      <c r="D132" s="13" t="s">
        <v>335</v>
      </c>
      <c r="E132" s="27"/>
      <c r="F132" s="28">
        <f t="shared" si="4"/>
        <v>0</v>
      </c>
      <c r="G132" s="29">
        <f t="shared" si="5"/>
        <v>0</v>
      </c>
      <c r="H132" s="10">
        <f>+'9958'!D137</f>
        <v>0</v>
      </c>
    </row>
    <row r="133" spans="2:8" x14ac:dyDescent="0.25">
      <c r="B133" s="5" t="s">
        <v>135</v>
      </c>
      <c r="C133" s="7">
        <v>645</v>
      </c>
      <c r="D133" s="13" t="s">
        <v>335</v>
      </c>
      <c r="E133" s="27"/>
      <c r="F133" s="28">
        <f t="shared" si="4"/>
        <v>0</v>
      </c>
      <c r="G133" s="29">
        <f t="shared" si="5"/>
        <v>0</v>
      </c>
      <c r="H133" s="10">
        <f>+'9958'!D138</f>
        <v>0</v>
      </c>
    </row>
    <row r="134" spans="2:8" x14ac:dyDescent="0.25">
      <c r="B134" s="5" t="s">
        <v>136</v>
      </c>
      <c r="C134" s="7">
        <v>646</v>
      </c>
      <c r="D134" s="13" t="s">
        <v>335</v>
      </c>
      <c r="E134" s="27"/>
      <c r="F134" s="28">
        <f t="shared" si="4"/>
        <v>0</v>
      </c>
      <c r="G134" s="29">
        <f t="shared" ref="G134:G165" si="6">SUM(H134:H134)</f>
        <v>0</v>
      </c>
      <c r="H134" s="10">
        <f>+'9958'!D139</f>
        <v>0</v>
      </c>
    </row>
    <row r="135" spans="2:8" x14ac:dyDescent="0.25">
      <c r="B135" s="5" t="s">
        <v>137</v>
      </c>
      <c r="C135" s="7">
        <v>647</v>
      </c>
      <c r="D135" s="13" t="s">
        <v>335</v>
      </c>
      <c r="E135" s="27"/>
      <c r="F135" s="28">
        <f t="shared" ref="F135:F198" si="7">+G135*E135</f>
        <v>0</v>
      </c>
      <c r="G135" s="29">
        <f t="shared" si="6"/>
        <v>0</v>
      </c>
      <c r="H135" s="10">
        <f>+'9958'!D140</f>
        <v>0</v>
      </c>
    </row>
    <row r="136" spans="2:8" x14ac:dyDescent="0.25">
      <c r="B136" s="5" t="s">
        <v>138</v>
      </c>
      <c r="C136" s="7">
        <v>648</v>
      </c>
      <c r="D136" s="13" t="s">
        <v>335</v>
      </c>
      <c r="E136" s="27"/>
      <c r="F136" s="28">
        <f t="shared" si="7"/>
        <v>0</v>
      </c>
      <c r="G136" s="29">
        <f t="shared" si="6"/>
        <v>0</v>
      </c>
      <c r="H136" s="10">
        <f>+'9958'!D141</f>
        <v>0</v>
      </c>
    </row>
    <row r="137" spans="2:8" x14ac:dyDescent="0.25">
      <c r="B137" s="5" t="s">
        <v>139</v>
      </c>
      <c r="C137" s="7">
        <v>649</v>
      </c>
      <c r="D137" s="13" t="s">
        <v>335</v>
      </c>
      <c r="E137" s="27"/>
      <c r="F137" s="28">
        <f t="shared" si="7"/>
        <v>0</v>
      </c>
      <c r="G137" s="29">
        <f t="shared" si="6"/>
        <v>0</v>
      </c>
      <c r="H137" s="10">
        <f>+'9958'!D142</f>
        <v>0</v>
      </c>
    </row>
    <row r="138" spans="2:8" x14ac:dyDescent="0.25">
      <c r="B138" s="5" t="s">
        <v>140</v>
      </c>
      <c r="C138" s="7">
        <v>650</v>
      </c>
      <c r="D138" s="13" t="s">
        <v>335</v>
      </c>
      <c r="E138" s="27"/>
      <c r="F138" s="28">
        <f t="shared" si="7"/>
        <v>0</v>
      </c>
      <c r="G138" s="29">
        <f t="shared" si="6"/>
        <v>0</v>
      </c>
      <c r="H138" s="10">
        <f>+'9958'!D143</f>
        <v>0</v>
      </c>
    </row>
    <row r="139" spans="2:8" x14ac:dyDescent="0.25">
      <c r="B139" s="5" t="s">
        <v>141</v>
      </c>
      <c r="C139" s="7">
        <v>651</v>
      </c>
      <c r="D139" s="13" t="s">
        <v>335</v>
      </c>
      <c r="E139" s="27"/>
      <c r="F139" s="28">
        <f t="shared" si="7"/>
        <v>0</v>
      </c>
      <c r="G139" s="29">
        <f t="shared" si="6"/>
        <v>0</v>
      </c>
      <c r="H139" s="10">
        <f>+'9958'!D144</f>
        <v>0</v>
      </c>
    </row>
    <row r="140" spans="2:8" x14ac:dyDescent="0.25">
      <c r="B140" s="5" t="s">
        <v>142</v>
      </c>
      <c r="C140" s="7">
        <v>652</v>
      </c>
      <c r="D140" s="13" t="s">
        <v>335</v>
      </c>
      <c r="E140" s="27"/>
      <c r="F140" s="28">
        <f t="shared" si="7"/>
        <v>0</v>
      </c>
      <c r="G140" s="29">
        <f t="shared" si="6"/>
        <v>0</v>
      </c>
      <c r="H140" s="10">
        <f>+'9958'!D145</f>
        <v>0</v>
      </c>
    </row>
    <row r="141" spans="2:8" x14ac:dyDescent="0.25">
      <c r="B141" s="5" t="s">
        <v>143</v>
      </c>
      <c r="C141" s="7">
        <v>653</v>
      </c>
      <c r="D141" s="13" t="s">
        <v>335</v>
      </c>
      <c r="E141" s="27"/>
      <c r="F141" s="28">
        <f t="shared" si="7"/>
        <v>0</v>
      </c>
      <c r="G141" s="29">
        <f t="shared" si="6"/>
        <v>0</v>
      </c>
      <c r="H141" s="10">
        <f>+'9958'!D146</f>
        <v>0</v>
      </c>
    </row>
    <row r="142" spans="2:8" x14ac:dyDescent="0.25">
      <c r="B142" s="5" t="s">
        <v>144</v>
      </c>
      <c r="C142" s="7">
        <v>654</v>
      </c>
      <c r="D142" s="13" t="s">
        <v>335</v>
      </c>
      <c r="E142" s="27"/>
      <c r="F142" s="28">
        <f t="shared" si="7"/>
        <v>0</v>
      </c>
      <c r="G142" s="29">
        <f t="shared" si="6"/>
        <v>0</v>
      </c>
      <c r="H142" s="10">
        <f>+'9958'!D147</f>
        <v>0</v>
      </c>
    </row>
    <row r="143" spans="2:8" x14ac:dyDescent="0.25">
      <c r="B143" s="5" t="s">
        <v>145</v>
      </c>
      <c r="C143" s="7">
        <v>655</v>
      </c>
      <c r="D143" s="13" t="s">
        <v>335</v>
      </c>
      <c r="E143" s="27"/>
      <c r="F143" s="28">
        <f t="shared" si="7"/>
        <v>0</v>
      </c>
      <c r="G143" s="29">
        <f t="shared" si="6"/>
        <v>0</v>
      </c>
      <c r="H143" s="10">
        <f>+'9958'!D148</f>
        <v>0</v>
      </c>
    </row>
    <row r="144" spans="2:8" x14ac:dyDescent="0.25">
      <c r="B144" s="5" t="s">
        <v>146</v>
      </c>
      <c r="C144" s="7">
        <v>656</v>
      </c>
      <c r="D144" s="13" t="s">
        <v>335</v>
      </c>
      <c r="E144" s="27"/>
      <c r="F144" s="28">
        <f t="shared" si="7"/>
        <v>0</v>
      </c>
      <c r="G144" s="29">
        <f t="shared" si="6"/>
        <v>0</v>
      </c>
      <c r="H144" s="10">
        <f>+'9958'!D149</f>
        <v>0</v>
      </c>
    </row>
    <row r="145" spans="2:8" x14ac:dyDescent="0.25">
      <c r="B145" s="5" t="s">
        <v>147</v>
      </c>
      <c r="C145" s="7">
        <v>657</v>
      </c>
      <c r="D145" s="13" t="s">
        <v>335</v>
      </c>
      <c r="E145" s="27"/>
      <c r="F145" s="28">
        <f t="shared" si="7"/>
        <v>0</v>
      </c>
      <c r="G145" s="29">
        <f t="shared" si="6"/>
        <v>0</v>
      </c>
      <c r="H145" s="10">
        <f>+'9958'!D150</f>
        <v>0</v>
      </c>
    </row>
    <row r="146" spans="2:8" x14ac:dyDescent="0.25">
      <c r="B146" s="5" t="s">
        <v>148</v>
      </c>
      <c r="C146" s="7">
        <v>658</v>
      </c>
      <c r="D146" s="13" t="s">
        <v>335</v>
      </c>
      <c r="E146" s="27"/>
      <c r="F146" s="28">
        <f t="shared" si="7"/>
        <v>0</v>
      </c>
      <c r="G146" s="29">
        <f t="shared" si="6"/>
        <v>0</v>
      </c>
      <c r="H146" s="10">
        <f>+'9958'!D151</f>
        <v>0</v>
      </c>
    </row>
    <row r="147" spans="2:8" x14ac:dyDescent="0.25">
      <c r="B147" s="5" t="s">
        <v>149</v>
      </c>
      <c r="C147" s="7">
        <v>659</v>
      </c>
      <c r="D147" s="13" t="s">
        <v>335</v>
      </c>
      <c r="E147" s="27"/>
      <c r="F147" s="28">
        <f t="shared" si="7"/>
        <v>0</v>
      </c>
      <c r="G147" s="29">
        <f t="shared" si="6"/>
        <v>0</v>
      </c>
      <c r="H147" s="10">
        <f>+'9958'!D152</f>
        <v>0</v>
      </c>
    </row>
    <row r="148" spans="2:8" x14ac:dyDescent="0.25">
      <c r="B148" s="5" t="s">
        <v>150</v>
      </c>
      <c r="C148" s="7">
        <v>660</v>
      </c>
      <c r="D148" s="13" t="s">
        <v>335</v>
      </c>
      <c r="E148" s="27"/>
      <c r="F148" s="28">
        <f t="shared" si="7"/>
        <v>0</v>
      </c>
      <c r="G148" s="29">
        <f t="shared" si="6"/>
        <v>0</v>
      </c>
      <c r="H148" s="10">
        <f>+'9958'!D153</f>
        <v>0</v>
      </c>
    </row>
    <row r="149" spans="2:8" x14ac:dyDescent="0.25">
      <c r="B149" s="5" t="s">
        <v>151</v>
      </c>
      <c r="C149" s="7">
        <v>661</v>
      </c>
      <c r="D149" s="13" t="s">
        <v>335</v>
      </c>
      <c r="E149" s="27"/>
      <c r="F149" s="28">
        <f t="shared" si="7"/>
        <v>0</v>
      </c>
      <c r="G149" s="29">
        <f t="shared" si="6"/>
        <v>0</v>
      </c>
      <c r="H149" s="10">
        <f>+'9958'!D154</f>
        <v>0</v>
      </c>
    </row>
    <row r="150" spans="2:8" x14ac:dyDescent="0.25">
      <c r="B150" s="5" t="s">
        <v>152</v>
      </c>
      <c r="C150" s="7">
        <v>662</v>
      </c>
      <c r="D150" s="13" t="s">
        <v>335</v>
      </c>
      <c r="E150" s="27"/>
      <c r="F150" s="28">
        <f t="shared" si="7"/>
        <v>0</v>
      </c>
      <c r="G150" s="29">
        <f t="shared" si="6"/>
        <v>0</v>
      </c>
      <c r="H150" s="10">
        <f>+'9958'!D155</f>
        <v>0</v>
      </c>
    </row>
    <row r="151" spans="2:8" x14ac:dyDescent="0.25">
      <c r="B151" s="5" t="s">
        <v>153</v>
      </c>
      <c r="C151" s="7">
        <v>663</v>
      </c>
      <c r="D151" s="13" t="s">
        <v>335</v>
      </c>
      <c r="E151" s="27"/>
      <c r="F151" s="28">
        <f t="shared" si="7"/>
        <v>0</v>
      </c>
      <c r="G151" s="29">
        <f t="shared" si="6"/>
        <v>0</v>
      </c>
      <c r="H151" s="10">
        <f>+'9958'!D156</f>
        <v>0</v>
      </c>
    </row>
    <row r="152" spans="2:8" x14ac:dyDescent="0.25">
      <c r="B152" s="5" t="s">
        <v>154</v>
      </c>
      <c r="C152" s="7">
        <v>664</v>
      </c>
      <c r="D152" s="13" t="s">
        <v>335</v>
      </c>
      <c r="E152" s="27"/>
      <c r="F152" s="28">
        <f t="shared" si="7"/>
        <v>0</v>
      </c>
      <c r="G152" s="29">
        <f t="shared" si="6"/>
        <v>0</v>
      </c>
      <c r="H152" s="10">
        <f>+'9958'!D157</f>
        <v>0</v>
      </c>
    </row>
    <row r="153" spans="2:8" x14ac:dyDescent="0.25">
      <c r="B153" s="5" t="s">
        <v>155</v>
      </c>
      <c r="C153" s="7">
        <v>665</v>
      </c>
      <c r="D153" s="13" t="s">
        <v>335</v>
      </c>
      <c r="E153" s="27"/>
      <c r="F153" s="28">
        <f t="shared" si="7"/>
        <v>0</v>
      </c>
      <c r="G153" s="29">
        <f t="shared" si="6"/>
        <v>0</v>
      </c>
      <c r="H153" s="10">
        <f>+'9958'!D158</f>
        <v>0</v>
      </c>
    </row>
    <row r="154" spans="2:8" x14ac:dyDescent="0.25">
      <c r="B154" s="5" t="s">
        <v>156</v>
      </c>
      <c r="C154" s="7">
        <v>666</v>
      </c>
      <c r="D154" s="13" t="s">
        <v>335</v>
      </c>
      <c r="E154" s="27"/>
      <c r="F154" s="28">
        <f t="shared" si="7"/>
        <v>0</v>
      </c>
      <c r="G154" s="29">
        <f t="shared" si="6"/>
        <v>0</v>
      </c>
      <c r="H154" s="10">
        <f>+'9958'!D159</f>
        <v>0</v>
      </c>
    </row>
    <row r="155" spans="2:8" x14ac:dyDescent="0.25">
      <c r="B155" s="5" t="s">
        <v>157</v>
      </c>
      <c r="C155" s="7">
        <v>667</v>
      </c>
      <c r="D155" s="13" t="s">
        <v>335</v>
      </c>
      <c r="E155" s="27"/>
      <c r="F155" s="28">
        <f t="shared" si="7"/>
        <v>0</v>
      </c>
      <c r="G155" s="29">
        <f t="shared" si="6"/>
        <v>0</v>
      </c>
      <c r="H155" s="10">
        <f>+'9958'!D160</f>
        <v>0</v>
      </c>
    </row>
    <row r="156" spans="2:8" x14ac:dyDescent="0.25">
      <c r="B156" s="5" t="s">
        <v>158</v>
      </c>
      <c r="C156" s="7">
        <v>668</v>
      </c>
      <c r="D156" s="13" t="s">
        <v>335</v>
      </c>
      <c r="E156" s="27"/>
      <c r="F156" s="28">
        <f t="shared" si="7"/>
        <v>0</v>
      </c>
      <c r="G156" s="29">
        <f t="shared" si="6"/>
        <v>0</v>
      </c>
      <c r="H156" s="10">
        <f>+'9958'!D161</f>
        <v>0</v>
      </c>
    </row>
    <row r="157" spans="2:8" x14ac:dyDescent="0.25">
      <c r="B157" s="5" t="s">
        <v>159</v>
      </c>
      <c r="C157" s="7">
        <v>669</v>
      </c>
      <c r="D157" s="13" t="s">
        <v>335</v>
      </c>
      <c r="E157" s="27"/>
      <c r="F157" s="28">
        <f t="shared" si="7"/>
        <v>0</v>
      </c>
      <c r="G157" s="29">
        <f t="shared" si="6"/>
        <v>0</v>
      </c>
      <c r="H157" s="10">
        <f>+'9958'!D162</f>
        <v>0</v>
      </c>
    </row>
    <row r="158" spans="2:8" x14ac:dyDescent="0.25">
      <c r="B158" s="5" t="s">
        <v>160</v>
      </c>
      <c r="C158" s="7">
        <v>670</v>
      </c>
      <c r="D158" s="13" t="s">
        <v>335</v>
      </c>
      <c r="E158" s="27"/>
      <c r="F158" s="28">
        <f t="shared" si="7"/>
        <v>0</v>
      </c>
      <c r="G158" s="29">
        <f t="shared" si="6"/>
        <v>0</v>
      </c>
      <c r="H158" s="10">
        <f>+'9958'!D163</f>
        <v>0</v>
      </c>
    </row>
    <row r="159" spans="2:8" x14ac:dyDescent="0.25">
      <c r="B159" s="5" t="s">
        <v>161</v>
      </c>
      <c r="C159" s="7">
        <v>671</v>
      </c>
      <c r="D159" s="13" t="s">
        <v>335</v>
      </c>
      <c r="E159" s="27"/>
      <c r="F159" s="28">
        <f t="shared" si="7"/>
        <v>0</v>
      </c>
      <c r="G159" s="29">
        <f t="shared" si="6"/>
        <v>0</v>
      </c>
      <c r="H159" s="10">
        <f>+'9958'!D164</f>
        <v>0</v>
      </c>
    </row>
    <row r="160" spans="2:8" x14ac:dyDescent="0.25">
      <c r="B160" s="5" t="s">
        <v>162</v>
      </c>
      <c r="C160" s="7">
        <v>672</v>
      </c>
      <c r="D160" s="13" t="s">
        <v>335</v>
      </c>
      <c r="E160" s="27"/>
      <c r="F160" s="28">
        <f t="shared" si="7"/>
        <v>0</v>
      </c>
      <c r="G160" s="29">
        <f t="shared" si="6"/>
        <v>0</v>
      </c>
      <c r="H160" s="10">
        <f>+'9958'!D165</f>
        <v>0</v>
      </c>
    </row>
    <row r="161" spans="2:8" x14ac:dyDescent="0.25">
      <c r="B161" s="5" t="s">
        <v>163</v>
      </c>
      <c r="C161" s="7">
        <v>673</v>
      </c>
      <c r="D161" s="13" t="s">
        <v>335</v>
      </c>
      <c r="E161" s="27"/>
      <c r="F161" s="28">
        <f t="shared" si="7"/>
        <v>0</v>
      </c>
      <c r="G161" s="29">
        <f t="shared" si="6"/>
        <v>0</v>
      </c>
      <c r="H161" s="10">
        <f>+'9958'!D166</f>
        <v>0</v>
      </c>
    </row>
    <row r="162" spans="2:8" x14ac:dyDescent="0.25">
      <c r="B162" s="5" t="s">
        <v>164</v>
      </c>
      <c r="C162" s="7">
        <v>674</v>
      </c>
      <c r="D162" s="13" t="s">
        <v>335</v>
      </c>
      <c r="E162" s="27"/>
      <c r="F162" s="28">
        <f t="shared" si="7"/>
        <v>0</v>
      </c>
      <c r="G162" s="29">
        <f t="shared" si="6"/>
        <v>0</v>
      </c>
      <c r="H162" s="10">
        <f>+'9958'!D167</f>
        <v>0</v>
      </c>
    </row>
    <row r="163" spans="2:8" x14ac:dyDescent="0.25">
      <c r="B163" s="5" t="s">
        <v>165</v>
      </c>
      <c r="C163" s="7">
        <v>675</v>
      </c>
      <c r="D163" s="13" t="s">
        <v>335</v>
      </c>
      <c r="E163" s="27"/>
      <c r="F163" s="28">
        <f t="shared" si="7"/>
        <v>0</v>
      </c>
      <c r="G163" s="29">
        <f t="shared" si="6"/>
        <v>0</v>
      </c>
      <c r="H163" s="10">
        <f>+'9958'!D168</f>
        <v>0</v>
      </c>
    </row>
    <row r="164" spans="2:8" x14ac:dyDescent="0.25">
      <c r="B164" s="5" t="s">
        <v>166</v>
      </c>
      <c r="C164" s="7">
        <v>676</v>
      </c>
      <c r="D164" s="13" t="s">
        <v>335</v>
      </c>
      <c r="E164" s="27"/>
      <c r="F164" s="28">
        <f t="shared" si="7"/>
        <v>0</v>
      </c>
      <c r="G164" s="29">
        <f t="shared" si="6"/>
        <v>0</v>
      </c>
      <c r="H164" s="10">
        <f>+'9958'!D169</f>
        <v>0</v>
      </c>
    </row>
    <row r="165" spans="2:8" x14ac:dyDescent="0.25">
      <c r="B165" s="5" t="s">
        <v>167</v>
      </c>
      <c r="C165" s="7">
        <v>677</v>
      </c>
      <c r="D165" s="13" t="s">
        <v>335</v>
      </c>
      <c r="E165" s="27"/>
      <c r="F165" s="28">
        <f t="shared" si="7"/>
        <v>0</v>
      </c>
      <c r="G165" s="29">
        <f t="shared" si="6"/>
        <v>0</v>
      </c>
      <c r="H165" s="10">
        <f>+'9958'!D170</f>
        <v>0</v>
      </c>
    </row>
    <row r="166" spans="2:8" x14ac:dyDescent="0.25">
      <c r="B166" s="5" t="s">
        <v>168</v>
      </c>
      <c r="C166" s="7">
        <v>678</v>
      </c>
      <c r="D166" s="13" t="s">
        <v>335</v>
      </c>
      <c r="E166" s="27"/>
      <c r="F166" s="28">
        <f t="shared" si="7"/>
        <v>0</v>
      </c>
      <c r="G166" s="29">
        <f t="shared" ref="G166:G197" si="8">SUM(H166:H166)</f>
        <v>0</v>
      </c>
      <c r="H166" s="10">
        <f>+'9958'!D171</f>
        <v>0</v>
      </c>
    </row>
    <row r="167" spans="2:8" x14ac:dyDescent="0.25">
      <c r="B167" s="5" t="s">
        <v>169</v>
      </c>
      <c r="C167" s="7">
        <v>679</v>
      </c>
      <c r="D167" s="13" t="s">
        <v>335</v>
      </c>
      <c r="E167" s="27"/>
      <c r="F167" s="28">
        <f t="shared" si="7"/>
        <v>0</v>
      </c>
      <c r="G167" s="29">
        <f t="shared" si="8"/>
        <v>0</v>
      </c>
      <c r="H167" s="10">
        <f>+'9958'!D172</f>
        <v>0</v>
      </c>
    </row>
    <row r="168" spans="2:8" x14ac:dyDescent="0.25">
      <c r="B168" s="5" t="s">
        <v>170</v>
      </c>
      <c r="C168" s="7">
        <v>680</v>
      </c>
      <c r="D168" s="13" t="s">
        <v>335</v>
      </c>
      <c r="E168" s="27"/>
      <c r="F168" s="28">
        <f t="shared" si="7"/>
        <v>0</v>
      </c>
      <c r="G168" s="29">
        <f t="shared" si="8"/>
        <v>0</v>
      </c>
      <c r="H168" s="10">
        <f>+'9958'!D173</f>
        <v>0</v>
      </c>
    </row>
    <row r="169" spans="2:8" x14ac:dyDescent="0.25">
      <c r="B169" s="5" t="s">
        <v>171</v>
      </c>
      <c r="C169" s="7">
        <v>681</v>
      </c>
      <c r="D169" s="13" t="s">
        <v>335</v>
      </c>
      <c r="E169" s="27"/>
      <c r="F169" s="28">
        <f t="shared" si="7"/>
        <v>0</v>
      </c>
      <c r="G169" s="29">
        <f t="shared" si="8"/>
        <v>0</v>
      </c>
      <c r="H169" s="10">
        <f>+'9958'!D174</f>
        <v>0</v>
      </c>
    </row>
    <row r="170" spans="2:8" x14ac:dyDescent="0.25">
      <c r="B170" s="5" t="s">
        <v>172</v>
      </c>
      <c r="C170" s="7">
        <v>682</v>
      </c>
      <c r="D170" s="13" t="s">
        <v>335</v>
      </c>
      <c r="E170" s="27"/>
      <c r="F170" s="28">
        <f t="shared" si="7"/>
        <v>0</v>
      </c>
      <c r="G170" s="29">
        <f t="shared" si="8"/>
        <v>0</v>
      </c>
      <c r="H170" s="10">
        <f>+'9958'!D175</f>
        <v>0</v>
      </c>
    </row>
    <row r="171" spans="2:8" x14ac:dyDescent="0.25">
      <c r="B171" s="5" t="s">
        <v>173</v>
      </c>
      <c r="C171" s="7">
        <v>683</v>
      </c>
      <c r="D171" s="13" t="s">
        <v>335</v>
      </c>
      <c r="E171" s="27"/>
      <c r="F171" s="28">
        <f t="shared" si="7"/>
        <v>0</v>
      </c>
      <c r="G171" s="29">
        <f t="shared" si="8"/>
        <v>0</v>
      </c>
      <c r="H171" s="10">
        <f>+'9958'!D176</f>
        <v>0</v>
      </c>
    </row>
    <row r="172" spans="2:8" x14ac:dyDescent="0.25">
      <c r="B172" s="5" t="s">
        <v>174</v>
      </c>
      <c r="C172" s="7">
        <v>684</v>
      </c>
      <c r="D172" s="13" t="s">
        <v>335</v>
      </c>
      <c r="E172" s="27"/>
      <c r="F172" s="28">
        <f t="shared" si="7"/>
        <v>0</v>
      </c>
      <c r="G172" s="29">
        <f t="shared" si="8"/>
        <v>0</v>
      </c>
      <c r="H172" s="10">
        <f>+'9958'!D177</f>
        <v>0</v>
      </c>
    </row>
    <row r="173" spans="2:8" x14ac:dyDescent="0.25">
      <c r="B173" s="5" t="s">
        <v>175</v>
      </c>
      <c r="C173" s="7">
        <v>685</v>
      </c>
      <c r="D173" s="13" t="s">
        <v>335</v>
      </c>
      <c r="E173" s="27"/>
      <c r="F173" s="28">
        <f t="shared" si="7"/>
        <v>0</v>
      </c>
      <c r="G173" s="29">
        <f t="shared" si="8"/>
        <v>0</v>
      </c>
      <c r="H173" s="10">
        <f>+'9958'!D178</f>
        <v>0</v>
      </c>
    </row>
    <row r="174" spans="2:8" x14ac:dyDescent="0.25">
      <c r="B174" s="5" t="s">
        <v>176</v>
      </c>
      <c r="C174" s="7">
        <v>686</v>
      </c>
      <c r="D174" s="13" t="s">
        <v>335</v>
      </c>
      <c r="E174" s="27"/>
      <c r="F174" s="28">
        <f t="shared" si="7"/>
        <v>0</v>
      </c>
      <c r="G174" s="29">
        <f t="shared" si="8"/>
        <v>0</v>
      </c>
      <c r="H174" s="10">
        <f>+'9958'!D179</f>
        <v>0</v>
      </c>
    </row>
    <row r="175" spans="2:8" x14ac:dyDescent="0.25">
      <c r="B175" s="5" t="s">
        <v>177</v>
      </c>
      <c r="C175" s="7">
        <v>687</v>
      </c>
      <c r="D175" s="13" t="s">
        <v>335</v>
      </c>
      <c r="E175" s="27"/>
      <c r="F175" s="28">
        <f t="shared" si="7"/>
        <v>0</v>
      </c>
      <c r="G175" s="29">
        <f t="shared" si="8"/>
        <v>0</v>
      </c>
      <c r="H175" s="10">
        <f>+'9958'!D180</f>
        <v>0</v>
      </c>
    </row>
    <row r="176" spans="2:8" x14ac:dyDescent="0.25">
      <c r="B176" s="5" t="s">
        <v>178</v>
      </c>
      <c r="C176" s="7">
        <v>688</v>
      </c>
      <c r="D176" s="13" t="s">
        <v>335</v>
      </c>
      <c r="E176" s="27"/>
      <c r="F176" s="28">
        <f t="shared" si="7"/>
        <v>0</v>
      </c>
      <c r="G176" s="29">
        <f t="shared" si="8"/>
        <v>0</v>
      </c>
      <c r="H176" s="10">
        <f>+'9958'!D181</f>
        <v>0</v>
      </c>
    </row>
    <row r="177" spans="2:8" x14ac:dyDescent="0.25">
      <c r="B177" s="5" t="s">
        <v>179</v>
      </c>
      <c r="C177" s="7">
        <v>689</v>
      </c>
      <c r="D177" s="13" t="s">
        <v>335</v>
      </c>
      <c r="E177" s="27"/>
      <c r="F177" s="28">
        <f t="shared" si="7"/>
        <v>0</v>
      </c>
      <c r="G177" s="29">
        <f t="shared" si="8"/>
        <v>0</v>
      </c>
      <c r="H177" s="10">
        <f>+'9958'!D182</f>
        <v>0</v>
      </c>
    </row>
    <row r="178" spans="2:8" x14ac:dyDescent="0.25">
      <c r="B178" s="5" t="s">
        <v>180</v>
      </c>
      <c r="C178" s="7">
        <v>690</v>
      </c>
      <c r="D178" s="13" t="s">
        <v>335</v>
      </c>
      <c r="E178" s="27"/>
      <c r="F178" s="28">
        <f t="shared" si="7"/>
        <v>0</v>
      </c>
      <c r="G178" s="29">
        <f t="shared" si="8"/>
        <v>0</v>
      </c>
      <c r="H178" s="10">
        <f>+'9958'!D183</f>
        <v>0</v>
      </c>
    </row>
    <row r="179" spans="2:8" x14ac:dyDescent="0.25">
      <c r="B179" s="5" t="s">
        <v>181</v>
      </c>
      <c r="C179" s="7">
        <v>691</v>
      </c>
      <c r="D179" s="13" t="s">
        <v>335</v>
      </c>
      <c r="E179" s="27"/>
      <c r="F179" s="28">
        <f t="shared" si="7"/>
        <v>0</v>
      </c>
      <c r="G179" s="29">
        <f t="shared" si="8"/>
        <v>0</v>
      </c>
      <c r="H179" s="10">
        <f>+'9958'!D184</f>
        <v>0</v>
      </c>
    </row>
    <row r="180" spans="2:8" x14ac:dyDescent="0.25">
      <c r="B180" s="5" t="s">
        <v>182</v>
      </c>
      <c r="C180" s="7">
        <v>692</v>
      </c>
      <c r="D180" s="13" t="s">
        <v>335</v>
      </c>
      <c r="E180" s="27"/>
      <c r="F180" s="28">
        <f t="shared" si="7"/>
        <v>0</v>
      </c>
      <c r="G180" s="29">
        <f t="shared" si="8"/>
        <v>0</v>
      </c>
      <c r="H180" s="10">
        <f>+'9958'!D185</f>
        <v>0</v>
      </c>
    </row>
    <row r="181" spans="2:8" x14ac:dyDescent="0.25">
      <c r="B181" s="5" t="s">
        <v>183</v>
      </c>
      <c r="C181" s="7">
        <v>693</v>
      </c>
      <c r="D181" s="13" t="s">
        <v>335</v>
      </c>
      <c r="E181" s="27"/>
      <c r="F181" s="28">
        <f t="shared" si="7"/>
        <v>0</v>
      </c>
      <c r="G181" s="29">
        <f t="shared" si="8"/>
        <v>0</v>
      </c>
      <c r="H181" s="10">
        <f>+'9958'!D186</f>
        <v>0</v>
      </c>
    </row>
    <row r="182" spans="2:8" x14ac:dyDescent="0.25">
      <c r="B182" s="5" t="s">
        <v>184</v>
      </c>
      <c r="C182" s="7">
        <v>694</v>
      </c>
      <c r="D182" s="13" t="s">
        <v>335</v>
      </c>
      <c r="E182" s="27"/>
      <c r="F182" s="28">
        <f t="shared" si="7"/>
        <v>0</v>
      </c>
      <c r="G182" s="29">
        <f t="shared" si="8"/>
        <v>0</v>
      </c>
      <c r="H182" s="10">
        <f>+'9958'!D187</f>
        <v>0</v>
      </c>
    </row>
    <row r="183" spans="2:8" x14ac:dyDescent="0.25">
      <c r="B183" s="5" t="s">
        <v>185</v>
      </c>
      <c r="C183" s="7">
        <v>695</v>
      </c>
      <c r="D183" s="13" t="s">
        <v>335</v>
      </c>
      <c r="E183" s="27"/>
      <c r="F183" s="28">
        <f t="shared" si="7"/>
        <v>0</v>
      </c>
      <c r="G183" s="29">
        <f t="shared" si="8"/>
        <v>0</v>
      </c>
      <c r="H183" s="10">
        <f>+'9958'!D188</f>
        <v>0</v>
      </c>
    </row>
    <row r="184" spans="2:8" x14ac:dyDescent="0.25">
      <c r="B184" s="5" t="s">
        <v>186</v>
      </c>
      <c r="C184" s="7">
        <v>696</v>
      </c>
      <c r="D184" s="13" t="s">
        <v>335</v>
      </c>
      <c r="E184" s="27"/>
      <c r="F184" s="28">
        <f t="shared" si="7"/>
        <v>0</v>
      </c>
      <c r="G184" s="29">
        <f t="shared" si="8"/>
        <v>0</v>
      </c>
      <c r="H184" s="10">
        <f>+'9958'!D189</f>
        <v>0</v>
      </c>
    </row>
    <row r="185" spans="2:8" x14ac:dyDescent="0.25">
      <c r="B185" s="5" t="s">
        <v>187</v>
      </c>
      <c r="C185" s="7">
        <v>697</v>
      </c>
      <c r="D185" s="13" t="s">
        <v>335</v>
      </c>
      <c r="E185" s="27"/>
      <c r="F185" s="28">
        <f t="shared" si="7"/>
        <v>0</v>
      </c>
      <c r="G185" s="29">
        <f t="shared" si="8"/>
        <v>0</v>
      </c>
      <c r="H185" s="10">
        <f>+'9958'!D190</f>
        <v>0</v>
      </c>
    </row>
    <row r="186" spans="2:8" x14ac:dyDescent="0.25">
      <c r="B186" s="5" t="s">
        <v>188</v>
      </c>
      <c r="C186" s="7">
        <v>698</v>
      </c>
      <c r="D186" s="13" t="s">
        <v>335</v>
      </c>
      <c r="E186" s="27"/>
      <c r="F186" s="28">
        <f t="shared" si="7"/>
        <v>0</v>
      </c>
      <c r="G186" s="29">
        <f t="shared" si="8"/>
        <v>0</v>
      </c>
      <c r="H186" s="10">
        <f>+'9958'!D191</f>
        <v>0</v>
      </c>
    </row>
    <row r="187" spans="2:8" x14ac:dyDescent="0.25">
      <c r="B187" s="5" t="s">
        <v>189</v>
      </c>
      <c r="C187" s="7">
        <v>699</v>
      </c>
      <c r="D187" s="13" t="s">
        <v>335</v>
      </c>
      <c r="E187" s="27"/>
      <c r="F187" s="28">
        <f t="shared" si="7"/>
        <v>0</v>
      </c>
      <c r="G187" s="29">
        <f t="shared" si="8"/>
        <v>0</v>
      </c>
      <c r="H187" s="10">
        <f>+'9958'!D192</f>
        <v>0</v>
      </c>
    </row>
    <row r="188" spans="2:8" x14ac:dyDescent="0.25">
      <c r="B188" s="5" t="s">
        <v>190</v>
      </c>
      <c r="C188" s="7">
        <v>700</v>
      </c>
      <c r="D188" s="13" t="s">
        <v>335</v>
      </c>
      <c r="E188" s="27"/>
      <c r="F188" s="28">
        <f t="shared" si="7"/>
        <v>0</v>
      </c>
      <c r="G188" s="29">
        <f t="shared" si="8"/>
        <v>0</v>
      </c>
      <c r="H188" s="10">
        <f>+'9958'!D193</f>
        <v>0</v>
      </c>
    </row>
    <row r="189" spans="2:8" x14ac:dyDescent="0.25">
      <c r="B189" s="5" t="s">
        <v>191</v>
      </c>
      <c r="C189" s="7">
        <v>701</v>
      </c>
      <c r="D189" s="13" t="s">
        <v>335</v>
      </c>
      <c r="E189" s="27"/>
      <c r="F189" s="28">
        <f t="shared" si="7"/>
        <v>0</v>
      </c>
      <c r="G189" s="29">
        <f t="shared" si="8"/>
        <v>0</v>
      </c>
      <c r="H189" s="10">
        <f>+'9958'!D194</f>
        <v>0</v>
      </c>
    </row>
    <row r="190" spans="2:8" x14ac:dyDescent="0.25">
      <c r="B190" s="5" t="s">
        <v>192</v>
      </c>
      <c r="C190" s="7">
        <v>702</v>
      </c>
      <c r="D190" s="13" t="s">
        <v>335</v>
      </c>
      <c r="E190" s="27"/>
      <c r="F190" s="28">
        <f t="shared" si="7"/>
        <v>0</v>
      </c>
      <c r="G190" s="29">
        <f t="shared" si="8"/>
        <v>0</v>
      </c>
      <c r="H190" s="10">
        <f>+'9958'!D195</f>
        <v>0</v>
      </c>
    </row>
    <row r="191" spans="2:8" x14ac:dyDescent="0.25">
      <c r="B191" s="5" t="s">
        <v>193</v>
      </c>
      <c r="C191" s="7">
        <v>703</v>
      </c>
      <c r="D191" s="13" t="s">
        <v>335</v>
      </c>
      <c r="E191" s="27"/>
      <c r="F191" s="28">
        <f t="shared" si="7"/>
        <v>0</v>
      </c>
      <c r="G191" s="29">
        <f t="shared" si="8"/>
        <v>0</v>
      </c>
      <c r="H191" s="10">
        <f>+'9958'!D196</f>
        <v>0</v>
      </c>
    </row>
    <row r="192" spans="2:8" x14ac:dyDescent="0.25">
      <c r="B192" s="5" t="s">
        <v>194</v>
      </c>
      <c r="C192" s="7">
        <v>704</v>
      </c>
      <c r="D192" s="13" t="s">
        <v>335</v>
      </c>
      <c r="E192" s="27"/>
      <c r="F192" s="28">
        <f t="shared" si="7"/>
        <v>0</v>
      </c>
      <c r="G192" s="29">
        <f t="shared" si="8"/>
        <v>0</v>
      </c>
      <c r="H192" s="10">
        <f>+'9958'!D197</f>
        <v>0</v>
      </c>
    </row>
    <row r="193" spans="2:8" x14ac:dyDescent="0.25">
      <c r="B193" s="5" t="s">
        <v>195</v>
      </c>
      <c r="C193" s="7">
        <v>705</v>
      </c>
      <c r="D193" s="13" t="s">
        <v>335</v>
      </c>
      <c r="E193" s="27"/>
      <c r="F193" s="28">
        <f t="shared" si="7"/>
        <v>0</v>
      </c>
      <c r="G193" s="29">
        <f t="shared" si="8"/>
        <v>0</v>
      </c>
      <c r="H193" s="10">
        <f>+'9958'!D198</f>
        <v>0</v>
      </c>
    </row>
    <row r="194" spans="2:8" x14ac:dyDescent="0.25">
      <c r="B194" s="5" t="s">
        <v>196</v>
      </c>
      <c r="C194" s="7">
        <v>706</v>
      </c>
      <c r="D194" s="13" t="s">
        <v>335</v>
      </c>
      <c r="E194" s="27"/>
      <c r="F194" s="28">
        <f t="shared" si="7"/>
        <v>0</v>
      </c>
      <c r="G194" s="29">
        <f t="shared" si="8"/>
        <v>0</v>
      </c>
      <c r="H194" s="10">
        <f>+'9958'!D199</f>
        <v>0</v>
      </c>
    </row>
    <row r="195" spans="2:8" ht="28.5" x14ac:dyDescent="0.25">
      <c r="B195" s="5" t="s">
        <v>197</v>
      </c>
      <c r="C195" s="7">
        <v>707</v>
      </c>
      <c r="D195" s="13" t="s">
        <v>335</v>
      </c>
      <c r="E195" s="27"/>
      <c r="F195" s="28">
        <f t="shared" si="7"/>
        <v>0</v>
      </c>
      <c r="G195" s="29">
        <f t="shared" si="8"/>
        <v>0</v>
      </c>
      <c r="H195" s="10">
        <f>+'9958'!D200</f>
        <v>0</v>
      </c>
    </row>
    <row r="196" spans="2:8" ht="28.5" x14ac:dyDescent="0.25">
      <c r="B196" s="5" t="s">
        <v>198</v>
      </c>
      <c r="C196" s="7">
        <v>708</v>
      </c>
      <c r="D196" s="13" t="s">
        <v>335</v>
      </c>
      <c r="E196" s="27"/>
      <c r="F196" s="28">
        <f t="shared" si="7"/>
        <v>0</v>
      </c>
      <c r="G196" s="29">
        <f t="shared" si="8"/>
        <v>0</v>
      </c>
      <c r="H196" s="10">
        <f>+'9958'!D201</f>
        <v>0</v>
      </c>
    </row>
    <row r="197" spans="2:8" ht="28.5" x14ac:dyDescent="0.25">
      <c r="B197" s="5" t="s">
        <v>199</v>
      </c>
      <c r="C197" s="7">
        <v>709</v>
      </c>
      <c r="D197" s="13" t="s">
        <v>335</v>
      </c>
      <c r="E197" s="27"/>
      <c r="F197" s="28">
        <f t="shared" si="7"/>
        <v>0</v>
      </c>
      <c r="G197" s="29">
        <f t="shared" si="8"/>
        <v>0</v>
      </c>
      <c r="H197" s="10">
        <f>+'9958'!D202</f>
        <v>0</v>
      </c>
    </row>
    <row r="198" spans="2:8" ht="25.5" x14ac:dyDescent="0.25">
      <c r="B198" s="1" t="s">
        <v>200</v>
      </c>
      <c r="C198" s="7">
        <v>710</v>
      </c>
      <c r="D198" s="13" t="s">
        <v>335</v>
      </c>
      <c r="E198" s="27"/>
      <c r="F198" s="28">
        <f t="shared" si="7"/>
        <v>0</v>
      </c>
      <c r="G198" s="29">
        <f t="shared" ref="G198:G229" si="9">SUM(H198:H198)</f>
        <v>0</v>
      </c>
      <c r="H198" s="10">
        <f>+'9958'!D203</f>
        <v>0</v>
      </c>
    </row>
    <row r="199" spans="2:8" ht="25.5" x14ac:dyDescent="0.25">
      <c r="B199" s="1" t="s">
        <v>201</v>
      </c>
      <c r="C199" s="7">
        <v>711</v>
      </c>
      <c r="D199" s="13" t="s">
        <v>335</v>
      </c>
      <c r="E199" s="27"/>
      <c r="F199" s="28">
        <f t="shared" ref="F199:F200" si="10">+G199*E199</f>
        <v>0</v>
      </c>
      <c r="G199" s="29">
        <f t="shared" si="9"/>
        <v>0</v>
      </c>
      <c r="H199" s="10">
        <f>+'9958'!D204</f>
        <v>0</v>
      </c>
    </row>
    <row r="200" spans="2:8" ht="25.5" x14ac:dyDescent="0.25">
      <c r="B200" s="1" t="s">
        <v>202</v>
      </c>
      <c r="C200" s="7">
        <v>712</v>
      </c>
      <c r="D200" s="13" t="s">
        <v>335</v>
      </c>
      <c r="E200" s="27"/>
      <c r="F200" s="28">
        <f t="shared" si="10"/>
        <v>0</v>
      </c>
      <c r="G200" s="29">
        <f t="shared" si="9"/>
        <v>0</v>
      </c>
      <c r="H200" s="10">
        <f>+'9958'!D205</f>
        <v>0</v>
      </c>
    </row>
    <row r="201" spans="2:8" x14ac:dyDescent="0.25">
      <c r="B201" s="4" t="s">
        <v>203</v>
      </c>
      <c r="C201" s="12"/>
      <c r="D201" s="12"/>
      <c r="E201" s="12"/>
      <c r="F201" s="12"/>
      <c r="G201" s="12"/>
      <c r="H201" s="12"/>
    </row>
    <row r="202" spans="2:8" x14ac:dyDescent="0.25">
      <c r="B202" s="5" t="s">
        <v>204</v>
      </c>
      <c r="C202" s="7">
        <v>190</v>
      </c>
      <c r="D202" s="13" t="s">
        <v>335</v>
      </c>
      <c r="E202" s="27"/>
      <c r="F202" s="28">
        <f t="shared" ref="F202:F265" si="11">+G202*E202</f>
        <v>0</v>
      </c>
      <c r="G202" s="29">
        <f t="shared" ref="G202:G233" si="12">SUM(H202:H202)</f>
        <v>0</v>
      </c>
      <c r="H202" s="10">
        <f>+'9958'!D207</f>
        <v>0</v>
      </c>
    </row>
    <row r="203" spans="2:8" x14ac:dyDescent="0.25">
      <c r="B203" s="5" t="s">
        <v>205</v>
      </c>
      <c r="C203" s="7">
        <v>191</v>
      </c>
      <c r="D203" s="13" t="s">
        <v>335</v>
      </c>
      <c r="E203" s="27"/>
      <c r="F203" s="28">
        <f t="shared" si="11"/>
        <v>0</v>
      </c>
      <c r="G203" s="29">
        <f t="shared" si="12"/>
        <v>0</v>
      </c>
      <c r="H203" s="10">
        <f>+'9958'!D208</f>
        <v>0</v>
      </c>
    </row>
    <row r="204" spans="2:8" x14ac:dyDescent="0.25">
      <c r="B204" s="5" t="s">
        <v>206</v>
      </c>
      <c r="C204" s="7">
        <v>192</v>
      </c>
      <c r="D204" s="13" t="s">
        <v>335</v>
      </c>
      <c r="E204" s="27"/>
      <c r="F204" s="28">
        <f t="shared" si="11"/>
        <v>0</v>
      </c>
      <c r="G204" s="29">
        <f t="shared" si="12"/>
        <v>0</v>
      </c>
      <c r="H204" s="10">
        <f>+'9958'!D209</f>
        <v>0</v>
      </c>
    </row>
    <row r="205" spans="2:8" x14ac:dyDescent="0.25">
      <c r="B205" s="5" t="s">
        <v>207</v>
      </c>
      <c r="C205" s="7">
        <v>193</v>
      </c>
      <c r="D205" s="13" t="s">
        <v>335</v>
      </c>
      <c r="E205" s="27"/>
      <c r="F205" s="28">
        <f t="shared" si="11"/>
        <v>0</v>
      </c>
      <c r="G205" s="29">
        <f t="shared" si="12"/>
        <v>0</v>
      </c>
      <c r="H205" s="10">
        <f>+'9958'!D210</f>
        <v>0</v>
      </c>
    </row>
    <row r="206" spans="2:8" x14ac:dyDescent="0.25">
      <c r="B206" s="5" t="s">
        <v>208</v>
      </c>
      <c r="C206" s="7">
        <v>194</v>
      </c>
      <c r="D206" s="13" t="s">
        <v>335</v>
      </c>
      <c r="E206" s="27"/>
      <c r="F206" s="28">
        <f t="shared" si="11"/>
        <v>0</v>
      </c>
      <c r="G206" s="29">
        <f t="shared" si="12"/>
        <v>0</v>
      </c>
      <c r="H206" s="10">
        <f>+'9958'!D211</f>
        <v>0</v>
      </c>
    </row>
    <row r="207" spans="2:8" x14ac:dyDescent="0.25">
      <c r="B207" s="5" t="s">
        <v>209</v>
      </c>
      <c r="C207" s="7">
        <v>195</v>
      </c>
      <c r="D207" s="13" t="s">
        <v>335</v>
      </c>
      <c r="E207" s="27"/>
      <c r="F207" s="28">
        <f t="shared" si="11"/>
        <v>0</v>
      </c>
      <c r="G207" s="29">
        <f t="shared" si="12"/>
        <v>0</v>
      </c>
      <c r="H207" s="10">
        <f>+'9958'!D212</f>
        <v>0</v>
      </c>
    </row>
    <row r="208" spans="2:8" x14ac:dyDescent="0.25">
      <c r="B208" s="5" t="s">
        <v>210</v>
      </c>
      <c r="C208" s="7">
        <v>196</v>
      </c>
      <c r="D208" s="13" t="s">
        <v>335</v>
      </c>
      <c r="E208" s="27">
        <v>50897</v>
      </c>
      <c r="F208" s="28">
        <f t="shared" si="11"/>
        <v>0</v>
      </c>
      <c r="G208" s="29">
        <f t="shared" si="12"/>
        <v>0</v>
      </c>
      <c r="H208" s="10">
        <f>+'9958'!D213</f>
        <v>0</v>
      </c>
    </row>
    <row r="209" spans="2:8" x14ac:dyDescent="0.25">
      <c r="B209" s="5" t="s">
        <v>211</v>
      </c>
      <c r="C209" s="7">
        <v>197</v>
      </c>
      <c r="D209" s="13" t="s">
        <v>335</v>
      </c>
      <c r="E209" s="27">
        <v>47859</v>
      </c>
      <c r="F209" s="28">
        <f t="shared" si="11"/>
        <v>0</v>
      </c>
      <c r="G209" s="29">
        <f t="shared" si="12"/>
        <v>0</v>
      </c>
      <c r="H209" s="10">
        <f>+'9958'!D214</f>
        <v>0</v>
      </c>
    </row>
    <row r="210" spans="2:8" x14ac:dyDescent="0.25">
      <c r="B210" s="5" t="s">
        <v>212</v>
      </c>
      <c r="C210" s="7">
        <v>198</v>
      </c>
      <c r="D210" s="13" t="s">
        <v>335</v>
      </c>
      <c r="E210" s="27">
        <v>37598</v>
      </c>
      <c r="F210" s="28">
        <f t="shared" si="11"/>
        <v>0</v>
      </c>
      <c r="G210" s="29">
        <f t="shared" si="12"/>
        <v>0</v>
      </c>
      <c r="H210" s="10">
        <f>+'9958'!D215</f>
        <v>0</v>
      </c>
    </row>
    <row r="211" spans="2:8" x14ac:dyDescent="0.25">
      <c r="B211" s="5" t="s">
        <v>213</v>
      </c>
      <c r="C211" s="7">
        <v>199</v>
      </c>
      <c r="D211" s="13" t="s">
        <v>335</v>
      </c>
      <c r="E211" s="27"/>
      <c r="F211" s="28">
        <f t="shared" si="11"/>
        <v>0</v>
      </c>
      <c r="G211" s="29">
        <f t="shared" si="12"/>
        <v>0</v>
      </c>
      <c r="H211" s="10">
        <f>+'9958'!D216</f>
        <v>0</v>
      </c>
    </row>
    <row r="212" spans="2:8" x14ac:dyDescent="0.25">
      <c r="B212" s="5" t="s">
        <v>214</v>
      </c>
      <c r="C212" s="7">
        <v>200</v>
      </c>
      <c r="D212" s="13" t="s">
        <v>335</v>
      </c>
      <c r="E212" s="27"/>
      <c r="F212" s="28">
        <f t="shared" si="11"/>
        <v>0</v>
      </c>
      <c r="G212" s="29">
        <f t="shared" si="12"/>
        <v>0</v>
      </c>
      <c r="H212" s="10">
        <f>+'9958'!D217</f>
        <v>0</v>
      </c>
    </row>
    <row r="213" spans="2:8" x14ac:dyDescent="0.25">
      <c r="B213" s="5" t="s">
        <v>215</v>
      </c>
      <c r="C213" s="7">
        <v>201</v>
      </c>
      <c r="D213" s="13" t="s">
        <v>335</v>
      </c>
      <c r="E213" s="27"/>
      <c r="F213" s="28">
        <f t="shared" si="11"/>
        <v>0</v>
      </c>
      <c r="G213" s="29">
        <f t="shared" si="12"/>
        <v>0</v>
      </c>
      <c r="H213" s="10">
        <f>+'9958'!D218</f>
        <v>0</v>
      </c>
    </row>
    <row r="214" spans="2:8" x14ac:dyDescent="0.25">
      <c r="B214" s="5" t="s">
        <v>216</v>
      </c>
      <c r="C214" s="7">
        <v>202</v>
      </c>
      <c r="D214" s="13" t="s">
        <v>338</v>
      </c>
      <c r="E214" s="27">
        <v>29161</v>
      </c>
      <c r="F214" s="28">
        <f t="shared" si="11"/>
        <v>0</v>
      </c>
      <c r="G214" s="29">
        <f t="shared" si="12"/>
        <v>0</v>
      </c>
      <c r="H214" s="10">
        <f>+'9958'!D219</f>
        <v>0</v>
      </c>
    </row>
    <row r="215" spans="2:8" x14ac:dyDescent="0.25">
      <c r="B215" s="5" t="s">
        <v>217</v>
      </c>
      <c r="C215" s="7">
        <v>203</v>
      </c>
      <c r="D215" s="13" t="s">
        <v>335</v>
      </c>
      <c r="E215" s="27">
        <v>298000</v>
      </c>
      <c r="F215" s="28">
        <f t="shared" si="11"/>
        <v>0</v>
      </c>
      <c r="G215" s="29">
        <f t="shared" si="12"/>
        <v>0</v>
      </c>
      <c r="H215" s="10">
        <f>+'9958'!D220</f>
        <v>0</v>
      </c>
    </row>
    <row r="216" spans="2:8" x14ac:dyDescent="0.25">
      <c r="B216" s="5" t="s">
        <v>218</v>
      </c>
      <c r="C216" s="7">
        <v>204</v>
      </c>
      <c r="D216" s="13" t="s">
        <v>335</v>
      </c>
      <c r="E216" s="27"/>
      <c r="F216" s="28">
        <f t="shared" si="11"/>
        <v>0</v>
      </c>
      <c r="G216" s="29">
        <f t="shared" si="12"/>
        <v>0</v>
      </c>
      <c r="H216" s="10">
        <f>+'9958'!D221</f>
        <v>0</v>
      </c>
    </row>
    <row r="217" spans="2:8" x14ac:dyDescent="0.25">
      <c r="B217" s="5" t="s">
        <v>219</v>
      </c>
      <c r="C217" s="7">
        <v>205</v>
      </c>
      <c r="D217" s="13" t="s">
        <v>335</v>
      </c>
      <c r="E217" s="27"/>
      <c r="F217" s="28">
        <f t="shared" si="11"/>
        <v>0</v>
      </c>
      <c r="G217" s="29">
        <f t="shared" si="12"/>
        <v>0</v>
      </c>
      <c r="H217" s="10">
        <f>+'9958'!D222</f>
        <v>0</v>
      </c>
    </row>
    <row r="218" spans="2:8" x14ac:dyDescent="0.25">
      <c r="B218" s="5" t="s">
        <v>220</v>
      </c>
      <c r="C218" s="7">
        <v>206</v>
      </c>
      <c r="D218" s="13" t="s">
        <v>335</v>
      </c>
      <c r="E218" s="27"/>
      <c r="F218" s="28">
        <f t="shared" si="11"/>
        <v>0</v>
      </c>
      <c r="G218" s="29">
        <f t="shared" si="12"/>
        <v>0</v>
      </c>
      <c r="H218" s="10">
        <f>+'9958'!D223</f>
        <v>0</v>
      </c>
    </row>
    <row r="219" spans="2:8" x14ac:dyDescent="0.25">
      <c r="B219" s="5" t="s">
        <v>221</v>
      </c>
      <c r="C219" s="7">
        <v>207</v>
      </c>
      <c r="D219" s="13" t="s">
        <v>335</v>
      </c>
      <c r="E219" s="27"/>
      <c r="F219" s="28">
        <f t="shared" si="11"/>
        <v>0</v>
      </c>
      <c r="G219" s="29">
        <f t="shared" si="12"/>
        <v>0</v>
      </c>
      <c r="H219" s="10">
        <f>+'9958'!D224</f>
        <v>0</v>
      </c>
    </row>
    <row r="220" spans="2:8" x14ac:dyDescent="0.25">
      <c r="B220" s="5" t="s">
        <v>222</v>
      </c>
      <c r="C220" s="7">
        <v>208</v>
      </c>
      <c r="D220" s="13" t="s">
        <v>335</v>
      </c>
      <c r="E220" s="27"/>
      <c r="F220" s="28">
        <f t="shared" si="11"/>
        <v>0</v>
      </c>
      <c r="G220" s="29">
        <f t="shared" si="12"/>
        <v>0</v>
      </c>
      <c r="H220" s="10">
        <f>+'9958'!D225</f>
        <v>0</v>
      </c>
    </row>
    <row r="221" spans="2:8" x14ac:dyDescent="0.25">
      <c r="B221" s="5" t="s">
        <v>223</v>
      </c>
      <c r="C221" s="7">
        <v>209</v>
      </c>
      <c r="D221" s="13" t="s">
        <v>335</v>
      </c>
      <c r="E221" s="27"/>
      <c r="F221" s="28">
        <f t="shared" si="11"/>
        <v>0</v>
      </c>
      <c r="G221" s="29">
        <f t="shared" si="12"/>
        <v>0</v>
      </c>
      <c r="H221" s="10">
        <f>+'9958'!D226</f>
        <v>0</v>
      </c>
    </row>
    <row r="222" spans="2:8" x14ac:dyDescent="0.25">
      <c r="B222" s="5" t="s">
        <v>224</v>
      </c>
      <c r="C222" s="7">
        <v>210</v>
      </c>
      <c r="D222" s="13" t="s">
        <v>335</v>
      </c>
      <c r="E222" s="27"/>
      <c r="F222" s="28">
        <f t="shared" si="11"/>
        <v>0</v>
      </c>
      <c r="G222" s="29">
        <f t="shared" si="12"/>
        <v>0</v>
      </c>
      <c r="H222" s="10">
        <f>+'9958'!D227</f>
        <v>0</v>
      </c>
    </row>
    <row r="223" spans="2:8" x14ac:dyDescent="0.25">
      <c r="B223" s="5" t="s">
        <v>225</v>
      </c>
      <c r="C223" s="7">
        <v>211</v>
      </c>
      <c r="D223" s="13" t="s">
        <v>335</v>
      </c>
      <c r="E223" s="27"/>
      <c r="F223" s="28">
        <f t="shared" si="11"/>
        <v>0</v>
      </c>
      <c r="G223" s="29">
        <f t="shared" si="12"/>
        <v>0</v>
      </c>
      <c r="H223" s="10">
        <f>+'9958'!D228</f>
        <v>0</v>
      </c>
    </row>
    <row r="224" spans="2:8" x14ac:dyDescent="0.25">
      <c r="B224" s="5" t="s">
        <v>226</v>
      </c>
      <c r="C224" s="7">
        <v>212</v>
      </c>
      <c r="D224" s="13" t="s">
        <v>335</v>
      </c>
      <c r="E224" s="27"/>
      <c r="F224" s="28">
        <f t="shared" si="11"/>
        <v>0</v>
      </c>
      <c r="G224" s="29">
        <f t="shared" si="12"/>
        <v>0</v>
      </c>
      <c r="H224" s="10">
        <f>+'9958'!D229</f>
        <v>0</v>
      </c>
    </row>
    <row r="225" spans="2:8" x14ac:dyDescent="0.25">
      <c r="B225" s="5" t="s">
        <v>227</v>
      </c>
      <c r="C225" s="7">
        <v>213</v>
      </c>
      <c r="D225" s="13" t="s">
        <v>335</v>
      </c>
      <c r="E225" s="27">
        <v>2026</v>
      </c>
      <c r="F225" s="28">
        <f t="shared" si="11"/>
        <v>0</v>
      </c>
      <c r="G225" s="29">
        <f t="shared" si="12"/>
        <v>0</v>
      </c>
      <c r="H225" s="10">
        <f>+'9958'!D230</f>
        <v>0</v>
      </c>
    </row>
    <row r="226" spans="2:8" x14ac:dyDescent="0.25">
      <c r="B226" s="5" t="s">
        <v>228</v>
      </c>
      <c r="C226" s="7">
        <v>214</v>
      </c>
      <c r="D226" s="13" t="s">
        <v>335</v>
      </c>
      <c r="E226" s="27"/>
      <c r="F226" s="28">
        <f t="shared" si="11"/>
        <v>0</v>
      </c>
      <c r="G226" s="29">
        <f t="shared" si="12"/>
        <v>0</v>
      </c>
      <c r="H226" s="10">
        <f>+'9958'!D231</f>
        <v>0</v>
      </c>
    </row>
    <row r="227" spans="2:8" x14ac:dyDescent="0.25">
      <c r="B227" s="5" t="s">
        <v>229</v>
      </c>
      <c r="C227" s="7">
        <v>215</v>
      </c>
      <c r="D227" s="13" t="s">
        <v>335</v>
      </c>
      <c r="E227" s="27"/>
      <c r="F227" s="28">
        <f t="shared" si="11"/>
        <v>0</v>
      </c>
      <c r="G227" s="29">
        <f t="shared" si="12"/>
        <v>0</v>
      </c>
      <c r="H227" s="10">
        <f>+'9958'!D232</f>
        <v>0</v>
      </c>
    </row>
    <row r="228" spans="2:8" x14ac:dyDescent="0.25">
      <c r="B228" s="5" t="s">
        <v>230</v>
      </c>
      <c r="C228" s="7">
        <v>216</v>
      </c>
      <c r="D228" s="13" t="s">
        <v>335</v>
      </c>
      <c r="E228" s="27"/>
      <c r="F228" s="28">
        <f t="shared" si="11"/>
        <v>0</v>
      </c>
      <c r="G228" s="29">
        <f t="shared" si="12"/>
        <v>0</v>
      </c>
      <c r="H228" s="10">
        <f>+'9958'!D233</f>
        <v>0</v>
      </c>
    </row>
    <row r="229" spans="2:8" x14ac:dyDescent="0.25">
      <c r="B229" s="5" t="s">
        <v>231</v>
      </c>
      <c r="C229" s="7">
        <v>217</v>
      </c>
      <c r="D229" s="13" t="s">
        <v>335</v>
      </c>
      <c r="E229" s="27"/>
      <c r="F229" s="28">
        <f t="shared" si="11"/>
        <v>0</v>
      </c>
      <c r="G229" s="29">
        <f t="shared" si="12"/>
        <v>0</v>
      </c>
      <c r="H229" s="10">
        <f>+'9958'!D234</f>
        <v>0</v>
      </c>
    </row>
    <row r="230" spans="2:8" x14ac:dyDescent="0.25">
      <c r="B230" s="5" t="s">
        <v>232</v>
      </c>
      <c r="C230" s="7">
        <v>218</v>
      </c>
      <c r="D230" s="13" t="s">
        <v>335</v>
      </c>
      <c r="E230" s="27">
        <v>1075</v>
      </c>
      <c r="F230" s="28">
        <f t="shared" si="11"/>
        <v>0</v>
      </c>
      <c r="G230" s="29">
        <f t="shared" si="12"/>
        <v>0</v>
      </c>
      <c r="H230" s="10">
        <f>+'9958'!D235</f>
        <v>0</v>
      </c>
    </row>
    <row r="231" spans="2:8" x14ac:dyDescent="0.25">
      <c r="B231" s="5" t="s">
        <v>233</v>
      </c>
      <c r="C231" s="7">
        <v>219</v>
      </c>
      <c r="D231" s="13" t="s">
        <v>335</v>
      </c>
      <c r="E231" s="27">
        <v>26480</v>
      </c>
      <c r="F231" s="28">
        <f t="shared" si="11"/>
        <v>0</v>
      </c>
      <c r="G231" s="29">
        <f t="shared" si="12"/>
        <v>0</v>
      </c>
      <c r="H231" s="10">
        <f>+'9958'!D236</f>
        <v>0</v>
      </c>
    </row>
    <row r="232" spans="2:8" x14ac:dyDescent="0.25">
      <c r="B232" s="5" t="s">
        <v>234</v>
      </c>
      <c r="C232" s="7">
        <v>220</v>
      </c>
      <c r="D232" s="13" t="s">
        <v>335</v>
      </c>
      <c r="E232" s="27"/>
      <c r="F232" s="28">
        <f t="shared" si="11"/>
        <v>0</v>
      </c>
      <c r="G232" s="29">
        <f t="shared" si="12"/>
        <v>0</v>
      </c>
      <c r="H232" s="10">
        <f>+'9958'!D237</f>
        <v>0</v>
      </c>
    </row>
    <row r="233" spans="2:8" x14ac:dyDescent="0.25">
      <c r="B233" s="5" t="s">
        <v>235</v>
      </c>
      <c r="C233" s="7">
        <v>221</v>
      </c>
      <c r="D233" s="13" t="s">
        <v>335</v>
      </c>
      <c r="E233" s="27">
        <v>28955</v>
      </c>
      <c r="F233" s="28">
        <f t="shared" si="11"/>
        <v>0</v>
      </c>
      <c r="G233" s="29">
        <f t="shared" si="12"/>
        <v>0</v>
      </c>
      <c r="H233" s="10">
        <f>+'9958'!D238</f>
        <v>0</v>
      </c>
    </row>
    <row r="234" spans="2:8" x14ac:dyDescent="0.25">
      <c r="B234" s="5" t="s">
        <v>236</v>
      </c>
      <c r="C234" s="7">
        <v>222</v>
      </c>
      <c r="D234" s="13" t="s">
        <v>335</v>
      </c>
      <c r="E234" s="27">
        <v>74944</v>
      </c>
      <c r="F234" s="28">
        <f t="shared" si="11"/>
        <v>0</v>
      </c>
      <c r="G234" s="29">
        <f t="shared" ref="G234:G265" si="13">SUM(H234:H234)</f>
        <v>0</v>
      </c>
      <c r="H234" s="10">
        <f>+'9958'!D239</f>
        <v>0</v>
      </c>
    </row>
    <row r="235" spans="2:8" x14ac:dyDescent="0.25">
      <c r="B235" s="5" t="s">
        <v>237</v>
      </c>
      <c r="C235" s="7">
        <v>223</v>
      </c>
      <c r="D235" s="13" t="s">
        <v>335</v>
      </c>
      <c r="E235" s="27"/>
      <c r="F235" s="28">
        <f t="shared" si="11"/>
        <v>0</v>
      </c>
      <c r="G235" s="29">
        <f t="shared" si="13"/>
        <v>0</v>
      </c>
      <c r="H235" s="10">
        <f>+'9958'!D240</f>
        <v>0</v>
      </c>
    </row>
    <row r="236" spans="2:8" x14ac:dyDescent="0.25">
      <c r="B236" s="5" t="s">
        <v>238</v>
      </c>
      <c r="C236" s="7">
        <v>224</v>
      </c>
      <c r="D236" s="13" t="s">
        <v>335</v>
      </c>
      <c r="E236" s="27"/>
      <c r="F236" s="28">
        <f t="shared" si="11"/>
        <v>0</v>
      </c>
      <c r="G236" s="29">
        <f t="shared" si="13"/>
        <v>0</v>
      </c>
      <c r="H236" s="10">
        <f>+'9958'!D241</f>
        <v>0</v>
      </c>
    </row>
    <row r="237" spans="2:8" x14ac:dyDescent="0.25">
      <c r="B237" s="5" t="s">
        <v>239</v>
      </c>
      <c r="C237" s="7">
        <v>225</v>
      </c>
      <c r="D237" s="13" t="s">
        <v>335</v>
      </c>
      <c r="E237" s="27">
        <v>36492</v>
      </c>
      <c r="F237" s="28">
        <f t="shared" si="11"/>
        <v>0</v>
      </c>
      <c r="G237" s="29">
        <f t="shared" si="13"/>
        <v>0</v>
      </c>
      <c r="H237" s="10">
        <f>+'9958'!D242</f>
        <v>0</v>
      </c>
    </row>
    <row r="238" spans="2:8" x14ac:dyDescent="0.25">
      <c r="B238" s="5" t="s">
        <v>240</v>
      </c>
      <c r="C238" s="7">
        <v>226</v>
      </c>
      <c r="D238" s="13" t="s">
        <v>335</v>
      </c>
      <c r="E238" s="27"/>
      <c r="F238" s="28">
        <f t="shared" si="11"/>
        <v>0</v>
      </c>
      <c r="G238" s="29">
        <f t="shared" si="13"/>
        <v>0</v>
      </c>
      <c r="H238" s="10">
        <f>+'9958'!D243</f>
        <v>0</v>
      </c>
    </row>
    <row r="239" spans="2:8" x14ac:dyDescent="0.25">
      <c r="B239" s="5" t="s">
        <v>241</v>
      </c>
      <c r="C239" s="7">
        <v>227</v>
      </c>
      <c r="D239" s="13" t="s">
        <v>335</v>
      </c>
      <c r="E239" s="27"/>
      <c r="F239" s="28">
        <f t="shared" si="11"/>
        <v>0</v>
      </c>
      <c r="G239" s="29">
        <f t="shared" si="13"/>
        <v>0</v>
      </c>
      <c r="H239" s="10">
        <f>+'9958'!D244</f>
        <v>0</v>
      </c>
    </row>
    <row r="240" spans="2:8" x14ac:dyDescent="0.25">
      <c r="B240" s="5" t="s">
        <v>242</v>
      </c>
      <c r="C240" s="7">
        <v>228</v>
      </c>
      <c r="D240" s="13" t="s">
        <v>335</v>
      </c>
      <c r="E240" s="27"/>
      <c r="F240" s="28">
        <f t="shared" si="11"/>
        <v>0</v>
      </c>
      <c r="G240" s="29">
        <f t="shared" si="13"/>
        <v>0</v>
      </c>
      <c r="H240" s="10">
        <f>+'9958'!D245</f>
        <v>0</v>
      </c>
    </row>
    <row r="241" spans="2:8" x14ac:dyDescent="0.25">
      <c r="B241" s="5" t="s">
        <v>243</v>
      </c>
      <c r="C241" s="7">
        <v>229</v>
      </c>
      <c r="D241" s="13" t="s">
        <v>335</v>
      </c>
      <c r="E241" s="27">
        <v>69452</v>
      </c>
      <c r="F241" s="28">
        <f t="shared" si="11"/>
        <v>0</v>
      </c>
      <c r="G241" s="29">
        <f t="shared" si="13"/>
        <v>0</v>
      </c>
      <c r="H241" s="10">
        <f>+'9958'!D246</f>
        <v>0</v>
      </c>
    </row>
    <row r="242" spans="2:8" x14ac:dyDescent="0.25">
      <c r="B242" s="5" t="s">
        <v>244</v>
      </c>
      <c r="C242" s="7">
        <v>230</v>
      </c>
      <c r="D242" s="13" t="s">
        <v>335</v>
      </c>
      <c r="E242" s="27"/>
      <c r="F242" s="28">
        <f t="shared" si="11"/>
        <v>0</v>
      </c>
      <c r="G242" s="29">
        <f t="shared" si="13"/>
        <v>0</v>
      </c>
      <c r="H242" s="10">
        <f>+'9958'!D247</f>
        <v>0</v>
      </c>
    </row>
    <row r="243" spans="2:8" x14ac:dyDescent="0.25">
      <c r="B243" s="5" t="s">
        <v>245</v>
      </c>
      <c r="C243" s="7">
        <v>231</v>
      </c>
      <c r="D243" s="13" t="s">
        <v>338</v>
      </c>
      <c r="E243" s="27">
        <v>27346</v>
      </c>
      <c r="F243" s="28">
        <f t="shared" si="11"/>
        <v>0</v>
      </c>
      <c r="G243" s="29">
        <f t="shared" si="13"/>
        <v>0</v>
      </c>
      <c r="H243" s="10">
        <f>+'9958'!D248</f>
        <v>0</v>
      </c>
    </row>
    <row r="244" spans="2:8" x14ac:dyDescent="0.25">
      <c r="B244" s="5" t="s">
        <v>246</v>
      </c>
      <c r="C244" s="7">
        <v>232</v>
      </c>
      <c r="D244" s="13" t="s">
        <v>338</v>
      </c>
      <c r="E244" s="27"/>
      <c r="F244" s="28">
        <f t="shared" si="11"/>
        <v>0</v>
      </c>
      <c r="G244" s="29">
        <f t="shared" si="13"/>
        <v>0</v>
      </c>
      <c r="H244" s="10">
        <f>+'9958'!D249</f>
        <v>0</v>
      </c>
    </row>
    <row r="245" spans="2:8" x14ac:dyDescent="0.25">
      <c r="B245" s="5" t="s">
        <v>247</v>
      </c>
      <c r="C245" s="7">
        <v>233</v>
      </c>
      <c r="D245" s="13" t="s">
        <v>335</v>
      </c>
      <c r="E245" s="27"/>
      <c r="F245" s="28">
        <f t="shared" si="11"/>
        <v>0</v>
      </c>
      <c r="G245" s="29">
        <f t="shared" si="13"/>
        <v>0</v>
      </c>
      <c r="H245" s="10">
        <f>+'9958'!D250</f>
        <v>0</v>
      </c>
    </row>
    <row r="246" spans="2:8" x14ac:dyDescent="0.25">
      <c r="B246" s="5" t="s">
        <v>248</v>
      </c>
      <c r="C246" s="7">
        <v>234</v>
      </c>
      <c r="D246" s="13" t="s">
        <v>335</v>
      </c>
      <c r="E246" s="27">
        <v>46215</v>
      </c>
      <c r="F246" s="28">
        <f t="shared" si="11"/>
        <v>0</v>
      </c>
      <c r="G246" s="29">
        <f t="shared" si="13"/>
        <v>0</v>
      </c>
      <c r="H246" s="10">
        <f>+'9958'!D251</f>
        <v>0</v>
      </c>
    </row>
    <row r="247" spans="2:8" x14ac:dyDescent="0.25">
      <c r="B247" s="5" t="s">
        <v>249</v>
      </c>
      <c r="C247" s="7">
        <v>235</v>
      </c>
      <c r="D247" s="13" t="s">
        <v>335</v>
      </c>
      <c r="E247" s="27"/>
      <c r="F247" s="28">
        <f t="shared" si="11"/>
        <v>0</v>
      </c>
      <c r="G247" s="29">
        <f t="shared" si="13"/>
        <v>0</v>
      </c>
      <c r="H247" s="10">
        <f>+'9958'!D252</f>
        <v>0</v>
      </c>
    </row>
    <row r="248" spans="2:8" x14ac:dyDescent="0.25">
      <c r="B248" s="5" t="s">
        <v>250</v>
      </c>
      <c r="C248" s="7">
        <v>236</v>
      </c>
      <c r="D248" s="13" t="s">
        <v>335</v>
      </c>
      <c r="E248" s="27">
        <v>92866</v>
      </c>
      <c r="F248" s="28">
        <f t="shared" si="11"/>
        <v>0</v>
      </c>
      <c r="G248" s="29">
        <f t="shared" si="13"/>
        <v>0</v>
      </c>
      <c r="H248" s="10">
        <f>+'9958'!D253</f>
        <v>0</v>
      </c>
    </row>
    <row r="249" spans="2:8" x14ac:dyDescent="0.25">
      <c r="B249" s="5" t="s">
        <v>251</v>
      </c>
      <c r="C249" s="7">
        <v>237</v>
      </c>
      <c r="D249" s="13" t="s">
        <v>335</v>
      </c>
      <c r="E249" s="27"/>
      <c r="F249" s="28">
        <f t="shared" si="11"/>
        <v>0</v>
      </c>
      <c r="G249" s="29">
        <f t="shared" si="13"/>
        <v>0</v>
      </c>
      <c r="H249" s="10">
        <f>+'9958'!D254</f>
        <v>0</v>
      </c>
    </row>
    <row r="250" spans="2:8" x14ac:dyDescent="0.25">
      <c r="B250" s="5" t="s">
        <v>252</v>
      </c>
      <c r="C250" s="7">
        <v>238</v>
      </c>
      <c r="D250" s="13" t="s">
        <v>335</v>
      </c>
      <c r="E250" s="27"/>
      <c r="F250" s="28">
        <f t="shared" si="11"/>
        <v>0</v>
      </c>
      <c r="G250" s="29">
        <f t="shared" si="13"/>
        <v>0</v>
      </c>
      <c r="H250" s="10">
        <f>+'9958'!D255</f>
        <v>0</v>
      </c>
    </row>
    <row r="251" spans="2:8" x14ac:dyDescent="0.25">
      <c r="B251" s="5" t="s">
        <v>253</v>
      </c>
      <c r="C251" s="7">
        <v>239</v>
      </c>
      <c r="D251" s="13" t="s">
        <v>335</v>
      </c>
      <c r="E251" s="27"/>
      <c r="F251" s="28">
        <f t="shared" si="11"/>
        <v>0</v>
      </c>
      <c r="G251" s="29">
        <f t="shared" si="13"/>
        <v>0</v>
      </c>
      <c r="H251" s="10">
        <f>+'9958'!D256</f>
        <v>0</v>
      </c>
    </row>
    <row r="252" spans="2:8" x14ac:dyDescent="0.25">
      <c r="B252" s="5" t="s">
        <v>254</v>
      </c>
      <c r="C252" s="7">
        <v>240</v>
      </c>
      <c r="D252" s="13" t="s">
        <v>335</v>
      </c>
      <c r="E252" s="27"/>
      <c r="F252" s="28">
        <f t="shared" si="11"/>
        <v>0</v>
      </c>
      <c r="G252" s="29">
        <f t="shared" si="13"/>
        <v>0</v>
      </c>
      <c r="H252" s="10">
        <f>+'9958'!D257</f>
        <v>0</v>
      </c>
    </row>
    <row r="253" spans="2:8" x14ac:dyDescent="0.25">
      <c r="B253" s="5" t="s">
        <v>255</v>
      </c>
      <c r="C253" s="7">
        <v>241</v>
      </c>
      <c r="D253" s="13" t="s">
        <v>335</v>
      </c>
      <c r="E253" s="27">
        <v>2766</v>
      </c>
      <c r="F253" s="28">
        <f t="shared" si="11"/>
        <v>0</v>
      </c>
      <c r="G253" s="30">
        <f t="shared" si="13"/>
        <v>0</v>
      </c>
      <c r="H253" s="10">
        <f>+'9958'!D258</f>
        <v>0</v>
      </c>
    </row>
    <row r="254" spans="2:8" x14ac:dyDescent="0.25">
      <c r="B254" s="5" t="s">
        <v>256</v>
      </c>
      <c r="C254" s="7">
        <v>242</v>
      </c>
      <c r="D254" s="13" t="s">
        <v>335</v>
      </c>
      <c r="E254" s="27">
        <v>1091</v>
      </c>
      <c r="F254" s="28">
        <f t="shared" si="11"/>
        <v>0</v>
      </c>
      <c r="G254" s="29">
        <f t="shared" si="13"/>
        <v>0</v>
      </c>
      <c r="H254" s="10">
        <f>+'9958'!D259</f>
        <v>0</v>
      </c>
    </row>
    <row r="255" spans="2:8" x14ac:dyDescent="0.25">
      <c r="B255" s="5" t="s">
        <v>257</v>
      </c>
      <c r="C255" s="7">
        <v>243</v>
      </c>
      <c r="D255" s="13" t="s">
        <v>335</v>
      </c>
      <c r="E255" s="27"/>
      <c r="F255" s="28">
        <f t="shared" si="11"/>
        <v>0</v>
      </c>
      <c r="G255" s="29">
        <f t="shared" si="13"/>
        <v>0</v>
      </c>
      <c r="H255" s="10">
        <f>+'9958'!D260</f>
        <v>0</v>
      </c>
    </row>
    <row r="256" spans="2:8" x14ac:dyDescent="0.25">
      <c r="B256" s="5" t="s">
        <v>258</v>
      </c>
      <c r="C256" s="7">
        <v>244</v>
      </c>
      <c r="D256" s="13" t="s">
        <v>335</v>
      </c>
      <c r="E256" s="27"/>
      <c r="F256" s="28">
        <f t="shared" si="11"/>
        <v>0</v>
      </c>
      <c r="G256" s="29">
        <f t="shared" si="13"/>
        <v>0</v>
      </c>
      <c r="H256" s="10">
        <f>+'9958'!D261</f>
        <v>0</v>
      </c>
    </row>
    <row r="257" spans="2:8" x14ac:dyDescent="0.25">
      <c r="B257" s="5" t="s">
        <v>259</v>
      </c>
      <c r="C257" s="7">
        <v>245</v>
      </c>
      <c r="D257" s="13" t="s">
        <v>335</v>
      </c>
      <c r="E257" s="27"/>
      <c r="F257" s="28">
        <f t="shared" si="11"/>
        <v>0</v>
      </c>
      <c r="G257" s="29">
        <f t="shared" si="13"/>
        <v>0</v>
      </c>
      <c r="H257" s="10">
        <f>+'9958'!D262</f>
        <v>0</v>
      </c>
    </row>
    <row r="258" spans="2:8" x14ac:dyDescent="0.25">
      <c r="B258" s="5" t="s">
        <v>260</v>
      </c>
      <c r="C258" s="7">
        <v>246</v>
      </c>
      <c r="D258" s="13" t="s">
        <v>335</v>
      </c>
      <c r="E258" s="27">
        <v>547</v>
      </c>
      <c r="F258" s="28">
        <f t="shared" si="11"/>
        <v>0</v>
      </c>
      <c r="G258" s="29">
        <f t="shared" si="13"/>
        <v>0</v>
      </c>
      <c r="H258" s="10">
        <f>+'9958'!D263</f>
        <v>0</v>
      </c>
    </row>
    <row r="259" spans="2:8" x14ac:dyDescent="0.25">
      <c r="B259" s="5" t="s">
        <v>261</v>
      </c>
      <c r="C259" s="7">
        <v>247</v>
      </c>
      <c r="D259" s="13" t="s">
        <v>335</v>
      </c>
      <c r="E259" s="27">
        <v>27290</v>
      </c>
      <c r="F259" s="28">
        <f t="shared" si="11"/>
        <v>0</v>
      </c>
      <c r="G259" s="29">
        <f t="shared" si="13"/>
        <v>0</v>
      </c>
      <c r="H259" s="10">
        <f>+'9958'!D264</f>
        <v>0</v>
      </c>
    </row>
    <row r="260" spans="2:8" x14ac:dyDescent="0.25">
      <c r="B260" s="5" t="s">
        <v>262</v>
      </c>
      <c r="C260" s="7">
        <v>248</v>
      </c>
      <c r="D260" s="13" t="s">
        <v>335</v>
      </c>
      <c r="E260" s="27">
        <v>53451</v>
      </c>
      <c r="F260" s="28">
        <f t="shared" si="11"/>
        <v>0</v>
      </c>
      <c r="G260" s="29">
        <f t="shared" si="13"/>
        <v>0</v>
      </c>
      <c r="H260" s="10">
        <f>+'9958'!D265</f>
        <v>0</v>
      </c>
    </row>
    <row r="261" spans="2:8" x14ac:dyDescent="0.25">
      <c r="B261" s="5" t="s">
        <v>263</v>
      </c>
      <c r="C261" s="7">
        <v>249</v>
      </c>
      <c r="D261" s="13" t="s">
        <v>335</v>
      </c>
      <c r="E261" s="27">
        <v>58894</v>
      </c>
      <c r="F261" s="28">
        <f t="shared" si="11"/>
        <v>0</v>
      </c>
      <c r="G261" s="29">
        <f t="shared" si="13"/>
        <v>0</v>
      </c>
      <c r="H261" s="10">
        <f>+'9958'!D266</f>
        <v>0</v>
      </c>
    </row>
    <row r="262" spans="2:8" x14ac:dyDescent="0.25">
      <c r="B262" s="5" t="s">
        <v>264</v>
      </c>
      <c r="C262" s="7">
        <v>250</v>
      </c>
      <c r="D262" s="13" t="s">
        <v>335</v>
      </c>
      <c r="E262" s="27"/>
      <c r="F262" s="28">
        <f t="shared" si="11"/>
        <v>0</v>
      </c>
      <c r="G262" s="29">
        <f t="shared" si="13"/>
        <v>0</v>
      </c>
      <c r="H262" s="10">
        <f>+'9958'!D267</f>
        <v>0</v>
      </c>
    </row>
    <row r="263" spans="2:8" x14ac:dyDescent="0.25">
      <c r="B263" s="5" t="s">
        <v>265</v>
      </c>
      <c r="C263" s="7">
        <v>251</v>
      </c>
      <c r="D263" s="13" t="s">
        <v>335</v>
      </c>
      <c r="E263" s="27">
        <v>85242</v>
      </c>
      <c r="F263" s="28">
        <f t="shared" si="11"/>
        <v>0</v>
      </c>
      <c r="G263" s="29">
        <f t="shared" si="13"/>
        <v>0</v>
      </c>
      <c r="H263" s="10">
        <f>+'9958'!D268</f>
        <v>0</v>
      </c>
    </row>
    <row r="264" spans="2:8" x14ac:dyDescent="0.25">
      <c r="B264" s="5" t="s">
        <v>266</v>
      </c>
      <c r="C264" s="7">
        <v>252</v>
      </c>
      <c r="D264" s="13" t="s">
        <v>335</v>
      </c>
      <c r="E264" s="27"/>
      <c r="F264" s="28">
        <f t="shared" si="11"/>
        <v>0</v>
      </c>
      <c r="G264" s="29">
        <f t="shared" si="13"/>
        <v>0</v>
      </c>
      <c r="H264" s="10">
        <f>+'9958'!D269</f>
        <v>0</v>
      </c>
    </row>
    <row r="265" spans="2:8" x14ac:dyDescent="0.25">
      <c r="B265" s="5" t="s">
        <v>267</v>
      </c>
      <c r="C265" s="7">
        <v>253</v>
      </c>
      <c r="D265" s="13" t="s">
        <v>335</v>
      </c>
      <c r="E265" s="27"/>
      <c r="F265" s="28">
        <f t="shared" si="11"/>
        <v>0</v>
      </c>
      <c r="G265" s="29">
        <f t="shared" si="13"/>
        <v>0</v>
      </c>
      <c r="H265" s="10">
        <f>+'9958'!D270</f>
        <v>0</v>
      </c>
    </row>
    <row r="266" spans="2:8" x14ac:dyDescent="0.25">
      <c r="B266" s="5" t="s">
        <v>268</v>
      </c>
      <c r="C266" s="7">
        <v>254</v>
      </c>
      <c r="D266" s="13" t="s">
        <v>335</v>
      </c>
      <c r="E266" s="27"/>
      <c r="F266" s="28">
        <f t="shared" ref="F266:F329" si="14">+G266*E266</f>
        <v>0</v>
      </c>
      <c r="G266" s="29">
        <f t="shared" ref="G266:G297" si="15">SUM(H266:H266)</f>
        <v>0</v>
      </c>
      <c r="H266" s="10">
        <f>+'9958'!D271</f>
        <v>0</v>
      </c>
    </row>
    <row r="267" spans="2:8" x14ac:dyDescent="0.25">
      <c r="B267" s="5" t="s">
        <v>269</v>
      </c>
      <c r="C267" s="7">
        <v>255</v>
      </c>
      <c r="D267" s="13" t="s">
        <v>335</v>
      </c>
      <c r="E267" s="27"/>
      <c r="F267" s="28">
        <f t="shared" si="14"/>
        <v>0</v>
      </c>
      <c r="G267" s="29">
        <f t="shared" si="15"/>
        <v>0</v>
      </c>
      <c r="H267" s="10">
        <f>+'9958'!D272</f>
        <v>0</v>
      </c>
    </row>
    <row r="268" spans="2:8" x14ac:dyDescent="0.25">
      <c r="B268" s="5" t="s">
        <v>270</v>
      </c>
      <c r="C268" s="7">
        <v>256</v>
      </c>
      <c r="D268" s="13" t="s">
        <v>335</v>
      </c>
      <c r="E268" s="27"/>
      <c r="F268" s="28">
        <f t="shared" si="14"/>
        <v>0</v>
      </c>
      <c r="G268" s="29">
        <f t="shared" si="15"/>
        <v>0</v>
      </c>
      <c r="H268" s="10">
        <f>+'9958'!D273</f>
        <v>0</v>
      </c>
    </row>
    <row r="269" spans="2:8" x14ac:dyDescent="0.25">
      <c r="B269" s="5" t="s">
        <v>271</v>
      </c>
      <c r="C269" s="7">
        <v>257</v>
      </c>
      <c r="D269" s="13" t="s">
        <v>335</v>
      </c>
      <c r="E269" s="27">
        <v>10462</v>
      </c>
      <c r="F269" s="28">
        <f t="shared" si="14"/>
        <v>0</v>
      </c>
      <c r="G269" s="29">
        <f t="shared" si="15"/>
        <v>0</v>
      </c>
      <c r="H269" s="10">
        <f>+'9958'!D274</f>
        <v>0</v>
      </c>
    </row>
    <row r="270" spans="2:8" x14ac:dyDescent="0.25">
      <c r="B270" s="5" t="s">
        <v>272</v>
      </c>
      <c r="C270" s="7">
        <v>258</v>
      </c>
      <c r="D270" s="13" t="s">
        <v>335</v>
      </c>
      <c r="E270" s="27"/>
      <c r="F270" s="28">
        <f t="shared" si="14"/>
        <v>0</v>
      </c>
      <c r="G270" s="29">
        <f t="shared" si="15"/>
        <v>0</v>
      </c>
      <c r="H270" s="10">
        <f>+'9958'!D275</f>
        <v>0</v>
      </c>
    </row>
    <row r="271" spans="2:8" x14ac:dyDescent="0.25">
      <c r="B271" s="5" t="s">
        <v>273</v>
      </c>
      <c r="C271" s="7">
        <v>259</v>
      </c>
      <c r="D271" s="13" t="s">
        <v>335</v>
      </c>
      <c r="E271" s="27">
        <v>97543</v>
      </c>
      <c r="F271" s="28">
        <f t="shared" si="14"/>
        <v>0</v>
      </c>
      <c r="G271" s="29">
        <f t="shared" si="15"/>
        <v>0</v>
      </c>
      <c r="H271" s="10">
        <f>+'9958'!D276</f>
        <v>0</v>
      </c>
    </row>
    <row r="272" spans="2:8" x14ac:dyDescent="0.25">
      <c r="B272" s="5" t="s">
        <v>274</v>
      </c>
      <c r="C272" s="7">
        <v>260</v>
      </c>
      <c r="D272" s="13" t="s">
        <v>335</v>
      </c>
      <c r="E272" s="27"/>
      <c r="F272" s="28">
        <f t="shared" si="14"/>
        <v>0</v>
      </c>
      <c r="G272" s="29">
        <f t="shared" si="15"/>
        <v>0</v>
      </c>
      <c r="H272" s="10">
        <f>+'9958'!D277</f>
        <v>0</v>
      </c>
    </row>
    <row r="273" spans="2:8" x14ac:dyDescent="0.25">
      <c r="B273" s="5" t="s">
        <v>275</v>
      </c>
      <c r="C273" s="7">
        <v>261</v>
      </c>
      <c r="D273" s="13" t="s">
        <v>335</v>
      </c>
      <c r="E273" s="27"/>
      <c r="F273" s="28">
        <f t="shared" si="14"/>
        <v>0</v>
      </c>
      <c r="G273" s="29">
        <f t="shared" si="15"/>
        <v>0</v>
      </c>
      <c r="H273" s="10">
        <f>+'9958'!D278</f>
        <v>0</v>
      </c>
    </row>
    <row r="274" spans="2:8" x14ac:dyDescent="0.25">
      <c r="B274" s="5" t="s">
        <v>276</v>
      </c>
      <c r="C274" s="7">
        <v>262</v>
      </c>
      <c r="D274" s="13" t="s">
        <v>335</v>
      </c>
      <c r="E274" s="27"/>
      <c r="F274" s="28">
        <f t="shared" si="14"/>
        <v>0</v>
      </c>
      <c r="G274" s="29">
        <f t="shared" si="15"/>
        <v>0</v>
      </c>
      <c r="H274" s="10">
        <f>+'9958'!D279</f>
        <v>0</v>
      </c>
    </row>
    <row r="275" spans="2:8" x14ac:dyDescent="0.25">
      <c r="B275" s="5" t="s">
        <v>277</v>
      </c>
      <c r="C275" s="7">
        <v>263</v>
      </c>
      <c r="D275" s="13" t="s">
        <v>335</v>
      </c>
      <c r="E275" s="27"/>
      <c r="F275" s="28">
        <f t="shared" si="14"/>
        <v>0</v>
      </c>
      <c r="G275" s="29">
        <f t="shared" si="15"/>
        <v>0</v>
      </c>
      <c r="H275" s="10">
        <f>+'9958'!D280</f>
        <v>0</v>
      </c>
    </row>
    <row r="276" spans="2:8" x14ac:dyDescent="0.25">
      <c r="B276" s="5" t="s">
        <v>278</v>
      </c>
      <c r="C276" s="7">
        <v>264</v>
      </c>
      <c r="D276" s="13" t="s">
        <v>335</v>
      </c>
      <c r="E276" s="27"/>
      <c r="F276" s="28">
        <f t="shared" si="14"/>
        <v>0</v>
      </c>
      <c r="G276" s="29">
        <f t="shared" si="15"/>
        <v>0</v>
      </c>
      <c r="H276" s="10">
        <f>+'9958'!D281</f>
        <v>0</v>
      </c>
    </row>
    <row r="277" spans="2:8" x14ac:dyDescent="0.25">
      <c r="B277" s="5" t="s">
        <v>279</v>
      </c>
      <c r="C277" s="7">
        <v>265</v>
      </c>
      <c r="D277" s="13" t="s">
        <v>335</v>
      </c>
      <c r="E277" s="27"/>
      <c r="F277" s="28">
        <f t="shared" si="14"/>
        <v>0</v>
      </c>
      <c r="G277" s="29">
        <f t="shared" si="15"/>
        <v>0</v>
      </c>
      <c r="H277" s="10">
        <f>+'9958'!D282</f>
        <v>0</v>
      </c>
    </row>
    <row r="278" spans="2:8" x14ac:dyDescent="0.25">
      <c r="B278" s="5" t="s">
        <v>280</v>
      </c>
      <c r="C278" s="7">
        <v>266</v>
      </c>
      <c r="D278" s="13" t="s">
        <v>335</v>
      </c>
      <c r="E278" s="27">
        <v>56079</v>
      </c>
      <c r="F278" s="28">
        <f t="shared" si="14"/>
        <v>0</v>
      </c>
      <c r="G278" s="29">
        <f t="shared" si="15"/>
        <v>0</v>
      </c>
      <c r="H278" s="10">
        <f>+'9958'!D283</f>
        <v>0</v>
      </c>
    </row>
    <row r="279" spans="2:8" x14ac:dyDescent="0.25">
      <c r="B279" s="5" t="s">
        <v>281</v>
      </c>
      <c r="C279" s="7">
        <v>267</v>
      </c>
      <c r="D279" s="13" t="s">
        <v>335</v>
      </c>
      <c r="E279" s="27"/>
      <c r="F279" s="28">
        <f t="shared" si="14"/>
        <v>0</v>
      </c>
      <c r="G279" s="29">
        <f t="shared" si="15"/>
        <v>0</v>
      </c>
      <c r="H279" s="10">
        <f>+'9958'!D284</f>
        <v>0</v>
      </c>
    </row>
    <row r="280" spans="2:8" x14ac:dyDescent="0.25">
      <c r="B280" s="5" t="s">
        <v>282</v>
      </c>
      <c r="C280" s="7">
        <v>268</v>
      </c>
      <c r="D280" s="13" t="s">
        <v>335</v>
      </c>
      <c r="E280" s="27">
        <v>50750</v>
      </c>
      <c r="F280" s="28">
        <f t="shared" si="14"/>
        <v>0</v>
      </c>
      <c r="G280" s="29">
        <f t="shared" si="15"/>
        <v>0</v>
      </c>
      <c r="H280" s="10">
        <f>+'9958'!D285</f>
        <v>0</v>
      </c>
    </row>
    <row r="281" spans="2:8" x14ac:dyDescent="0.25">
      <c r="B281" s="5" t="s">
        <v>283</v>
      </c>
      <c r="C281" s="7">
        <v>269</v>
      </c>
      <c r="D281" s="13" t="s">
        <v>335</v>
      </c>
      <c r="E281" s="27">
        <v>92692</v>
      </c>
      <c r="F281" s="28">
        <f t="shared" si="14"/>
        <v>0</v>
      </c>
      <c r="G281" s="29">
        <f t="shared" si="15"/>
        <v>0</v>
      </c>
      <c r="H281" s="10">
        <f>+'9958'!D286</f>
        <v>0</v>
      </c>
    </row>
    <row r="282" spans="2:8" x14ac:dyDescent="0.25">
      <c r="B282" s="5" t="s">
        <v>284</v>
      </c>
      <c r="C282" s="7">
        <v>270</v>
      </c>
      <c r="D282" s="13" t="s">
        <v>335</v>
      </c>
      <c r="E282" s="27"/>
      <c r="F282" s="28">
        <f t="shared" si="14"/>
        <v>0</v>
      </c>
      <c r="G282" s="29">
        <f t="shared" si="15"/>
        <v>0</v>
      </c>
      <c r="H282" s="10">
        <f>+'9958'!D287</f>
        <v>0</v>
      </c>
    </row>
    <row r="283" spans="2:8" x14ac:dyDescent="0.25">
      <c r="B283" s="5" t="s">
        <v>285</v>
      </c>
      <c r="C283" s="7">
        <v>271</v>
      </c>
      <c r="D283" s="13" t="s">
        <v>335</v>
      </c>
      <c r="E283" s="27"/>
      <c r="F283" s="28">
        <f t="shared" si="14"/>
        <v>0</v>
      </c>
      <c r="G283" s="29">
        <f t="shared" si="15"/>
        <v>0</v>
      </c>
      <c r="H283" s="10">
        <f>+'9958'!D288</f>
        <v>0</v>
      </c>
    </row>
    <row r="284" spans="2:8" x14ac:dyDescent="0.25">
      <c r="B284" s="5" t="s">
        <v>286</v>
      </c>
      <c r="C284" s="7">
        <v>272</v>
      </c>
      <c r="D284" s="13" t="s">
        <v>335</v>
      </c>
      <c r="E284" s="27"/>
      <c r="F284" s="28">
        <f t="shared" si="14"/>
        <v>0</v>
      </c>
      <c r="G284" s="29">
        <f t="shared" si="15"/>
        <v>0</v>
      </c>
      <c r="H284" s="10">
        <f>+'9958'!D289</f>
        <v>0</v>
      </c>
    </row>
    <row r="285" spans="2:8" x14ac:dyDescent="0.25">
      <c r="B285" s="5" t="s">
        <v>287</v>
      </c>
      <c r="C285" s="7">
        <v>273</v>
      </c>
      <c r="D285" s="13" t="s">
        <v>335</v>
      </c>
      <c r="E285" s="27"/>
      <c r="F285" s="28">
        <f t="shared" si="14"/>
        <v>0</v>
      </c>
      <c r="G285" s="29">
        <f t="shared" si="15"/>
        <v>0</v>
      </c>
      <c r="H285" s="10">
        <f>+'9958'!D290</f>
        <v>0</v>
      </c>
    </row>
    <row r="286" spans="2:8" x14ac:dyDescent="0.25">
      <c r="B286" s="5" t="s">
        <v>288</v>
      </c>
      <c r="C286" s="7">
        <v>274</v>
      </c>
      <c r="D286" s="13" t="s">
        <v>335</v>
      </c>
      <c r="E286" s="27">
        <v>31554</v>
      </c>
      <c r="F286" s="28">
        <f t="shared" si="14"/>
        <v>0</v>
      </c>
      <c r="G286" s="29">
        <f t="shared" si="15"/>
        <v>0</v>
      </c>
      <c r="H286" s="10">
        <f>+'9958'!D291</f>
        <v>0</v>
      </c>
    </row>
    <row r="287" spans="2:8" x14ac:dyDescent="0.25">
      <c r="B287" s="5" t="s">
        <v>289</v>
      </c>
      <c r="C287" s="7">
        <v>275</v>
      </c>
      <c r="D287" s="13" t="s">
        <v>335</v>
      </c>
      <c r="E287" s="27"/>
      <c r="F287" s="28">
        <f t="shared" si="14"/>
        <v>0</v>
      </c>
      <c r="G287" s="29">
        <f t="shared" si="15"/>
        <v>0</v>
      </c>
      <c r="H287" s="10">
        <f>+'9958'!D292</f>
        <v>0</v>
      </c>
    </row>
    <row r="288" spans="2:8" x14ac:dyDescent="0.25">
      <c r="B288" s="5" t="s">
        <v>290</v>
      </c>
      <c r="C288" s="7">
        <v>276</v>
      </c>
      <c r="D288" s="13" t="s">
        <v>335</v>
      </c>
      <c r="E288" s="27"/>
      <c r="F288" s="28">
        <f t="shared" si="14"/>
        <v>0</v>
      </c>
      <c r="G288" s="29">
        <f t="shared" si="15"/>
        <v>0</v>
      </c>
      <c r="H288" s="10">
        <f>+'9958'!D293</f>
        <v>0</v>
      </c>
    </row>
    <row r="289" spans="2:8" x14ac:dyDescent="0.25">
      <c r="B289" s="5" t="s">
        <v>291</v>
      </c>
      <c r="C289" s="7">
        <v>277</v>
      </c>
      <c r="D289" s="13" t="s">
        <v>335</v>
      </c>
      <c r="E289" s="27"/>
      <c r="F289" s="28">
        <f t="shared" si="14"/>
        <v>0</v>
      </c>
      <c r="G289" s="29">
        <f t="shared" si="15"/>
        <v>0</v>
      </c>
      <c r="H289" s="10">
        <f>+'9958'!D294</f>
        <v>0</v>
      </c>
    </row>
    <row r="290" spans="2:8" x14ac:dyDescent="0.25">
      <c r="B290" s="5" t="s">
        <v>292</v>
      </c>
      <c r="C290" s="7">
        <v>278</v>
      </c>
      <c r="D290" s="13" t="s">
        <v>335</v>
      </c>
      <c r="E290" s="27">
        <v>23792</v>
      </c>
      <c r="F290" s="28">
        <f t="shared" si="14"/>
        <v>0</v>
      </c>
      <c r="G290" s="29">
        <f t="shared" si="15"/>
        <v>0</v>
      </c>
      <c r="H290" s="10">
        <f>+'9958'!D295</f>
        <v>0</v>
      </c>
    </row>
    <row r="291" spans="2:8" x14ac:dyDescent="0.25">
      <c r="B291" s="5" t="s">
        <v>293</v>
      </c>
      <c r="C291" s="7">
        <v>279</v>
      </c>
      <c r="D291" s="13" t="s">
        <v>335</v>
      </c>
      <c r="E291" s="27">
        <v>60327</v>
      </c>
      <c r="F291" s="28">
        <f t="shared" si="14"/>
        <v>0</v>
      </c>
      <c r="G291" s="29">
        <f t="shared" si="15"/>
        <v>0</v>
      </c>
      <c r="H291" s="10">
        <f>+'9958'!D296</f>
        <v>0</v>
      </c>
    </row>
    <row r="292" spans="2:8" x14ac:dyDescent="0.25">
      <c r="B292" s="5" t="s">
        <v>294</v>
      </c>
      <c r="C292" s="7">
        <v>280</v>
      </c>
      <c r="D292" s="13" t="s">
        <v>335</v>
      </c>
      <c r="E292" s="27">
        <v>143666</v>
      </c>
      <c r="F292" s="28">
        <f t="shared" si="14"/>
        <v>0</v>
      </c>
      <c r="G292" s="29">
        <f t="shared" si="15"/>
        <v>0</v>
      </c>
      <c r="H292" s="10">
        <f>+'9958'!D297</f>
        <v>0</v>
      </c>
    </row>
    <row r="293" spans="2:8" x14ac:dyDescent="0.25">
      <c r="B293" s="5" t="s">
        <v>295</v>
      </c>
      <c r="C293" s="7">
        <v>281</v>
      </c>
      <c r="D293" s="13" t="s">
        <v>336</v>
      </c>
      <c r="E293" s="27"/>
      <c r="F293" s="28">
        <f t="shared" si="14"/>
        <v>0</v>
      </c>
      <c r="G293" s="29">
        <f t="shared" si="15"/>
        <v>0</v>
      </c>
      <c r="H293" s="10">
        <f>+'9958'!D298</f>
        <v>0</v>
      </c>
    </row>
    <row r="294" spans="2:8" x14ac:dyDescent="0.25">
      <c r="B294" s="5" t="s">
        <v>296</v>
      </c>
      <c r="C294" s="7">
        <v>282</v>
      </c>
      <c r="D294" s="13" t="s">
        <v>335</v>
      </c>
      <c r="E294" s="27"/>
      <c r="F294" s="28">
        <f t="shared" si="14"/>
        <v>0</v>
      </c>
      <c r="G294" s="29">
        <f t="shared" si="15"/>
        <v>0</v>
      </c>
      <c r="H294" s="10">
        <f>+'9958'!D299</f>
        <v>0</v>
      </c>
    </row>
    <row r="295" spans="2:8" x14ac:dyDescent="0.25">
      <c r="B295" s="5" t="s">
        <v>297</v>
      </c>
      <c r="C295" s="7">
        <v>283</v>
      </c>
      <c r="D295" s="13" t="s">
        <v>335</v>
      </c>
      <c r="E295" s="27"/>
      <c r="F295" s="28">
        <f t="shared" si="14"/>
        <v>0</v>
      </c>
      <c r="G295" s="29">
        <f t="shared" si="15"/>
        <v>0</v>
      </c>
      <c r="H295" s="10">
        <f>+'9958'!D300</f>
        <v>0</v>
      </c>
    </row>
    <row r="296" spans="2:8" x14ac:dyDescent="0.25">
      <c r="B296" s="5" t="s">
        <v>298</v>
      </c>
      <c r="C296" s="7">
        <v>284</v>
      </c>
      <c r="D296" s="13" t="s">
        <v>335</v>
      </c>
      <c r="E296" s="27"/>
      <c r="F296" s="28">
        <f t="shared" si="14"/>
        <v>0</v>
      </c>
      <c r="G296" s="29">
        <f t="shared" si="15"/>
        <v>0</v>
      </c>
      <c r="H296" s="10">
        <f>+'9958'!D301</f>
        <v>0</v>
      </c>
    </row>
    <row r="297" spans="2:8" x14ac:dyDescent="0.25">
      <c r="B297" s="5" t="s">
        <v>299</v>
      </c>
      <c r="C297" s="7">
        <v>285</v>
      </c>
      <c r="D297" s="13" t="s">
        <v>335</v>
      </c>
      <c r="E297" s="27"/>
      <c r="F297" s="28">
        <f t="shared" si="14"/>
        <v>0</v>
      </c>
      <c r="G297" s="29">
        <f t="shared" si="15"/>
        <v>0</v>
      </c>
      <c r="H297" s="10">
        <f>+'9958'!D302</f>
        <v>0</v>
      </c>
    </row>
    <row r="298" spans="2:8" x14ac:dyDescent="0.25">
      <c r="B298" s="5" t="s">
        <v>300</v>
      </c>
      <c r="C298" s="7">
        <v>286</v>
      </c>
      <c r="D298" s="13" t="s">
        <v>335</v>
      </c>
      <c r="E298" s="27"/>
      <c r="F298" s="28">
        <f t="shared" si="14"/>
        <v>0</v>
      </c>
      <c r="G298" s="29">
        <f t="shared" ref="G298:G329" si="16">SUM(H298:H298)</f>
        <v>0</v>
      </c>
      <c r="H298" s="10">
        <f>+'9958'!D303</f>
        <v>0</v>
      </c>
    </row>
    <row r="299" spans="2:8" x14ac:dyDescent="0.25">
      <c r="B299" s="5" t="s">
        <v>301</v>
      </c>
      <c r="C299" s="7">
        <v>287</v>
      </c>
      <c r="D299" s="13" t="s">
        <v>335</v>
      </c>
      <c r="E299" s="27">
        <v>5561</v>
      </c>
      <c r="F299" s="28">
        <f t="shared" si="14"/>
        <v>0</v>
      </c>
      <c r="G299" s="29">
        <f t="shared" si="16"/>
        <v>0</v>
      </c>
      <c r="H299" s="10">
        <f>+'9958'!D304</f>
        <v>0</v>
      </c>
    </row>
    <row r="300" spans="2:8" x14ac:dyDescent="0.25">
      <c r="B300" s="5" t="s">
        <v>302</v>
      </c>
      <c r="C300" s="7">
        <v>288</v>
      </c>
      <c r="D300" s="13" t="s">
        <v>335</v>
      </c>
      <c r="E300" s="27"/>
      <c r="F300" s="28">
        <f t="shared" si="14"/>
        <v>0</v>
      </c>
      <c r="G300" s="29">
        <f t="shared" si="16"/>
        <v>0</v>
      </c>
      <c r="H300" s="10">
        <f>+'9958'!D305</f>
        <v>0</v>
      </c>
    </row>
    <row r="301" spans="2:8" x14ac:dyDescent="0.25">
      <c r="B301" s="5" t="s">
        <v>303</v>
      </c>
      <c r="C301" s="7">
        <v>289</v>
      </c>
      <c r="D301" s="13" t="s">
        <v>335</v>
      </c>
      <c r="E301" s="27"/>
      <c r="F301" s="28">
        <f t="shared" si="14"/>
        <v>0</v>
      </c>
      <c r="G301" s="29">
        <f t="shared" si="16"/>
        <v>0</v>
      </c>
      <c r="H301" s="10">
        <f>+'9958'!D306</f>
        <v>0</v>
      </c>
    </row>
    <row r="302" spans="2:8" x14ac:dyDescent="0.25">
      <c r="B302" s="5" t="s">
        <v>304</v>
      </c>
      <c r="C302" s="7">
        <v>290</v>
      </c>
      <c r="D302" s="13" t="s">
        <v>335</v>
      </c>
      <c r="E302" s="27">
        <v>27839</v>
      </c>
      <c r="F302" s="28">
        <f t="shared" si="14"/>
        <v>0</v>
      </c>
      <c r="G302" s="29">
        <f t="shared" si="16"/>
        <v>0</v>
      </c>
      <c r="H302" s="10">
        <f>+'9958'!D307</f>
        <v>0</v>
      </c>
    </row>
    <row r="303" spans="2:8" x14ac:dyDescent="0.25">
      <c r="B303" s="5" t="s">
        <v>305</v>
      </c>
      <c r="C303" s="7">
        <v>291</v>
      </c>
      <c r="D303" s="13" t="s">
        <v>335</v>
      </c>
      <c r="E303" s="27">
        <v>390</v>
      </c>
      <c r="F303" s="28">
        <f t="shared" si="14"/>
        <v>0</v>
      </c>
      <c r="G303" s="29">
        <f t="shared" si="16"/>
        <v>0</v>
      </c>
      <c r="H303" s="10">
        <f>+'9958'!D308</f>
        <v>0</v>
      </c>
    </row>
    <row r="304" spans="2:8" x14ac:dyDescent="0.25">
      <c r="B304" s="5" t="s">
        <v>306</v>
      </c>
      <c r="C304" s="7">
        <v>292</v>
      </c>
      <c r="D304" s="13" t="s">
        <v>335</v>
      </c>
      <c r="E304" s="27">
        <v>4098</v>
      </c>
      <c r="F304" s="28">
        <f t="shared" si="14"/>
        <v>0</v>
      </c>
      <c r="G304" s="29">
        <f t="shared" si="16"/>
        <v>0</v>
      </c>
      <c r="H304" s="10">
        <f>+'9958'!D309</f>
        <v>0</v>
      </c>
    </row>
    <row r="305" spans="2:8" x14ac:dyDescent="0.25">
      <c r="B305" s="5" t="s">
        <v>307</v>
      </c>
      <c r="C305" s="7">
        <v>293</v>
      </c>
      <c r="D305" s="13" t="s">
        <v>335</v>
      </c>
      <c r="E305" s="27"/>
      <c r="F305" s="28">
        <f t="shared" si="14"/>
        <v>0</v>
      </c>
      <c r="G305" s="29">
        <f t="shared" si="16"/>
        <v>0</v>
      </c>
      <c r="H305" s="10">
        <f>+'9958'!D310</f>
        <v>0</v>
      </c>
    </row>
    <row r="306" spans="2:8" x14ac:dyDescent="0.25">
      <c r="B306" s="5" t="s">
        <v>308</v>
      </c>
      <c r="C306" s="7">
        <v>294</v>
      </c>
      <c r="D306" s="13" t="s">
        <v>335</v>
      </c>
      <c r="E306" s="27">
        <v>512</v>
      </c>
      <c r="F306" s="28">
        <f t="shared" si="14"/>
        <v>0</v>
      </c>
      <c r="G306" s="29">
        <f t="shared" si="16"/>
        <v>0</v>
      </c>
      <c r="H306" s="10">
        <f>+'9958'!D311</f>
        <v>0</v>
      </c>
    </row>
    <row r="307" spans="2:8" x14ac:dyDescent="0.25">
      <c r="B307" s="5" t="s">
        <v>309</v>
      </c>
      <c r="C307" s="7">
        <v>295</v>
      </c>
      <c r="D307" s="13" t="s">
        <v>335</v>
      </c>
      <c r="E307" s="27">
        <v>4133</v>
      </c>
      <c r="F307" s="28">
        <f t="shared" si="14"/>
        <v>0</v>
      </c>
      <c r="G307" s="29">
        <f t="shared" si="16"/>
        <v>0</v>
      </c>
      <c r="H307" s="10">
        <f>+'9958'!D312</f>
        <v>0</v>
      </c>
    </row>
    <row r="308" spans="2:8" x14ac:dyDescent="0.25">
      <c r="B308" s="5" t="s">
        <v>310</v>
      </c>
      <c r="C308" s="7">
        <v>296</v>
      </c>
      <c r="D308" s="13" t="s">
        <v>335</v>
      </c>
      <c r="E308" s="27">
        <v>3980</v>
      </c>
      <c r="F308" s="28">
        <f t="shared" si="14"/>
        <v>0</v>
      </c>
      <c r="G308" s="29">
        <f t="shared" si="16"/>
        <v>0</v>
      </c>
      <c r="H308" s="10">
        <f>+'9958'!D313</f>
        <v>0</v>
      </c>
    </row>
    <row r="309" spans="2:8" x14ac:dyDescent="0.25">
      <c r="B309" s="5" t="s">
        <v>311</v>
      </c>
      <c r="C309" s="7">
        <v>297</v>
      </c>
      <c r="D309" s="13" t="s">
        <v>335</v>
      </c>
      <c r="E309" s="27"/>
      <c r="F309" s="28">
        <f t="shared" si="14"/>
        <v>0</v>
      </c>
      <c r="G309" s="29">
        <f t="shared" si="16"/>
        <v>0</v>
      </c>
      <c r="H309" s="10">
        <f>+'9958'!D314</f>
        <v>0</v>
      </c>
    </row>
    <row r="310" spans="2:8" x14ac:dyDescent="0.25">
      <c r="B310" s="5" t="s">
        <v>312</v>
      </c>
      <c r="C310" s="7">
        <v>298</v>
      </c>
      <c r="D310" s="13" t="s">
        <v>335</v>
      </c>
      <c r="E310" s="27"/>
      <c r="F310" s="28">
        <f t="shared" si="14"/>
        <v>0</v>
      </c>
      <c r="G310" s="29">
        <f t="shared" si="16"/>
        <v>0</v>
      </c>
      <c r="H310" s="10">
        <f>+'9958'!D315</f>
        <v>0</v>
      </c>
    </row>
    <row r="311" spans="2:8" x14ac:dyDescent="0.25">
      <c r="B311" s="5" t="s">
        <v>313</v>
      </c>
      <c r="C311" s="7">
        <v>299</v>
      </c>
      <c r="D311" s="13" t="s">
        <v>335</v>
      </c>
      <c r="E311" s="27"/>
      <c r="F311" s="28">
        <f t="shared" si="14"/>
        <v>0</v>
      </c>
      <c r="G311" s="29">
        <f t="shared" si="16"/>
        <v>0</v>
      </c>
      <c r="H311" s="10">
        <f>+'9958'!D316</f>
        <v>0</v>
      </c>
    </row>
    <row r="312" spans="2:8" x14ac:dyDescent="0.25">
      <c r="B312" s="5" t="s">
        <v>314</v>
      </c>
      <c r="C312" s="7">
        <v>300</v>
      </c>
      <c r="D312" s="13" t="s">
        <v>335</v>
      </c>
      <c r="E312" s="27">
        <v>5103</v>
      </c>
      <c r="F312" s="28">
        <f t="shared" si="14"/>
        <v>0</v>
      </c>
      <c r="G312" s="29">
        <f t="shared" si="16"/>
        <v>0</v>
      </c>
      <c r="H312" s="10">
        <f>+'9958'!D317</f>
        <v>0</v>
      </c>
    </row>
    <row r="313" spans="2:8" x14ac:dyDescent="0.25">
      <c r="B313" s="5" t="s">
        <v>315</v>
      </c>
      <c r="C313" s="7">
        <v>301</v>
      </c>
      <c r="D313" s="13" t="s">
        <v>335</v>
      </c>
      <c r="E313" s="27">
        <v>588</v>
      </c>
      <c r="F313" s="28">
        <f t="shared" si="14"/>
        <v>0</v>
      </c>
      <c r="G313" s="29">
        <f t="shared" si="16"/>
        <v>0</v>
      </c>
      <c r="H313" s="10">
        <f>+'9958'!D318</f>
        <v>0</v>
      </c>
    </row>
    <row r="314" spans="2:8" x14ac:dyDescent="0.25">
      <c r="B314" s="5" t="s">
        <v>316</v>
      </c>
      <c r="C314" s="7">
        <v>318</v>
      </c>
      <c r="D314" s="13" t="s">
        <v>335</v>
      </c>
      <c r="E314" s="27">
        <v>2754</v>
      </c>
      <c r="F314" s="28">
        <f t="shared" si="14"/>
        <v>0</v>
      </c>
      <c r="G314" s="29">
        <f t="shared" si="16"/>
        <v>0</v>
      </c>
      <c r="H314" s="10">
        <f>+'9958'!D319</f>
        <v>0</v>
      </c>
    </row>
    <row r="315" spans="2:8" x14ac:dyDescent="0.25">
      <c r="B315" s="5" t="s">
        <v>317</v>
      </c>
      <c r="C315" s="7">
        <v>319</v>
      </c>
      <c r="D315" s="13" t="s">
        <v>335</v>
      </c>
      <c r="E315" s="27">
        <v>1056</v>
      </c>
      <c r="F315" s="28">
        <f t="shared" si="14"/>
        <v>0</v>
      </c>
      <c r="G315" s="29">
        <f t="shared" si="16"/>
        <v>0</v>
      </c>
      <c r="H315" s="10">
        <f>+'9958'!D320</f>
        <v>0</v>
      </c>
    </row>
    <row r="316" spans="2:8" x14ac:dyDescent="0.25">
      <c r="B316" s="5" t="s">
        <v>318</v>
      </c>
      <c r="C316" s="7">
        <v>320</v>
      </c>
      <c r="D316" s="13" t="s">
        <v>335</v>
      </c>
      <c r="E316" s="27">
        <v>26667</v>
      </c>
      <c r="F316" s="28">
        <f t="shared" si="14"/>
        <v>0</v>
      </c>
      <c r="G316" s="29">
        <f t="shared" si="16"/>
        <v>0</v>
      </c>
      <c r="H316" s="10">
        <f>+'9958'!D321</f>
        <v>0</v>
      </c>
    </row>
    <row r="317" spans="2:8" x14ac:dyDescent="0.25">
      <c r="B317" s="5" t="s">
        <v>319</v>
      </c>
      <c r="C317" s="7">
        <v>321</v>
      </c>
      <c r="D317" s="13" t="s">
        <v>335</v>
      </c>
      <c r="E317" s="27"/>
      <c r="F317" s="28">
        <f t="shared" si="14"/>
        <v>0</v>
      </c>
      <c r="G317" s="29">
        <f t="shared" si="16"/>
        <v>0</v>
      </c>
      <c r="H317" s="10">
        <f>+'9958'!D322</f>
        <v>0</v>
      </c>
    </row>
    <row r="318" spans="2:8" x14ac:dyDescent="0.25">
      <c r="B318" s="5" t="s">
        <v>320</v>
      </c>
      <c r="C318" s="7">
        <v>322</v>
      </c>
      <c r="D318" s="13" t="s">
        <v>335</v>
      </c>
      <c r="E318" s="27">
        <v>81764</v>
      </c>
      <c r="F318" s="28">
        <f t="shared" si="14"/>
        <v>0</v>
      </c>
      <c r="G318" s="29">
        <f t="shared" si="16"/>
        <v>0</v>
      </c>
      <c r="H318" s="10">
        <f>+'9958'!D323</f>
        <v>0</v>
      </c>
    </row>
    <row r="319" spans="2:8" x14ac:dyDescent="0.25">
      <c r="B319" s="5" t="s">
        <v>321</v>
      </c>
      <c r="C319" s="7">
        <v>323</v>
      </c>
      <c r="D319" s="13" t="s">
        <v>336</v>
      </c>
      <c r="E319" s="27">
        <v>3258</v>
      </c>
      <c r="F319" s="28">
        <f t="shared" si="14"/>
        <v>0</v>
      </c>
      <c r="G319" s="30">
        <f t="shared" si="16"/>
        <v>0</v>
      </c>
      <c r="H319" s="10">
        <f>+'9958'!D324</f>
        <v>0</v>
      </c>
    </row>
    <row r="320" spans="2:8" x14ac:dyDescent="0.25">
      <c r="B320" s="5" t="s">
        <v>322</v>
      </c>
      <c r="C320" s="7">
        <v>324</v>
      </c>
      <c r="D320" s="13" t="s">
        <v>336</v>
      </c>
      <c r="E320" s="27"/>
      <c r="F320" s="28">
        <f t="shared" si="14"/>
        <v>0</v>
      </c>
      <c r="G320" s="29">
        <f t="shared" si="16"/>
        <v>0</v>
      </c>
      <c r="H320" s="10">
        <f>+'9958'!D325</f>
        <v>0</v>
      </c>
    </row>
    <row r="321" spans="2:8" x14ac:dyDescent="0.25">
      <c r="B321" s="5" t="s">
        <v>323</v>
      </c>
      <c r="C321" s="7">
        <v>325</v>
      </c>
      <c r="D321" s="13" t="s">
        <v>336</v>
      </c>
      <c r="E321" s="27"/>
      <c r="F321" s="28">
        <f t="shared" si="14"/>
        <v>0</v>
      </c>
      <c r="G321" s="29">
        <f t="shared" si="16"/>
        <v>0</v>
      </c>
      <c r="H321" s="10">
        <f>+'9958'!D326</f>
        <v>0</v>
      </c>
    </row>
    <row r="322" spans="2:8" x14ac:dyDescent="0.25">
      <c r="B322" s="5" t="s">
        <v>252</v>
      </c>
      <c r="C322" s="7">
        <v>326</v>
      </c>
      <c r="D322" s="13" t="s">
        <v>335</v>
      </c>
      <c r="E322" s="27"/>
      <c r="F322" s="28">
        <f t="shared" si="14"/>
        <v>0</v>
      </c>
      <c r="G322" s="29">
        <f t="shared" si="16"/>
        <v>0</v>
      </c>
      <c r="H322" s="10">
        <f>+'9958'!D327</f>
        <v>0</v>
      </c>
    </row>
    <row r="323" spans="2:8" x14ac:dyDescent="0.25">
      <c r="B323" s="5" t="s">
        <v>324</v>
      </c>
      <c r="C323" s="7">
        <v>327</v>
      </c>
      <c r="D323" s="13" t="s">
        <v>335</v>
      </c>
      <c r="E323" s="27"/>
      <c r="F323" s="28">
        <f t="shared" si="14"/>
        <v>0</v>
      </c>
      <c r="G323" s="29">
        <f t="shared" si="16"/>
        <v>0</v>
      </c>
      <c r="H323" s="10">
        <f>+'9958'!D328</f>
        <v>0</v>
      </c>
    </row>
    <row r="324" spans="2:8" x14ac:dyDescent="0.25">
      <c r="B324" s="5" t="s">
        <v>325</v>
      </c>
      <c r="C324" s="7">
        <v>328</v>
      </c>
      <c r="D324" s="13" t="s">
        <v>335</v>
      </c>
      <c r="E324" s="27"/>
      <c r="F324" s="28">
        <f t="shared" si="14"/>
        <v>0</v>
      </c>
      <c r="G324" s="29">
        <f t="shared" si="16"/>
        <v>0</v>
      </c>
      <c r="H324" s="10">
        <f>+'9958'!D329</f>
        <v>0</v>
      </c>
    </row>
    <row r="325" spans="2:8" x14ac:dyDescent="0.25">
      <c r="B325" s="5" t="s">
        <v>326</v>
      </c>
      <c r="C325" s="7">
        <v>313</v>
      </c>
      <c r="D325" s="13" t="s">
        <v>335</v>
      </c>
      <c r="E325" s="27"/>
      <c r="F325" s="28">
        <f t="shared" si="14"/>
        <v>0</v>
      </c>
      <c r="G325" s="29">
        <f t="shared" si="16"/>
        <v>0</v>
      </c>
      <c r="H325" s="10">
        <f>+'9958'!D330</f>
        <v>0</v>
      </c>
    </row>
    <row r="326" spans="2:8" x14ac:dyDescent="0.25">
      <c r="B326" s="5" t="s">
        <v>327</v>
      </c>
      <c r="C326" s="7">
        <v>314</v>
      </c>
      <c r="D326" s="13" t="s">
        <v>336</v>
      </c>
      <c r="E326" s="27"/>
      <c r="F326" s="28">
        <f t="shared" si="14"/>
        <v>0</v>
      </c>
      <c r="G326" s="29">
        <f t="shared" si="16"/>
        <v>0</v>
      </c>
      <c r="H326" s="10">
        <f>+'9958'!D331</f>
        <v>0</v>
      </c>
    </row>
    <row r="327" spans="2:8" x14ac:dyDescent="0.25">
      <c r="B327" s="5" t="s">
        <v>328</v>
      </c>
      <c r="C327" s="7">
        <v>315</v>
      </c>
      <c r="D327" s="13" t="s">
        <v>335</v>
      </c>
      <c r="E327" s="27">
        <v>112499</v>
      </c>
      <c r="F327" s="28">
        <f t="shared" si="14"/>
        <v>0</v>
      </c>
      <c r="G327" s="29">
        <f t="shared" si="16"/>
        <v>0</v>
      </c>
      <c r="H327" s="10">
        <f>+'9958'!D332</f>
        <v>0</v>
      </c>
    </row>
    <row r="328" spans="2:8" x14ac:dyDescent="0.25">
      <c r="B328" s="5" t="s">
        <v>329</v>
      </c>
      <c r="C328" s="7">
        <v>316</v>
      </c>
      <c r="D328" s="13" t="s">
        <v>335</v>
      </c>
      <c r="E328" s="27">
        <v>98937</v>
      </c>
      <c r="F328" s="28">
        <f t="shared" si="14"/>
        <v>0</v>
      </c>
      <c r="G328" s="29">
        <f t="shared" si="16"/>
        <v>0</v>
      </c>
      <c r="H328" s="10">
        <f>+'9958'!D333</f>
        <v>0</v>
      </c>
    </row>
    <row r="329" spans="2:8" x14ac:dyDescent="0.25">
      <c r="B329" s="5" t="s">
        <v>330</v>
      </c>
      <c r="C329" s="7">
        <v>317</v>
      </c>
      <c r="D329" s="13" t="s">
        <v>335</v>
      </c>
      <c r="E329" s="27"/>
      <c r="F329" s="28">
        <f t="shared" si="14"/>
        <v>0</v>
      </c>
      <c r="G329" s="29">
        <f t="shared" si="16"/>
        <v>0</v>
      </c>
      <c r="H329" s="10">
        <f>+'9958'!D334</f>
        <v>0</v>
      </c>
    </row>
    <row r="330" spans="2:8" ht="28.5" x14ac:dyDescent="0.25">
      <c r="B330" s="5" t="s">
        <v>331</v>
      </c>
      <c r="C330" s="8">
        <v>318</v>
      </c>
      <c r="D330" s="13" t="s">
        <v>337</v>
      </c>
      <c r="E330" s="27"/>
      <c r="F330" s="28">
        <f t="shared" ref="F330:F331" si="17">+G330*E330</f>
        <v>0</v>
      </c>
      <c r="G330" s="29">
        <f t="shared" ref="G330:G361" si="18">SUM(H330:H330)</f>
        <v>0</v>
      </c>
      <c r="H330" s="10">
        <f>+'9958'!D335</f>
        <v>0</v>
      </c>
    </row>
    <row r="331" spans="2:8" ht="57" x14ac:dyDescent="0.25">
      <c r="B331" s="5" t="s">
        <v>332</v>
      </c>
      <c r="C331" s="7">
        <v>319</v>
      </c>
      <c r="D331" s="13" t="s">
        <v>337</v>
      </c>
      <c r="E331" s="27"/>
      <c r="F331" s="28">
        <f t="shared" si="17"/>
        <v>0</v>
      </c>
      <c r="G331" s="29">
        <f t="shared" si="18"/>
        <v>0</v>
      </c>
      <c r="H331" s="10">
        <f>+'9958'!D336</f>
        <v>0</v>
      </c>
    </row>
    <row r="334" spans="2:8" x14ac:dyDescent="0.25">
      <c r="F334" s="26">
        <f>SUM(F202:F333)</f>
        <v>0</v>
      </c>
    </row>
  </sheetData>
  <mergeCells count="5"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F488-ABA7-4047-A753-0ACB502A97FA}">
  <dimension ref="B3:U339"/>
  <sheetViews>
    <sheetView tabSelected="1" topLeftCell="A299" workbookViewId="0">
      <selection activeCell="G342" sqref="G342"/>
    </sheetView>
  </sheetViews>
  <sheetFormatPr baseColWidth="10" defaultRowHeight="15" x14ac:dyDescent="0.25"/>
  <cols>
    <col min="2" max="2" width="56.7109375" style="6" customWidth="1"/>
    <col min="3" max="3" width="4.85546875" bestFit="1" customWidth="1"/>
    <col min="4" max="4" width="12.28515625" style="14" customWidth="1"/>
    <col min="5" max="5" width="9.42578125" style="14" bestFit="1" customWidth="1"/>
    <col min="6" max="12" width="9.7109375" style="14" bestFit="1" customWidth="1"/>
    <col min="13" max="13" width="9.42578125" style="14" bestFit="1" customWidth="1"/>
    <col min="14" max="16" width="9.7109375" style="14" bestFit="1" customWidth="1"/>
    <col min="17" max="21" width="9.7109375" bestFit="1" customWidth="1"/>
  </cols>
  <sheetData>
    <row r="3" spans="2:21" x14ac:dyDescent="0.25">
      <c r="B3" s="2" t="s">
        <v>0</v>
      </c>
      <c r="C3" s="35" t="s">
        <v>333</v>
      </c>
      <c r="D3" s="35" t="s">
        <v>341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2:21" x14ac:dyDescent="0.25">
      <c r="B4" s="3" t="s">
        <v>1</v>
      </c>
      <c r="C4" s="35"/>
      <c r="D4" s="35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2:21" x14ac:dyDescent="0.25">
      <c r="B5" s="3" t="s">
        <v>2</v>
      </c>
      <c r="C5" s="11" t="s">
        <v>334</v>
      </c>
      <c r="D5" s="11" t="s">
        <v>334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</row>
    <row r="6" spans="2:21" x14ac:dyDescent="0.25">
      <c r="B6" s="3" t="s">
        <v>3</v>
      </c>
      <c r="C6" s="11" t="s">
        <v>334</v>
      </c>
      <c r="D6" s="11" t="s">
        <v>334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2:21" x14ac:dyDescent="0.25">
      <c r="B7" s="3" t="s">
        <v>4</v>
      </c>
      <c r="C7" s="11" t="s">
        <v>334</v>
      </c>
      <c r="D7" s="11" t="s">
        <v>334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21" x14ac:dyDescent="0.25">
      <c r="B8" s="3" t="s">
        <v>5</v>
      </c>
      <c r="C8" s="11" t="s">
        <v>334</v>
      </c>
      <c r="D8" s="11" t="s">
        <v>334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spans="2:21" x14ac:dyDescent="0.25">
      <c r="B9" s="3" t="s">
        <v>6</v>
      </c>
      <c r="C9" s="11" t="s">
        <v>334</v>
      </c>
      <c r="D9" s="11" t="s">
        <v>334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spans="2:21" x14ac:dyDescent="0.25">
      <c r="B10" s="34" t="s">
        <v>346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2:21" x14ac:dyDescent="0.25">
      <c r="B11" s="5" t="s">
        <v>8</v>
      </c>
      <c r="C11" s="7">
        <v>518</v>
      </c>
      <c r="D11" s="10">
        <f>SUM(E11:U11)</f>
        <v>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2:21" x14ac:dyDescent="0.25">
      <c r="B12" s="5" t="s">
        <v>9</v>
      </c>
      <c r="C12" s="7">
        <v>519</v>
      </c>
      <c r="D12" s="10">
        <f t="shared" ref="D12:D75" si="0">SUM(E12:U12)</f>
        <v>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2:21" x14ac:dyDescent="0.25">
      <c r="B13" s="5" t="s">
        <v>10</v>
      </c>
      <c r="C13" s="7">
        <v>520</v>
      </c>
      <c r="D13" s="10">
        <f t="shared" si="0"/>
        <v>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2:21" x14ac:dyDescent="0.25">
      <c r="B14" s="5" t="s">
        <v>11</v>
      </c>
      <c r="C14" s="7">
        <v>521</v>
      </c>
      <c r="D14" s="10">
        <f t="shared" si="0"/>
        <v>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2:21" x14ac:dyDescent="0.25">
      <c r="B15" s="5" t="s">
        <v>12</v>
      </c>
      <c r="C15" s="7">
        <v>522</v>
      </c>
      <c r="D15" s="10">
        <f t="shared" si="0"/>
        <v>0</v>
      </c>
      <c r="E15" s="21"/>
      <c r="F15" s="21"/>
      <c r="G15" s="21"/>
      <c r="H15" s="21"/>
      <c r="I15" s="21"/>
      <c r="J15" s="21"/>
      <c r="K15" s="22"/>
      <c r="L15" s="22"/>
      <c r="M15" s="21"/>
      <c r="N15" s="21"/>
      <c r="O15" s="21"/>
      <c r="P15" s="22"/>
      <c r="Q15" s="22"/>
      <c r="R15" s="22"/>
      <c r="S15" s="21"/>
      <c r="T15" s="22"/>
      <c r="U15" s="22"/>
    </row>
    <row r="16" spans="2:21" x14ac:dyDescent="0.25">
      <c r="B16" s="5" t="s">
        <v>13</v>
      </c>
      <c r="C16" s="7">
        <v>523</v>
      </c>
      <c r="D16" s="10">
        <f t="shared" si="0"/>
        <v>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2:21" x14ac:dyDescent="0.25">
      <c r="B17" s="5" t="s">
        <v>14</v>
      </c>
      <c r="C17" s="7">
        <v>524</v>
      </c>
      <c r="D17" s="10">
        <f t="shared" si="0"/>
        <v>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2:21" x14ac:dyDescent="0.25">
      <c r="B18" s="5" t="s">
        <v>15</v>
      </c>
      <c r="C18" s="7">
        <v>525</v>
      </c>
      <c r="D18" s="10">
        <f t="shared" si="0"/>
        <v>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2:21" x14ac:dyDescent="0.25">
      <c r="B19" s="5" t="s">
        <v>16</v>
      </c>
      <c r="C19" s="7">
        <v>526</v>
      </c>
      <c r="D19" s="10">
        <f t="shared" si="0"/>
        <v>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2:21" x14ac:dyDescent="0.25">
      <c r="B20" s="5" t="s">
        <v>17</v>
      </c>
      <c r="C20" s="7">
        <v>527</v>
      </c>
      <c r="D20" s="10">
        <f t="shared" si="0"/>
        <v>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2:21" x14ac:dyDescent="0.25">
      <c r="B21" s="5" t="s">
        <v>18</v>
      </c>
      <c r="C21" s="7">
        <v>528</v>
      </c>
      <c r="D21" s="10">
        <f t="shared" si="0"/>
        <v>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2:21" x14ac:dyDescent="0.25">
      <c r="B22" s="5" t="s">
        <v>19</v>
      </c>
      <c r="C22" s="7">
        <v>529</v>
      </c>
      <c r="D22" s="10">
        <f t="shared" si="0"/>
        <v>0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2:21" x14ac:dyDescent="0.25">
      <c r="B23" s="5" t="s">
        <v>20</v>
      </c>
      <c r="C23" s="7">
        <v>530</v>
      </c>
      <c r="D23" s="10">
        <f t="shared" si="0"/>
        <v>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2:21" x14ac:dyDescent="0.25">
      <c r="B24" s="5" t="s">
        <v>21</v>
      </c>
      <c r="C24" s="7">
        <v>531</v>
      </c>
      <c r="D24" s="10">
        <f t="shared" si="0"/>
        <v>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2:21" x14ac:dyDescent="0.25">
      <c r="B25" s="5" t="s">
        <v>22</v>
      </c>
      <c r="C25" s="7">
        <v>532</v>
      </c>
      <c r="D25" s="10">
        <f t="shared" si="0"/>
        <v>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2:21" x14ac:dyDescent="0.25">
      <c r="B26" s="5" t="s">
        <v>23</v>
      </c>
      <c r="C26" s="7">
        <v>533</v>
      </c>
      <c r="D26" s="10">
        <f t="shared" si="0"/>
        <v>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2:21" x14ac:dyDescent="0.25">
      <c r="B27" s="5" t="s">
        <v>24</v>
      </c>
      <c r="C27" s="7">
        <v>534</v>
      </c>
      <c r="D27" s="10">
        <f t="shared" si="0"/>
        <v>0</v>
      </c>
      <c r="E27" s="21"/>
      <c r="F27" s="21"/>
      <c r="G27" s="21"/>
      <c r="H27" s="21"/>
      <c r="I27" s="21"/>
      <c r="J27" s="21"/>
      <c r="K27" s="22"/>
      <c r="L27" s="22"/>
      <c r="M27" s="21"/>
      <c r="N27" s="21"/>
      <c r="O27" s="21"/>
      <c r="P27" s="22"/>
      <c r="Q27" s="22"/>
      <c r="R27" s="22"/>
      <c r="S27" s="21"/>
      <c r="T27" s="22"/>
      <c r="U27" s="22"/>
    </row>
    <row r="28" spans="2:21" x14ac:dyDescent="0.25">
      <c r="B28" s="5" t="s">
        <v>25</v>
      </c>
      <c r="C28" s="7">
        <v>535</v>
      </c>
      <c r="D28" s="10">
        <f t="shared" si="0"/>
        <v>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2:21" x14ac:dyDescent="0.25">
      <c r="B29" s="5" t="s">
        <v>26</v>
      </c>
      <c r="C29" s="7">
        <v>536</v>
      </c>
      <c r="D29" s="10">
        <f t="shared" si="0"/>
        <v>0</v>
      </c>
      <c r="E29" s="19"/>
      <c r="F29" s="19"/>
      <c r="G29" s="19"/>
      <c r="H29" s="19"/>
      <c r="I29" s="19"/>
      <c r="J29" s="19"/>
      <c r="K29" s="18"/>
      <c r="L29" s="18"/>
      <c r="M29" s="19"/>
      <c r="N29" s="19"/>
      <c r="O29" s="19"/>
      <c r="P29" s="18"/>
      <c r="Q29" s="18"/>
      <c r="R29" s="18"/>
      <c r="S29" s="19"/>
      <c r="T29" s="18"/>
      <c r="U29" s="18"/>
    </row>
    <row r="30" spans="2:21" x14ac:dyDescent="0.25">
      <c r="B30" s="5" t="s">
        <v>27</v>
      </c>
      <c r="C30" s="7">
        <v>537</v>
      </c>
      <c r="D30" s="10">
        <f t="shared" si="0"/>
        <v>0</v>
      </c>
      <c r="E30" s="19"/>
      <c r="F30" s="19"/>
      <c r="G30" s="19"/>
      <c r="H30" s="19"/>
      <c r="I30" s="19"/>
      <c r="J30" s="19"/>
      <c r="K30" s="18"/>
      <c r="L30" s="18"/>
      <c r="M30" s="19"/>
      <c r="N30" s="19"/>
      <c r="O30" s="19"/>
      <c r="P30" s="18"/>
      <c r="Q30" s="18"/>
      <c r="R30" s="18"/>
      <c r="S30" s="19"/>
      <c r="T30" s="18"/>
      <c r="U30" s="18"/>
    </row>
    <row r="31" spans="2:21" x14ac:dyDescent="0.25">
      <c r="B31" s="5" t="s">
        <v>28</v>
      </c>
      <c r="C31" s="7">
        <v>538</v>
      </c>
      <c r="D31" s="10">
        <f t="shared" si="0"/>
        <v>0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2:21" x14ac:dyDescent="0.25">
      <c r="B32" s="5" t="s">
        <v>29</v>
      </c>
      <c r="C32" s="7">
        <v>539</v>
      </c>
      <c r="D32" s="10">
        <f t="shared" si="0"/>
        <v>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2:21" x14ac:dyDescent="0.25">
      <c r="B33" s="5" t="s">
        <v>30</v>
      </c>
      <c r="C33" s="7">
        <v>540</v>
      </c>
      <c r="D33" s="10">
        <f t="shared" si="0"/>
        <v>0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2:21" x14ac:dyDescent="0.25">
      <c r="B34" s="5" t="s">
        <v>31</v>
      </c>
      <c r="C34" s="7">
        <v>541</v>
      </c>
      <c r="D34" s="10">
        <f t="shared" si="0"/>
        <v>0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2:21" x14ac:dyDescent="0.25">
      <c r="B35" s="5" t="s">
        <v>32</v>
      </c>
      <c r="C35" s="7">
        <v>542</v>
      </c>
      <c r="D35" s="10">
        <f t="shared" si="0"/>
        <v>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2:21" x14ac:dyDescent="0.25">
      <c r="B36" s="5" t="s">
        <v>33</v>
      </c>
      <c r="C36" s="7">
        <v>543</v>
      </c>
      <c r="D36" s="10">
        <f t="shared" si="0"/>
        <v>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2:21" x14ac:dyDescent="0.25">
      <c r="B37" s="5" t="s">
        <v>34</v>
      </c>
      <c r="C37" s="7">
        <v>544</v>
      </c>
      <c r="D37" s="10">
        <f t="shared" si="0"/>
        <v>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2:21" x14ac:dyDescent="0.25">
      <c r="B38" s="5" t="s">
        <v>35</v>
      </c>
      <c r="C38" s="7">
        <v>545</v>
      </c>
      <c r="D38" s="10">
        <f t="shared" si="0"/>
        <v>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2:21" x14ac:dyDescent="0.25">
      <c r="B39" s="5" t="s">
        <v>36</v>
      </c>
      <c r="C39" s="7">
        <v>546</v>
      </c>
      <c r="D39" s="10">
        <f t="shared" si="0"/>
        <v>0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2:21" x14ac:dyDescent="0.25">
      <c r="B40" s="5" t="s">
        <v>37</v>
      </c>
      <c r="C40" s="7">
        <v>547</v>
      </c>
      <c r="D40" s="10">
        <f t="shared" si="0"/>
        <v>0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2:21" x14ac:dyDescent="0.25">
      <c r="B41" s="5" t="s">
        <v>38</v>
      </c>
      <c r="C41" s="7">
        <v>548</v>
      </c>
      <c r="D41" s="10">
        <f t="shared" si="0"/>
        <v>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2:21" x14ac:dyDescent="0.25">
      <c r="B42" s="5" t="s">
        <v>39</v>
      </c>
      <c r="C42" s="7">
        <v>549</v>
      </c>
      <c r="D42" s="10">
        <f t="shared" si="0"/>
        <v>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2:21" x14ac:dyDescent="0.25">
      <c r="B43" s="5" t="s">
        <v>40</v>
      </c>
      <c r="C43" s="7">
        <v>550</v>
      </c>
      <c r="D43" s="10">
        <f t="shared" si="0"/>
        <v>0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2:21" x14ac:dyDescent="0.25">
      <c r="B44" s="5" t="s">
        <v>41</v>
      </c>
      <c r="C44" s="7">
        <v>551</v>
      </c>
      <c r="D44" s="10">
        <f t="shared" si="0"/>
        <v>0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2:21" x14ac:dyDescent="0.25">
      <c r="B45" s="5" t="s">
        <v>42</v>
      </c>
      <c r="C45" s="7">
        <v>552</v>
      </c>
      <c r="D45" s="10">
        <f t="shared" si="0"/>
        <v>0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2:21" x14ac:dyDescent="0.25">
      <c r="B46" s="5" t="s">
        <v>43</v>
      </c>
      <c r="C46" s="7">
        <v>553</v>
      </c>
      <c r="D46" s="10">
        <f t="shared" si="0"/>
        <v>0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2:21" x14ac:dyDescent="0.25">
      <c r="B47" s="5" t="s">
        <v>44</v>
      </c>
      <c r="C47" s="7">
        <v>554</v>
      </c>
      <c r="D47" s="10">
        <f t="shared" si="0"/>
        <v>0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2:21" x14ac:dyDescent="0.25">
      <c r="B48" s="5" t="s">
        <v>45</v>
      </c>
      <c r="C48" s="7">
        <v>555</v>
      </c>
      <c r="D48" s="10">
        <f t="shared" si="0"/>
        <v>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2:21" x14ac:dyDescent="0.25">
      <c r="B49" s="5" t="s">
        <v>46</v>
      </c>
      <c r="C49" s="7">
        <v>556</v>
      </c>
      <c r="D49" s="10">
        <f t="shared" si="0"/>
        <v>0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2:21" x14ac:dyDescent="0.25">
      <c r="B50" s="5" t="s">
        <v>47</v>
      </c>
      <c r="C50" s="7">
        <v>557</v>
      </c>
      <c r="D50" s="10">
        <f t="shared" si="0"/>
        <v>0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2:21" x14ac:dyDescent="0.25">
      <c r="B51" s="5" t="s">
        <v>48</v>
      </c>
      <c r="C51" s="7">
        <v>558</v>
      </c>
      <c r="D51" s="10">
        <f t="shared" si="0"/>
        <v>0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2:21" x14ac:dyDescent="0.25">
      <c r="B52" s="5" t="s">
        <v>49</v>
      </c>
      <c r="C52" s="7">
        <v>559</v>
      </c>
      <c r="D52" s="10">
        <f t="shared" si="0"/>
        <v>0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2:21" x14ac:dyDescent="0.25">
      <c r="B53" s="5" t="s">
        <v>50</v>
      </c>
      <c r="C53" s="7">
        <v>560</v>
      </c>
      <c r="D53" s="10">
        <f t="shared" si="0"/>
        <v>0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2:21" x14ac:dyDescent="0.25">
      <c r="B54" s="5" t="s">
        <v>51</v>
      </c>
      <c r="C54" s="7">
        <v>561</v>
      </c>
      <c r="D54" s="10">
        <f t="shared" si="0"/>
        <v>0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2:21" x14ac:dyDescent="0.25">
      <c r="B55" s="5" t="s">
        <v>52</v>
      </c>
      <c r="C55" s="7">
        <v>562</v>
      </c>
      <c r="D55" s="10">
        <f t="shared" si="0"/>
        <v>0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2:21" x14ac:dyDescent="0.25">
      <c r="B56" s="5" t="s">
        <v>53</v>
      </c>
      <c r="C56" s="7">
        <v>563</v>
      </c>
      <c r="D56" s="10">
        <f t="shared" si="0"/>
        <v>0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2:21" x14ac:dyDescent="0.25">
      <c r="B57" s="5" t="s">
        <v>54</v>
      </c>
      <c r="C57" s="7">
        <v>564</v>
      </c>
      <c r="D57" s="10">
        <f t="shared" si="0"/>
        <v>0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2:21" x14ac:dyDescent="0.25">
      <c r="B58" s="5" t="s">
        <v>55</v>
      </c>
      <c r="C58" s="7">
        <v>565</v>
      </c>
      <c r="D58" s="10">
        <f t="shared" si="0"/>
        <v>0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2:21" x14ac:dyDescent="0.25">
      <c r="B59" s="5" t="s">
        <v>56</v>
      </c>
      <c r="C59" s="7">
        <v>566</v>
      </c>
      <c r="D59" s="10">
        <f t="shared" si="0"/>
        <v>0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2:21" x14ac:dyDescent="0.25">
      <c r="B60" s="5" t="s">
        <v>57</v>
      </c>
      <c r="C60" s="7">
        <v>567</v>
      </c>
      <c r="D60" s="10">
        <f t="shared" si="0"/>
        <v>0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2:21" x14ac:dyDescent="0.25">
      <c r="B61" s="5" t="s">
        <v>58</v>
      </c>
      <c r="C61" s="7">
        <v>568</v>
      </c>
      <c r="D61" s="10">
        <f t="shared" si="0"/>
        <v>0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2:21" x14ac:dyDescent="0.25">
      <c r="B62" s="5" t="s">
        <v>59</v>
      </c>
      <c r="C62" s="7">
        <v>569</v>
      </c>
      <c r="D62" s="10">
        <f t="shared" si="0"/>
        <v>0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2:21" x14ac:dyDescent="0.25">
      <c r="B63" s="5" t="s">
        <v>60</v>
      </c>
      <c r="C63" s="7">
        <v>570</v>
      </c>
      <c r="D63" s="10">
        <f t="shared" si="0"/>
        <v>0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2:21" x14ac:dyDescent="0.25">
      <c r="B64" s="5" t="s">
        <v>61</v>
      </c>
      <c r="C64" s="7">
        <v>571</v>
      </c>
      <c r="D64" s="10">
        <f t="shared" si="0"/>
        <v>0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2:21" x14ac:dyDescent="0.25">
      <c r="B65" s="5" t="s">
        <v>62</v>
      </c>
      <c r="C65" s="7">
        <v>572</v>
      </c>
      <c r="D65" s="10">
        <f t="shared" si="0"/>
        <v>0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2:21" x14ac:dyDescent="0.25">
      <c r="B66" s="5" t="s">
        <v>63</v>
      </c>
      <c r="C66" s="7">
        <v>573</v>
      </c>
      <c r="D66" s="10">
        <f t="shared" si="0"/>
        <v>0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2:21" x14ac:dyDescent="0.25">
      <c r="B67" s="5" t="s">
        <v>64</v>
      </c>
      <c r="C67" s="7">
        <v>574</v>
      </c>
      <c r="D67" s="10">
        <f t="shared" si="0"/>
        <v>0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2:21" x14ac:dyDescent="0.25">
      <c r="B68" s="5" t="s">
        <v>65</v>
      </c>
      <c r="C68" s="7">
        <v>575</v>
      </c>
      <c r="D68" s="10">
        <f t="shared" si="0"/>
        <v>0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2:21" x14ac:dyDescent="0.25">
      <c r="B69" s="5" t="s">
        <v>66</v>
      </c>
      <c r="C69" s="7">
        <v>576</v>
      </c>
      <c r="D69" s="10">
        <f t="shared" si="0"/>
        <v>0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2:21" x14ac:dyDescent="0.25">
      <c r="B70" s="5" t="s">
        <v>67</v>
      </c>
      <c r="C70" s="7">
        <v>577</v>
      </c>
      <c r="D70" s="10">
        <f t="shared" si="0"/>
        <v>0</v>
      </c>
      <c r="E70" s="19"/>
      <c r="F70" s="19"/>
      <c r="G70" s="19"/>
      <c r="H70" s="19"/>
      <c r="I70" s="19"/>
      <c r="J70" s="19"/>
      <c r="K70" s="18"/>
      <c r="L70" s="18"/>
      <c r="M70" s="19"/>
      <c r="N70" s="19"/>
      <c r="O70" s="19"/>
      <c r="P70" s="18"/>
      <c r="Q70" s="18"/>
      <c r="R70" s="18"/>
      <c r="S70" s="19"/>
      <c r="T70" s="18"/>
      <c r="U70" s="18"/>
    </row>
    <row r="71" spans="2:21" x14ac:dyDescent="0.25">
      <c r="B71" s="5" t="s">
        <v>68</v>
      </c>
      <c r="C71" s="7">
        <v>578</v>
      </c>
      <c r="D71" s="10">
        <f t="shared" si="0"/>
        <v>0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2:21" x14ac:dyDescent="0.25">
      <c r="B72" s="5" t="s">
        <v>69</v>
      </c>
      <c r="C72" s="7">
        <v>579</v>
      </c>
      <c r="D72" s="10">
        <f t="shared" si="0"/>
        <v>0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2:21" x14ac:dyDescent="0.25">
      <c r="B73" s="5" t="s">
        <v>70</v>
      </c>
      <c r="C73" s="7">
        <v>580</v>
      </c>
      <c r="D73" s="10">
        <f t="shared" si="0"/>
        <v>0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2:21" x14ac:dyDescent="0.25">
      <c r="B74" s="5" t="s">
        <v>71</v>
      </c>
      <c r="C74" s="7">
        <v>581</v>
      </c>
      <c r="D74" s="10">
        <f t="shared" si="0"/>
        <v>0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2:21" x14ac:dyDescent="0.25">
      <c r="B75" s="5" t="s">
        <v>72</v>
      </c>
      <c r="C75" s="7">
        <v>582</v>
      </c>
      <c r="D75" s="10">
        <f t="shared" si="0"/>
        <v>0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2:21" x14ac:dyDescent="0.25">
      <c r="B76" s="5" t="s">
        <v>73</v>
      </c>
      <c r="C76" s="7">
        <v>583</v>
      </c>
      <c r="D76" s="10">
        <f t="shared" ref="D76:D139" si="1">SUM(E76:U76)</f>
        <v>0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2:21" x14ac:dyDescent="0.25">
      <c r="B77" s="5" t="s">
        <v>74</v>
      </c>
      <c r="C77" s="7">
        <v>584</v>
      </c>
      <c r="D77" s="10">
        <f t="shared" si="1"/>
        <v>0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2:21" x14ac:dyDescent="0.25">
      <c r="B78" s="5" t="s">
        <v>75</v>
      </c>
      <c r="C78" s="7">
        <v>585</v>
      </c>
      <c r="D78" s="10">
        <f t="shared" si="1"/>
        <v>0</v>
      </c>
      <c r="E78" s="19"/>
      <c r="F78" s="19"/>
      <c r="G78" s="19"/>
      <c r="H78" s="19"/>
      <c r="I78" s="19"/>
      <c r="J78" s="19"/>
      <c r="K78" s="18"/>
      <c r="L78" s="18"/>
      <c r="M78" s="19"/>
      <c r="N78" s="19"/>
      <c r="O78" s="19"/>
      <c r="P78" s="18"/>
      <c r="Q78" s="18"/>
      <c r="R78" s="18"/>
      <c r="S78" s="19"/>
      <c r="T78" s="18"/>
      <c r="U78" s="18"/>
    </row>
    <row r="79" spans="2:21" x14ac:dyDescent="0.25">
      <c r="B79" s="5" t="s">
        <v>76</v>
      </c>
      <c r="C79" s="7">
        <v>586</v>
      </c>
      <c r="D79" s="10">
        <f t="shared" si="1"/>
        <v>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2:21" x14ac:dyDescent="0.25">
      <c r="B80" s="5" t="s">
        <v>77</v>
      </c>
      <c r="C80" s="7">
        <v>587</v>
      </c>
      <c r="D80" s="10">
        <f t="shared" si="1"/>
        <v>0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2:21" x14ac:dyDescent="0.25">
      <c r="B81" s="5" t="s">
        <v>78</v>
      </c>
      <c r="C81" s="7">
        <v>588</v>
      </c>
      <c r="D81" s="10">
        <f t="shared" si="1"/>
        <v>0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2:21" x14ac:dyDescent="0.25">
      <c r="B82" s="5" t="s">
        <v>79</v>
      </c>
      <c r="C82" s="7">
        <v>589</v>
      </c>
      <c r="D82" s="10">
        <f t="shared" si="1"/>
        <v>0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2:21" x14ac:dyDescent="0.25">
      <c r="B83" s="5" t="s">
        <v>80</v>
      </c>
      <c r="C83" s="7">
        <v>590</v>
      </c>
      <c r="D83" s="10">
        <f t="shared" si="1"/>
        <v>0</v>
      </c>
      <c r="E83" s="19"/>
      <c r="F83" s="19"/>
      <c r="G83" s="19"/>
      <c r="H83" s="19"/>
      <c r="I83" s="19"/>
      <c r="J83" s="19"/>
      <c r="K83" s="18"/>
      <c r="L83" s="18"/>
      <c r="M83" s="19"/>
      <c r="N83" s="19"/>
      <c r="O83" s="19"/>
      <c r="P83" s="18"/>
      <c r="Q83" s="18"/>
      <c r="R83" s="18"/>
      <c r="S83" s="19"/>
      <c r="T83" s="18"/>
      <c r="U83" s="18"/>
    </row>
    <row r="84" spans="2:21" x14ac:dyDescent="0.25">
      <c r="B84" s="5" t="s">
        <v>81</v>
      </c>
      <c r="C84" s="7">
        <v>591</v>
      </c>
      <c r="D84" s="10">
        <f t="shared" si="1"/>
        <v>0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2:21" x14ac:dyDescent="0.25">
      <c r="B85" s="5" t="s">
        <v>82</v>
      </c>
      <c r="C85" s="7">
        <v>592</v>
      </c>
      <c r="D85" s="10">
        <f t="shared" si="1"/>
        <v>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2:21" x14ac:dyDescent="0.25">
      <c r="B86" s="5" t="s">
        <v>83</v>
      </c>
      <c r="C86" s="7">
        <v>593</v>
      </c>
      <c r="D86" s="10">
        <f t="shared" si="1"/>
        <v>0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2:21" x14ac:dyDescent="0.25">
      <c r="B87" s="5" t="s">
        <v>84</v>
      </c>
      <c r="C87" s="7">
        <v>594</v>
      </c>
      <c r="D87" s="10">
        <f t="shared" si="1"/>
        <v>0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2:21" x14ac:dyDescent="0.25">
      <c r="B88" s="5" t="s">
        <v>85</v>
      </c>
      <c r="C88" s="7">
        <v>595</v>
      </c>
      <c r="D88" s="10">
        <f t="shared" si="1"/>
        <v>0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2:21" x14ac:dyDescent="0.25">
      <c r="B89" s="5" t="s">
        <v>86</v>
      </c>
      <c r="C89" s="7">
        <v>596</v>
      </c>
      <c r="D89" s="10">
        <f t="shared" si="1"/>
        <v>0</v>
      </c>
      <c r="E89" s="19"/>
      <c r="F89" s="19"/>
      <c r="G89" s="19"/>
      <c r="H89" s="19"/>
      <c r="I89" s="19"/>
      <c r="J89" s="19"/>
      <c r="K89" s="18"/>
      <c r="L89" s="18"/>
      <c r="M89" s="19"/>
      <c r="N89" s="19"/>
      <c r="O89" s="19"/>
      <c r="P89" s="18"/>
      <c r="Q89" s="18"/>
      <c r="R89" s="18"/>
      <c r="S89" s="19"/>
      <c r="T89" s="18"/>
      <c r="U89" s="18"/>
    </row>
    <row r="90" spans="2:21" x14ac:dyDescent="0.25">
      <c r="B90" s="5" t="s">
        <v>87</v>
      </c>
      <c r="C90" s="7">
        <v>597</v>
      </c>
      <c r="D90" s="10">
        <f t="shared" si="1"/>
        <v>0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2:21" x14ac:dyDescent="0.25">
      <c r="B91" s="5" t="s">
        <v>88</v>
      </c>
      <c r="C91" s="7">
        <v>598</v>
      </c>
      <c r="D91" s="10">
        <f t="shared" si="1"/>
        <v>0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2:21" x14ac:dyDescent="0.25">
      <c r="B92" s="5" t="s">
        <v>89</v>
      </c>
      <c r="C92" s="7">
        <v>599</v>
      </c>
      <c r="D92" s="10">
        <f t="shared" si="1"/>
        <v>0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2:21" x14ac:dyDescent="0.25">
      <c r="B93" s="5" t="s">
        <v>90</v>
      </c>
      <c r="C93" s="7">
        <v>600</v>
      </c>
      <c r="D93" s="10">
        <f t="shared" si="1"/>
        <v>0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2:21" x14ac:dyDescent="0.25">
      <c r="B94" s="5" t="s">
        <v>91</v>
      </c>
      <c r="C94" s="7">
        <v>601</v>
      </c>
      <c r="D94" s="10">
        <f t="shared" si="1"/>
        <v>0</v>
      </c>
      <c r="E94" s="19"/>
      <c r="F94" s="19"/>
      <c r="G94" s="19"/>
      <c r="H94" s="19"/>
      <c r="I94" s="19"/>
      <c r="J94" s="19"/>
      <c r="K94" s="18"/>
      <c r="L94" s="18"/>
      <c r="M94" s="19"/>
      <c r="N94" s="19"/>
      <c r="O94" s="19"/>
      <c r="P94" s="18"/>
      <c r="Q94" s="18"/>
      <c r="R94" s="18"/>
      <c r="S94" s="19"/>
      <c r="T94" s="18"/>
      <c r="U94" s="18"/>
    </row>
    <row r="95" spans="2:21" x14ac:dyDescent="0.25">
      <c r="B95" s="5" t="s">
        <v>92</v>
      </c>
      <c r="C95" s="7">
        <v>602</v>
      </c>
      <c r="D95" s="10">
        <f t="shared" si="1"/>
        <v>0</v>
      </c>
      <c r="E95" s="19"/>
      <c r="F95" s="19"/>
      <c r="G95" s="19"/>
      <c r="H95" s="19"/>
      <c r="I95" s="19"/>
      <c r="J95" s="19"/>
      <c r="L95" s="18"/>
      <c r="M95" s="19"/>
      <c r="N95" s="19"/>
      <c r="O95" s="19"/>
      <c r="P95" s="18"/>
      <c r="Q95" s="18"/>
      <c r="R95" s="18"/>
      <c r="S95" s="19"/>
      <c r="T95" s="18"/>
      <c r="U95" s="18"/>
    </row>
    <row r="96" spans="2:21" x14ac:dyDescent="0.25">
      <c r="B96" s="5" t="s">
        <v>93</v>
      </c>
      <c r="C96" s="7">
        <v>603</v>
      </c>
      <c r="D96" s="10">
        <f t="shared" si="1"/>
        <v>0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2:21" x14ac:dyDescent="0.25">
      <c r="B97" s="5" t="s">
        <v>94</v>
      </c>
      <c r="C97" s="7">
        <v>604</v>
      </c>
      <c r="D97" s="10">
        <f t="shared" si="1"/>
        <v>0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2:21" x14ac:dyDescent="0.25">
      <c r="B98" s="5" t="s">
        <v>95</v>
      </c>
      <c r="C98" s="7">
        <v>605</v>
      </c>
      <c r="D98" s="10">
        <f t="shared" si="1"/>
        <v>0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2:21" x14ac:dyDescent="0.25">
      <c r="B99" s="5" t="s">
        <v>96</v>
      </c>
      <c r="C99" s="7">
        <v>606</v>
      </c>
      <c r="D99" s="10">
        <f t="shared" si="1"/>
        <v>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2:21" x14ac:dyDescent="0.25">
      <c r="B100" s="5" t="s">
        <v>97</v>
      </c>
      <c r="C100" s="7">
        <v>607</v>
      </c>
      <c r="D100" s="10">
        <f t="shared" si="1"/>
        <v>0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spans="2:21" x14ac:dyDescent="0.25">
      <c r="B101" s="5" t="s">
        <v>98</v>
      </c>
      <c r="C101" s="7">
        <v>608</v>
      </c>
      <c r="D101" s="10">
        <f t="shared" si="1"/>
        <v>0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spans="2:21" x14ac:dyDescent="0.25">
      <c r="B102" s="5" t="s">
        <v>99</v>
      </c>
      <c r="C102" s="7">
        <v>609</v>
      </c>
      <c r="D102" s="10">
        <f t="shared" si="1"/>
        <v>0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spans="2:21" x14ac:dyDescent="0.25">
      <c r="B103" s="5" t="s">
        <v>100</v>
      </c>
      <c r="C103" s="7">
        <v>610</v>
      </c>
      <c r="D103" s="10">
        <f t="shared" si="1"/>
        <v>0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spans="2:21" x14ac:dyDescent="0.25">
      <c r="B104" s="5" t="s">
        <v>101</v>
      </c>
      <c r="C104" s="7">
        <v>611</v>
      </c>
      <c r="D104" s="10">
        <f t="shared" si="1"/>
        <v>0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spans="2:21" x14ac:dyDescent="0.25">
      <c r="B105" s="5" t="s">
        <v>102</v>
      </c>
      <c r="C105" s="7">
        <v>612</v>
      </c>
      <c r="D105" s="10">
        <f t="shared" si="1"/>
        <v>0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spans="2:21" x14ac:dyDescent="0.25">
      <c r="B106" s="5" t="s">
        <v>103</v>
      </c>
      <c r="C106" s="7">
        <v>613</v>
      </c>
      <c r="D106" s="10">
        <f t="shared" si="1"/>
        <v>0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spans="2:21" x14ac:dyDescent="0.25">
      <c r="B107" s="5" t="s">
        <v>104</v>
      </c>
      <c r="C107" s="7">
        <v>614</v>
      </c>
      <c r="D107" s="10">
        <f t="shared" si="1"/>
        <v>0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spans="2:21" x14ac:dyDescent="0.25">
      <c r="B108" s="5" t="s">
        <v>105</v>
      </c>
      <c r="C108" s="7">
        <v>615</v>
      </c>
      <c r="D108" s="10">
        <f t="shared" si="1"/>
        <v>0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spans="2:21" x14ac:dyDescent="0.25">
      <c r="B109" s="5" t="s">
        <v>106</v>
      </c>
      <c r="C109" s="7">
        <v>616</v>
      </c>
      <c r="D109" s="10">
        <f t="shared" si="1"/>
        <v>0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spans="2:21" x14ac:dyDescent="0.25">
      <c r="B110" s="5" t="s">
        <v>107</v>
      </c>
      <c r="C110" s="7">
        <v>617</v>
      </c>
      <c r="D110" s="10">
        <f t="shared" si="1"/>
        <v>0</v>
      </c>
      <c r="E110" s="19"/>
      <c r="F110" s="19"/>
      <c r="G110" s="19"/>
      <c r="H110" s="19"/>
      <c r="I110" s="19"/>
      <c r="J110" s="19"/>
      <c r="K110" s="18"/>
      <c r="L110" s="18"/>
      <c r="M110" s="19"/>
      <c r="N110" s="19"/>
      <c r="O110" s="19"/>
      <c r="P110" s="18"/>
      <c r="Q110" s="18"/>
      <c r="R110" s="18"/>
      <c r="S110" s="19"/>
      <c r="T110" s="18"/>
      <c r="U110" s="18"/>
    </row>
    <row r="111" spans="2:21" x14ac:dyDescent="0.25">
      <c r="B111" s="5" t="s">
        <v>108</v>
      </c>
      <c r="C111" s="7">
        <v>618</v>
      </c>
      <c r="D111" s="10">
        <f t="shared" si="1"/>
        <v>0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spans="2:21" x14ac:dyDescent="0.25">
      <c r="B112" s="5" t="s">
        <v>109</v>
      </c>
      <c r="C112" s="7">
        <v>619</v>
      </c>
      <c r="D112" s="10">
        <f t="shared" si="1"/>
        <v>0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2:21" x14ac:dyDescent="0.25">
      <c r="B113" s="5" t="s">
        <v>110</v>
      </c>
      <c r="C113" s="7">
        <v>620</v>
      </c>
      <c r="D113" s="10">
        <f t="shared" si="1"/>
        <v>0</v>
      </c>
      <c r="E113" s="19"/>
      <c r="F113" s="19"/>
      <c r="G113" s="19"/>
      <c r="H113" s="19"/>
      <c r="I113" s="19"/>
      <c r="J113" s="19"/>
      <c r="K113" s="18"/>
      <c r="L113" s="18"/>
      <c r="M113" s="19"/>
      <c r="N113" s="19"/>
      <c r="O113" s="19"/>
      <c r="P113" s="18"/>
      <c r="Q113" s="18"/>
      <c r="R113" s="18"/>
      <c r="S113" s="19"/>
      <c r="T113" s="18"/>
      <c r="U113" s="18"/>
    </row>
    <row r="114" spans="2:21" x14ac:dyDescent="0.25">
      <c r="B114" s="5" t="s">
        <v>111</v>
      </c>
      <c r="C114" s="7">
        <v>621</v>
      </c>
      <c r="D114" s="10">
        <f t="shared" si="1"/>
        <v>0</v>
      </c>
      <c r="E114" s="19"/>
      <c r="F114" s="19"/>
      <c r="G114" s="19"/>
      <c r="H114" s="19"/>
      <c r="I114" s="19"/>
      <c r="J114" s="19"/>
      <c r="K114" s="18"/>
      <c r="L114" s="18"/>
      <c r="M114" s="19"/>
      <c r="N114" s="19"/>
      <c r="O114" s="19"/>
      <c r="P114" s="18"/>
      <c r="Q114" s="18"/>
      <c r="R114" s="18"/>
      <c r="S114" s="19"/>
      <c r="T114" s="18"/>
      <c r="U114" s="18"/>
    </row>
    <row r="115" spans="2:21" x14ac:dyDescent="0.25">
      <c r="B115" s="5" t="s">
        <v>112</v>
      </c>
      <c r="C115" s="7">
        <v>622</v>
      </c>
      <c r="D115" s="10">
        <f t="shared" si="1"/>
        <v>0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spans="2:21" x14ac:dyDescent="0.25">
      <c r="B116" s="5" t="s">
        <v>113</v>
      </c>
      <c r="C116" s="7">
        <v>623</v>
      </c>
      <c r="D116" s="10">
        <f t="shared" si="1"/>
        <v>0</v>
      </c>
      <c r="E116" s="19"/>
      <c r="F116" s="19"/>
      <c r="G116" s="19"/>
      <c r="H116" s="19"/>
      <c r="I116" s="19"/>
      <c r="J116" s="19"/>
      <c r="K116" s="18"/>
      <c r="L116" s="18"/>
      <c r="M116" s="19"/>
      <c r="N116" s="19"/>
      <c r="O116" s="19"/>
      <c r="P116" s="18"/>
      <c r="Q116" s="18"/>
      <c r="R116" s="18"/>
      <c r="S116" s="19"/>
      <c r="T116" s="18"/>
      <c r="U116" s="18"/>
    </row>
    <row r="117" spans="2:21" x14ac:dyDescent="0.25">
      <c r="B117" s="5" t="s">
        <v>114</v>
      </c>
      <c r="C117" s="7">
        <v>624</v>
      </c>
      <c r="D117" s="10">
        <f t="shared" si="1"/>
        <v>0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 spans="2:21" x14ac:dyDescent="0.25">
      <c r="B118" s="5" t="s">
        <v>115</v>
      </c>
      <c r="C118" s="7">
        <v>625</v>
      </c>
      <c r="D118" s="10">
        <f t="shared" si="1"/>
        <v>0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 spans="2:21" x14ac:dyDescent="0.25">
      <c r="B119" s="5" t="s">
        <v>116</v>
      </c>
      <c r="C119" s="7">
        <v>626</v>
      </c>
      <c r="D119" s="10">
        <f t="shared" si="1"/>
        <v>0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 spans="2:21" x14ac:dyDescent="0.25">
      <c r="B120" s="5" t="s">
        <v>117</v>
      </c>
      <c r="C120" s="7">
        <v>627</v>
      </c>
      <c r="D120" s="10">
        <f t="shared" si="1"/>
        <v>0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 spans="2:21" x14ac:dyDescent="0.25">
      <c r="B121" s="5" t="s">
        <v>118</v>
      </c>
      <c r="C121" s="7">
        <v>628</v>
      </c>
      <c r="D121" s="10">
        <f t="shared" si="1"/>
        <v>0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 spans="2:21" x14ac:dyDescent="0.25">
      <c r="B122" s="5" t="s">
        <v>119</v>
      </c>
      <c r="C122" s="7">
        <v>629</v>
      </c>
      <c r="D122" s="10">
        <f t="shared" si="1"/>
        <v>0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 spans="2:21" x14ac:dyDescent="0.25">
      <c r="B123" s="5" t="s">
        <v>120</v>
      </c>
      <c r="C123" s="7">
        <v>630</v>
      </c>
      <c r="D123" s="10">
        <f t="shared" si="1"/>
        <v>0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 spans="2:21" x14ac:dyDescent="0.25">
      <c r="B124" s="5" t="s">
        <v>121</v>
      </c>
      <c r="C124" s="7">
        <v>631</v>
      </c>
      <c r="D124" s="10">
        <f t="shared" si="1"/>
        <v>0</v>
      </c>
      <c r="E124" s="19"/>
      <c r="F124" s="19"/>
      <c r="G124" s="19"/>
      <c r="H124" s="19"/>
      <c r="I124" s="19"/>
      <c r="J124" s="19"/>
      <c r="K124" s="18"/>
      <c r="L124" s="18"/>
      <c r="M124" s="19"/>
      <c r="N124" s="19"/>
      <c r="O124" s="19"/>
      <c r="P124" s="18"/>
      <c r="Q124" s="18"/>
      <c r="R124" s="18"/>
      <c r="S124" s="19"/>
      <c r="T124" s="18"/>
      <c r="U124" s="18"/>
    </row>
    <row r="125" spans="2:21" x14ac:dyDescent="0.25">
      <c r="B125" s="5" t="s">
        <v>122</v>
      </c>
      <c r="C125" s="7">
        <v>632</v>
      </c>
      <c r="D125" s="10">
        <f t="shared" si="1"/>
        <v>0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 spans="2:21" x14ac:dyDescent="0.25">
      <c r="B126" s="5" t="s">
        <v>123</v>
      </c>
      <c r="C126" s="7">
        <v>633</v>
      </c>
      <c r="D126" s="10">
        <f t="shared" si="1"/>
        <v>0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 spans="2:21" x14ac:dyDescent="0.25">
      <c r="B127" s="5" t="s">
        <v>124</v>
      </c>
      <c r="C127" s="7">
        <v>634</v>
      </c>
      <c r="D127" s="10">
        <f t="shared" si="1"/>
        <v>0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 spans="2:21" x14ac:dyDescent="0.25">
      <c r="B128" s="5" t="s">
        <v>125</v>
      </c>
      <c r="C128" s="7">
        <v>635</v>
      </c>
      <c r="D128" s="10">
        <f t="shared" si="1"/>
        <v>0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spans="2:21" x14ac:dyDescent="0.25">
      <c r="B129" s="5" t="s">
        <v>126</v>
      </c>
      <c r="C129" s="7">
        <v>636</v>
      </c>
      <c r="D129" s="10">
        <f t="shared" si="1"/>
        <v>0</v>
      </c>
      <c r="E129" s="19"/>
      <c r="F129" s="19"/>
      <c r="G129" s="19"/>
      <c r="H129" s="19"/>
      <c r="I129" s="19"/>
      <c r="J129" s="19"/>
      <c r="K129" s="18"/>
      <c r="L129" s="18"/>
      <c r="M129" s="19"/>
      <c r="N129" s="19"/>
      <c r="O129" s="19"/>
      <c r="P129" s="18"/>
      <c r="Q129" s="18"/>
      <c r="R129" s="18"/>
      <c r="S129" s="19"/>
      <c r="T129" s="18"/>
      <c r="U129" s="18"/>
    </row>
    <row r="130" spans="2:21" x14ac:dyDescent="0.25">
      <c r="B130" s="5" t="s">
        <v>127</v>
      </c>
      <c r="C130" s="7">
        <v>637</v>
      </c>
      <c r="D130" s="10">
        <f t="shared" si="1"/>
        <v>0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spans="2:21" x14ac:dyDescent="0.25">
      <c r="B131" s="5" t="s">
        <v>128</v>
      </c>
      <c r="C131" s="7">
        <v>638</v>
      </c>
      <c r="D131" s="10">
        <f t="shared" si="1"/>
        <v>0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spans="2:21" x14ac:dyDescent="0.25">
      <c r="B132" s="5" t="s">
        <v>129</v>
      </c>
      <c r="C132" s="7">
        <v>639</v>
      </c>
      <c r="D132" s="10">
        <f t="shared" si="1"/>
        <v>0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spans="2:21" x14ac:dyDescent="0.25">
      <c r="B133" s="5" t="s">
        <v>130</v>
      </c>
      <c r="C133" s="7">
        <v>640</v>
      </c>
      <c r="D133" s="10">
        <f t="shared" si="1"/>
        <v>0</v>
      </c>
      <c r="E133" s="19"/>
      <c r="F133" s="19"/>
      <c r="G133" s="19"/>
      <c r="H133" s="19"/>
      <c r="I133" s="19"/>
      <c r="J133" s="19"/>
      <c r="K133" s="18"/>
      <c r="L133" s="18"/>
      <c r="M133" s="19"/>
      <c r="N133" s="19"/>
      <c r="O133" s="19"/>
      <c r="P133" s="18"/>
      <c r="Q133" s="18"/>
      <c r="R133" s="18"/>
      <c r="S133" s="19"/>
      <c r="T133" s="18"/>
      <c r="U133" s="18"/>
    </row>
    <row r="134" spans="2:21" x14ac:dyDescent="0.25">
      <c r="B134" s="5" t="s">
        <v>131</v>
      </c>
      <c r="C134" s="7">
        <v>641</v>
      </c>
      <c r="D134" s="10">
        <f t="shared" si="1"/>
        <v>0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spans="2:21" x14ac:dyDescent="0.25">
      <c r="B135" s="5" t="s">
        <v>132</v>
      </c>
      <c r="C135" s="7">
        <v>642</v>
      </c>
      <c r="D135" s="10">
        <f t="shared" si="1"/>
        <v>0</v>
      </c>
      <c r="E135" s="19"/>
      <c r="F135" s="19"/>
      <c r="G135" s="19"/>
      <c r="H135" s="19"/>
      <c r="I135" s="19"/>
      <c r="J135" s="19"/>
      <c r="K135" s="18"/>
      <c r="L135" s="18"/>
      <c r="M135" s="19"/>
      <c r="N135" s="19"/>
      <c r="O135" s="19"/>
      <c r="P135" s="18"/>
      <c r="Q135" s="18"/>
      <c r="R135" s="18"/>
      <c r="S135" s="19"/>
      <c r="T135" s="18"/>
      <c r="U135" s="18"/>
    </row>
    <row r="136" spans="2:21" x14ac:dyDescent="0.25">
      <c r="B136" s="5" t="s">
        <v>133</v>
      </c>
      <c r="C136" s="7">
        <v>643</v>
      </c>
      <c r="D136" s="10">
        <f t="shared" si="1"/>
        <v>0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spans="2:21" x14ac:dyDescent="0.25">
      <c r="B137" s="5" t="s">
        <v>134</v>
      </c>
      <c r="C137" s="7">
        <v>644</v>
      </c>
      <c r="D137" s="10">
        <f t="shared" si="1"/>
        <v>0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spans="2:21" x14ac:dyDescent="0.25">
      <c r="B138" s="5" t="s">
        <v>135</v>
      </c>
      <c r="C138" s="7">
        <v>645</v>
      </c>
      <c r="D138" s="10">
        <f t="shared" si="1"/>
        <v>0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spans="2:21" x14ac:dyDescent="0.25">
      <c r="B139" s="5" t="s">
        <v>136</v>
      </c>
      <c r="C139" s="7">
        <v>646</v>
      </c>
      <c r="D139" s="10">
        <f t="shared" si="1"/>
        <v>0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spans="2:21" x14ac:dyDescent="0.25">
      <c r="B140" s="5" t="s">
        <v>137</v>
      </c>
      <c r="C140" s="7">
        <v>647</v>
      </c>
      <c r="D140" s="10">
        <f t="shared" ref="D140:D203" si="2">SUM(E140:U140)</f>
        <v>0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spans="2:21" x14ac:dyDescent="0.25">
      <c r="B141" s="5" t="s">
        <v>138</v>
      </c>
      <c r="C141" s="7">
        <v>648</v>
      </c>
      <c r="D141" s="10">
        <f t="shared" si="2"/>
        <v>0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spans="2:21" x14ac:dyDescent="0.25">
      <c r="B142" s="5" t="s">
        <v>139</v>
      </c>
      <c r="C142" s="7">
        <v>649</v>
      </c>
      <c r="D142" s="10">
        <f t="shared" si="2"/>
        <v>0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spans="2:21" x14ac:dyDescent="0.25">
      <c r="B143" s="5" t="s">
        <v>140</v>
      </c>
      <c r="C143" s="7">
        <v>650</v>
      </c>
      <c r="D143" s="10">
        <f t="shared" si="2"/>
        <v>0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spans="2:21" x14ac:dyDescent="0.25">
      <c r="B144" s="5" t="s">
        <v>141</v>
      </c>
      <c r="C144" s="7">
        <v>651</v>
      </c>
      <c r="D144" s="10">
        <f t="shared" si="2"/>
        <v>0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spans="2:21" x14ac:dyDescent="0.25">
      <c r="B145" s="5" t="s">
        <v>142</v>
      </c>
      <c r="C145" s="7">
        <v>652</v>
      </c>
      <c r="D145" s="10">
        <f t="shared" si="2"/>
        <v>0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spans="2:21" x14ac:dyDescent="0.25">
      <c r="B146" s="5" t="s">
        <v>143</v>
      </c>
      <c r="C146" s="7">
        <v>653</v>
      </c>
      <c r="D146" s="10">
        <f t="shared" si="2"/>
        <v>0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spans="2:21" x14ac:dyDescent="0.25">
      <c r="B147" s="5" t="s">
        <v>144</v>
      </c>
      <c r="C147" s="7">
        <v>654</v>
      </c>
      <c r="D147" s="10">
        <f t="shared" si="2"/>
        <v>0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spans="2:21" x14ac:dyDescent="0.25">
      <c r="B148" s="5" t="s">
        <v>145</v>
      </c>
      <c r="C148" s="7">
        <v>655</v>
      </c>
      <c r="D148" s="10">
        <f t="shared" si="2"/>
        <v>0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spans="2:21" x14ac:dyDescent="0.25">
      <c r="B149" s="5" t="s">
        <v>146</v>
      </c>
      <c r="C149" s="7">
        <v>656</v>
      </c>
      <c r="D149" s="10">
        <f t="shared" si="2"/>
        <v>0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spans="2:21" x14ac:dyDescent="0.25">
      <c r="B150" s="5" t="s">
        <v>147</v>
      </c>
      <c r="C150" s="7">
        <v>657</v>
      </c>
      <c r="D150" s="10">
        <f t="shared" si="2"/>
        <v>0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spans="2:21" x14ac:dyDescent="0.25">
      <c r="B151" s="5" t="s">
        <v>148</v>
      </c>
      <c r="C151" s="7">
        <v>658</v>
      </c>
      <c r="D151" s="10">
        <f t="shared" si="2"/>
        <v>0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spans="2:21" x14ac:dyDescent="0.25">
      <c r="B152" s="5" t="s">
        <v>149</v>
      </c>
      <c r="C152" s="7">
        <v>659</v>
      </c>
      <c r="D152" s="10">
        <f t="shared" si="2"/>
        <v>0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spans="2:21" x14ac:dyDescent="0.25">
      <c r="B153" s="5" t="s">
        <v>150</v>
      </c>
      <c r="C153" s="7">
        <v>660</v>
      </c>
      <c r="D153" s="10">
        <f t="shared" si="2"/>
        <v>0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spans="2:21" x14ac:dyDescent="0.25">
      <c r="B154" s="5" t="s">
        <v>151</v>
      </c>
      <c r="C154" s="7">
        <v>661</v>
      </c>
      <c r="D154" s="10">
        <f t="shared" si="2"/>
        <v>0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spans="2:21" x14ac:dyDescent="0.25">
      <c r="B155" s="5" t="s">
        <v>152</v>
      </c>
      <c r="C155" s="7">
        <v>662</v>
      </c>
      <c r="D155" s="10">
        <f t="shared" si="2"/>
        <v>0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spans="2:21" x14ac:dyDescent="0.25">
      <c r="B156" s="5" t="s">
        <v>153</v>
      </c>
      <c r="C156" s="7">
        <v>663</v>
      </c>
      <c r="D156" s="10">
        <f t="shared" si="2"/>
        <v>0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spans="2:21" x14ac:dyDescent="0.25">
      <c r="B157" s="5" t="s">
        <v>154</v>
      </c>
      <c r="C157" s="7">
        <v>664</v>
      </c>
      <c r="D157" s="10">
        <f t="shared" si="2"/>
        <v>0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spans="2:21" x14ac:dyDescent="0.25">
      <c r="B158" s="5" t="s">
        <v>155</v>
      </c>
      <c r="C158" s="7">
        <v>665</v>
      </c>
      <c r="D158" s="10">
        <f t="shared" si="2"/>
        <v>0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spans="2:21" x14ac:dyDescent="0.25">
      <c r="B159" s="5" t="s">
        <v>156</v>
      </c>
      <c r="C159" s="7">
        <v>666</v>
      </c>
      <c r="D159" s="10">
        <f t="shared" si="2"/>
        <v>0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spans="2:21" x14ac:dyDescent="0.25">
      <c r="B160" s="5" t="s">
        <v>157</v>
      </c>
      <c r="C160" s="7">
        <v>667</v>
      </c>
      <c r="D160" s="10">
        <f t="shared" si="2"/>
        <v>0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spans="2:21" x14ac:dyDescent="0.25">
      <c r="B161" s="5" t="s">
        <v>158</v>
      </c>
      <c r="C161" s="7">
        <v>668</v>
      </c>
      <c r="D161" s="10">
        <f t="shared" si="2"/>
        <v>0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spans="2:21" x14ac:dyDescent="0.25">
      <c r="B162" s="5" t="s">
        <v>159</v>
      </c>
      <c r="C162" s="7">
        <v>669</v>
      </c>
      <c r="D162" s="10">
        <f t="shared" si="2"/>
        <v>0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spans="2:21" x14ac:dyDescent="0.25">
      <c r="B163" s="5" t="s">
        <v>160</v>
      </c>
      <c r="C163" s="7">
        <v>670</v>
      </c>
      <c r="D163" s="10">
        <f t="shared" si="2"/>
        <v>0</v>
      </c>
      <c r="E163" s="19"/>
      <c r="F163" s="19"/>
      <c r="G163" s="19"/>
      <c r="H163" s="19"/>
      <c r="I163" s="19"/>
      <c r="J163" s="19"/>
      <c r="K163" s="18"/>
      <c r="L163" s="18"/>
      <c r="M163" s="19"/>
      <c r="N163" s="19"/>
      <c r="O163" s="19"/>
      <c r="P163" s="18"/>
      <c r="Q163" s="18"/>
      <c r="R163" s="18"/>
      <c r="S163" s="19"/>
      <c r="T163" s="18"/>
      <c r="U163" s="18"/>
    </row>
    <row r="164" spans="2:21" x14ac:dyDescent="0.25">
      <c r="B164" s="5" t="s">
        <v>161</v>
      </c>
      <c r="C164" s="7">
        <v>671</v>
      </c>
      <c r="D164" s="10">
        <f t="shared" si="2"/>
        <v>0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spans="2:21" x14ac:dyDescent="0.25">
      <c r="B165" s="5" t="s">
        <v>162</v>
      </c>
      <c r="C165" s="7">
        <v>672</v>
      </c>
      <c r="D165" s="10">
        <f t="shared" si="2"/>
        <v>0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spans="2:21" x14ac:dyDescent="0.25">
      <c r="B166" s="5" t="s">
        <v>163</v>
      </c>
      <c r="C166" s="7">
        <v>673</v>
      </c>
      <c r="D166" s="10">
        <f t="shared" si="2"/>
        <v>0</v>
      </c>
      <c r="E166" s="23"/>
      <c r="F166" s="19"/>
      <c r="G166" s="19"/>
      <c r="H166" s="19"/>
      <c r="I166" s="19"/>
      <c r="J166" s="19"/>
      <c r="K166" s="24"/>
      <c r="L166" s="18"/>
      <c r="M166" s="23"/>
      <c r="N166" s="19"/>
      <c r="O166" s="19"/>
      <c r="P166" s="18"/>
      <c r="Q166" s="18"/>
      <c r="R166" s="18"/>
      <c r="S166" s="19"/>
      <c r="T166" s="18"/>
      <c r="U166" s="18"/>
    </row>
    <row r="167" spans="2:21" x14ac:dyDescent="0.25">
      <c r="B167" s="5" t="s">
        <v>164</v>
      </c>
      <c r="C167" s="7">
        <v>674</v>
      </c>
      <c r="D167" s="10">
        <f t="shared" si="2"/>
        <v>0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spans="2:21" x14ac:dyDescent="0.25">
      <c r="B168" s="5" t="s">
        <v>165</v>
      </c>
      <c r="C168" s="7">
        <v>675</v>
      </c>
      <c r="D168" s="10">
        <f t="shared" si="2"/>
        <v>0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spans="2:21" x14ac:dyDescent="0.25">
      <c r="B169" s="5" t="s">
        <v>166</v>
      </c>
      <c r="C169" s="7">
        <v>676</v>
      </c>
      <c r="D169" s="10">
        <f t="shared" si="2"/>
        <v>0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spans="2:21" x14ac:dyDescent="0.25">
      <c r="B170" s="5" t="s">
        <v>167</v>
      </c>
      <c r="C170" s="7">
        <v>677</v>
      </c>
      <c r="D170" s="10">
        <f t="shared" si="2"/>
        <v>0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spans="2:21" x14ac:dyDescent="0.25">
      <c r="B171" s="5" t="s">
        <v>168</v>
      </c>
      <c r="C171" s="7">
        <v>678</v>
      </c>
      <c r="D171" s="10">
        <f t="shared" si="2"/>
        <v>0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spans="2:21" x14ac:dyDescent="0.25">
      <c r="B172" s="5" t="s">
        <v>169</v>
      </c>
      <c r="C172" s="7">
        <v>679</v>
      </c>
      <c r="D172" s="10">
        <f t="shared" si="2"/>
        <v>0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spans="2:21" x14ac:dyDescent="0.25">
      <c r="B173" s="5" t="s">
        <v>170</v>
      </c>
      <c r="C173" s="7">
        <v>680</v>
      </c>
      <c r="D173" s="10">
        <f t="shared" si="2"/>
        <v>0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spans="2:21" x14ac:dyDescent="0.25">
      <c r="B174" s="5" t="s">
        <v>171</v>
      </c>
      <c r="C174" s="7">
        <v>681</v>
      </c>
      <c r="D174" s="10">
        <f t="shared" si="2"/>
        <v>0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spans="2:21" x14ac:dyDescent="0.25">
      <c r="B175" s="5" t="s">
        <v>172</v>
      </c>
      <c r="C175" s="7">
        <v>682</v>
      </c>
      <c r="D175" s="10">
        <f t="shared" si="2"/>
        <v>0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spans="2:21" x14ac:dyDescent="0.25">
      <c r="B176" s="5" t="s">
        <v>173</v>
      </c>
      <c r="C176" s="7">
        <v>683</v>
      </c>
      <c r="D176" s="10">
        <f t="shared" si="2"/>
        <v>0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spans="2:21" x14ac:dyDescent="0.25">
      <c r="B177" s="5" t="s">
        <v>174</v>
      </c>
      <c r="C177" s="7">
        <v>684</v>
      </c>
      <c r="D177" s="10">
        <f t="shared" si="2"/>
        <v>0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spans="2:21" x14ac:dyDescent="0.25">
      <c r="B178" s="5" t="s">
        <v>175</v>
      </c>
      <c r="C178" s="7">
        <v>685</v>
      </c>
      <c r="D178" s="10">
        <f t="shared" si="2"/>
        <v>0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spans="2:21" x14ac:dyDescent="0.25">
      <c r="B179" s="5" t="s">
        <v>176</v>
      </c>
      <c r="C179" s="7">
        <v>686</v>
      </c>
      <c r="D179" s="10">
        <f t="shared" si="2"/>
        <v>0</v>
      </c>
      <c r="E179" s="19"/>
      <c r="F179" s="19"/>
      <c r="G179" s="19"/>
      <c r="H179" s="19"/>
      <c r="I179" s="19"/>
      <c r="J179" s="19"/>
      <c r="K179" s="18"/>
      <c r="L179" s="18"/>
      <c r="M179" s="19"/>
      <c r="N179" s="19"/>
      <c r="O179" s="19"/>
      <c r="P179" s="18"/>
      <c r="Q179" s="18"/>
      <c r="R179" s="18"/>
      <c r="S179" s="19"/>
      <c r="T179" s="18"/>
      <c r="U179" s="18"/>
    </row>
    <row r="180" spans="2:21" x14ac:dyDescent="0.25">
      <c r="B180" s="5" t="s">
        <v>177</v>
      </c>
      <c r="C180" s="7">
        <v>687</v>
      </c>
      <c r="D180" s="10">
        <f t="shared" si="2"/>
        <v>0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spans="2:21" x14ac:dyDescent="0.25">
      <c r="B181" s="5" t="s">
        <v>178</v>
      </c>
      <c r="C181" s="7">
        <v>688</v>
      </c>
      <c r="D181" s="10">
        <f t="shared" si="2"/>
        <v>0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spans="2:21" x14ac:dyDescent="0.25">
      <c r="B182" s="5" t="s">
        <v>179</v>
      </c>
      <c r="C182" s="7">
        <v>689</v>
      </c>
      <c r="D182" s="10">
        <f t="shared" si="2"/>
        <v>0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spans="2:21" x14ac:dyDescent="0.25">
      <c r="B183" s="5" t="s">
        <v>180</v>
      </c>
      <c r="C183" s="7">
        <v>690</v>
      </c>
      <c r="D183" s="10">
        <f t="shared" si="2"/>
        <v>0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spans="2:21" x14ac:dyDescent="0.25">
      <c r="B184" s="5" t="s">
        <v>181</v>
      </c>
      <c r="C184" s="7">
        <v>691</v>
      </c>
      <c r="D184" s="10">
        <f t="shared" si="2"/>
        <v>0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spans="2:21" x14ac:dyDescent="0.25">
      <c r="B185" s="5" t="s">
        <v>182</v>
      </c>
      <c r="C185" s="7">
        <v>692</v>
      </c>
      <c r="D185" s="10">
        <f t="shared" si="2"/>
        <v>0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spans="2:21" x14ac:dyDescent="0.25">
      <c r="B186" s="5" t="s">
        <v>183</v>
      </c>
      <c r="C186" s="7">
        <v>693</v>
      </c>
      <c r="D186" s="10">
        <f t="shared" si="2"/>
        <v>0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spans="2:21" x14ac:dyDescent="0.25">
      <c r="B187" s="5" t="s">
        <v>184</v>
      </c>
      <c r="C187" s="7">
        <v>694</v>
      </c>
      <c r="D187" s="10">
        <f t="shared" si="2"/>
        <v>0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spans="2:21" x14ac:dyDescent="0.25">
      <c r="B188" s="5" t="s">
        <v>185</v>
      </c>
      <c r="C188" s="7">
        <v>695</v>
      </c>
      <c r="D188" s="10">
        <f t="shared" si="2"/>
        <v>0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spans="2:21" x14ac:dyDescent="0.25">
      <c r="B189" s="5" t="s">
        <v>186</v>
      </c>
      <c r="C189" s="7">
        <v>696</v>
      </c>
      <c r="D189" s="10">
        <f t="shared" si="2"/>
        <v>0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spans="2:21" x14ac:dyDescent="0.25">
      <c r="B190" s="5" t="s">
        <v>187</v>
      </c>
      <c r="C190" s="7">
        <v>697</v>
      </c>
      <c r="D190" s="10">
        <f t="shared" si="2"/>
        <v>0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spans="2:21" x14ac:dyDescent="0.25">
      <c r="B191" s="5" t="s">
        <v>188</v>
      </c>
      <c r="C191" s="7">
        <v>698</v>
      </c>
      <c r="D191" s="10">
        <f t="shared" si="2"/>
        <v>0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spans="2:21" x14ac:dyDescent="0.25">
      <c r="B192" s="5" t="s">
        <v>189</v>
      </c>
      <c r="C192" s="7">
        <v>699</v>
      </c>
      <c r="D192" s="10">
        <f t="shared" si="2"/>
        <v>0</v>
      </c>
      <c r="E192" s="19"/>
      <c r="F192" s="19"/>
      <c r="G192" s="19"/>
      <c r="H192" s="19"/>
      <c r="I192" s="19"/>
      <c r="J192" s="19"/>
      <c r="K192" s="18"/>
      <c r="L192" s="18"/>
      <c r="M192" s="19"/>
      <c r="N192" s="19"/>
      <c r="O192" s="19"/>
      <c r="P192" s="18"/>
      <c r="Q192" s="18"/>
      <c r="R192" s="18"/>
      <c r="S192" s="19"/>
      <c r="T192" s="18"/>
      <c r="U192" s="18"/>
    </row>
    <row r="193" spans="2:21" x14ac:dyDescent="0.25">
      <c r="B193" s="5" t="s">
        <v>190</v>
      </c>
      <c r="C193" s="7">
        <v>700</v>
      </c>
      <c r="D193" s="10">
        <f t="shared" si="2"/>
        <v>0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spans="2:21" x14ac:dyDescent="0.25">
      <c r="B194" s="5" t="s">
        <v>191</v>
      </c>
      <c r="C194" s="7">
        <v>701</v>
      </c>
      <c r="D194" s="10">
        <f t="shared" si="2"/>
        <v>0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spans="2:21" x14ac:dyDescent="0.25">
      <c r="B195" s="5" t="s">
        <v>192</v>
      </c>
      <c r="C195" s="7">
        <v>702</v>
      </c>
      <c r="D195" s="10">
        <f t="shared" si="2"/>
        <v>0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spans="2:21" x14ac:dyDescent="0.25">
      <c r="B196" s="5" t="s">
        <v>193</v>
      </c>
      <c r="C196" s="7">
        <v>703</v>
      </c>
      <c r="D196" s="10">
        <f t="shared" si="2"/>
        <v>0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spans="2:21" x14ac:dyDescent="0.25">
      <c r="B197" s="5" t="s">
        <v>194</v>
      </c>
      <c r="C197" s="7">
        <v>704</v>
      </c>
      <c r="D197" s="10">
        <f t="shared" si="2"/>
        <v>0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spans="2:21" x14ac:dyDescent="0.25">
      <c r="B198" s="5" t="s">
        <v>195</v>
      </c>
      <c r="C198" s="7">
        <v>705</v>
      </c>
      <c r="D198" s="10">
        <f t="shared" si="2"/>
        <v>0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spans="2:21" x14ac:dyDescent="0.25">
      <c r="B199" s="5" t="s">
        <v>196</v>
      </c>
      <c r="C199" s="7">
        <v>706</v>
      </c>
      <c r="D199" s="10">
        <f t="shared" si="2"/>
        <v>0</v>
      </c>
      <c r="E199" s="19"/>
      <c r="F199" s="19"/>
      <c r="G199" s="19"/>
      <c r="H199" s="19"/>
      <c r="I199" s="19"/>
      <c r="J199" s="19"/>
      <c r="K199" s="18"/>
      <c r="L199" s="18"/>
      <c r="M199" s="19"/>
      <c r="N199" s="19"/>
      <c r="O199" s="19"/>
      <c r="P199" s="18"/>
      <c r="Q199" s="18"/>
      <c r="R199" s="18"/>
      <c r="S199" s="19"/>
      <c r="T199" s="18"/>
      <c r="U199" s="18"/>
    </row>
    <row r="200" spans="2:21" ht="28.5" x14ac:dyDescent="0.25">
      <c r="B200" s="5" t="s">
        <v>197</v>
      </c>
      <c r="C200" s="7">
        <v>707</v>
      </c>
      <c r="D200" s="10">
        <f t="shared" si="2"/>
        <v>0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spans="2:21" ht="20.25" customHeight="1" x14ac:dyDescent="0.25">
      <c r="B201" s="5" t="s">
        <v>198</v>
      </c>
      <c r="C201" s="7">
        <v>708</v>
      </c>
      <c r="D201" s="10">
        <f t="shared" si="2"/>
        <v>0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spans="2:21" ht="28.5" x14ac:dyDescent="0.25">
      <c r="B202" s="5" t="s">
        <v>199</v>
      </c>
      <c r="C202" s="7">
        <v>709</v>
      </c>
      <c r="D202" s="10">
        <f t="shared" si="2"/>
        <v>0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 spans="2:21" ht="25.5" x14ac:dyDescent="0.25">
      <c r="B203" s="1" t="s">
        <v>200</v>
      </c>
      <c r="C203" s="7">
        <v>710</v>
      </c>
      <c r="D203" s="10">
        <f t="shared" si="2"/>
        <v>0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spans="2:21" ht="25.5" x14ac:dyDescent="0.25">
      <c r="B204" s="1" t="s">
        <v>201</v>
      </c>
      <c r="C204" s="7">
        <v>711</v>
      </c>
      <c r="D204" s="10">
        <f t="shared" ref="D204:D205" si="3">SUM(E204:U204)</f>
        <v>0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spans="2:21" ht="25.5" x14ac:dyDescent="0.25">
      <c r="B205" s="1" t="s">
        <v>202</v>
      </c>
      <c r="C205" s="7">
        <v>712</v>
      </c>
      <c r="D205" s="10">
        <f t="shared" si="3"/>
        <v>0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spans="2:21" x14ac:dyDescent="0.25">
      <c r="B206" s="33" t="s">
        <v>345</v>
      </c>
      <c r="C206" s="16"/>
      <c r="D206" s="16"/>
      <c r="E206" s="16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</row>
    <row r="207" spans="2:21" x14ac:dyDescent="0.25">
      <c r="B207" s="41" t="s">
        <v>204</v>
      </c>
      <c r="C207" s="7">
        <v>190</v>
      </c>
      <c r="D207" s="10">
        <f>SUM(E207:U207)</f>
        <v>0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spans="2:21" x14ac:dyDescent="0.25">
      <c r="B208" s="41" t="s">
        <v>205</v>
      </c>
      <c r="C208" s="7">
        <v>191</v>
      </c>
      <c r="D208" s="10">
        <f t="shared" ref="D208:D271" si="4">SUM(E208:U208)</f>
        <v>0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spans="2:21" x14ac:dyDescent="0.25">
      <c r="B209" s="5" t="s">
        <v>206</v>
      </c>
      <c r="C209" s="7">
        <v>192</v>
      </c>
      <c r="D209" s="10">
        <f t="shared" si="4"/>
        <v>0</v>
      </c>
      <c r="E209" s="10">
        <f>+E205+E151+E152+E147+E148</f>
        <v>0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spans="2:21" x14ac:dyDescent="0.25">
      <c r="B210" s="5" t="s">
        <v>207</v>
      </c>
      <c r="C210" s="7">
        <v>193</v>
      </c>
      <c r="D210" s="10">
        <f t="shared" si="4"/>
        <v>0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spans="2:21" x14ac:dyDescent="0.25">
      <c r="B211" s="5" t="s">
        <v>208</v>
      </c>
      <c r="C211" s="7">
        <v>194</v>
      </c>
      <c r="D211" s="10">
        <f t="shared" si="4"/>
        <v>0</v>
      </c>
      <c r="E211" s="10">
        <f>+E203+E204+E155+E154+E150+E146</f>
        <v>0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spans="2:21" x14ac:dyDescent="0.25">
      <c r="B212" s="5" t="s">
        <v>209</v>
      </c>
      <c r="C212" s="7">
        <v>195</v>
      </c>
      <c r="D212" s="10">
        <f t="shared" si="4"/>
        <v>0</v>
      </c>
      <c r="E212" s="10">
        <f>+E148+E147</f>
        <v>0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spans="2:21" x14ac:dyDescent="0.25">
      <c r="B213" s="5" t="s">
        <v>210</v>
      </c>
      <c r="C213" s="7">
        <v>196</v>
      </c>
      <c r="D213" s="10">
        <f t="shared" si="4"/>
        <v>0</v>
      </c>
      <c r="E213" s="10">
        <f>+E149+E146</f>
        <v>0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spans="2:21" x14ac:dyDescent="0.25">
      <c r="B214" s="5" t="s">
        <v>211</v>
      </c>
      <c r="C214" s="7">
        <v>197</v>
      </c>
      <c r="D214" s="10">
        <f t="shared" si="4"/>
        <v>0</v>
      </c>
      <c r="E214" s="10">
        <f>+E183+E184+E151+E152</f>
        <v>0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spans="2:21" x14ac:dyDescent="0.25">
      <c r="B215" s="5" t="s">
        <v>212</v>
      </c>
      <c r="C215" s="7">
        <v>198</v>
      </c>
      <c r="D215" s="10">
        <f t="shared" si="4"/>
        <v>0</v>
      </c>
      <c r="E215" s="10">
        <f>+E154+E155+E150+E181+E182</f>
        <v>0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spans="2:21" x14ac:dyDescent="0.25">
      <c r="B216" s="41" t="s">
        <v>213</v>
      </c>
      <c r="C216" s="7">
        <v>199</v>
      </c>
      <c r="D216" s="10">
        <f t="shared" si="4"/>
        <v>0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spans="2:21" x14ac:dyDescent="0.25">
      <c r="B217" s="5" t="s">
        <v>214</v>
      </c>
      <c r="C217" s="7">
        <v>200</v>
      </c>
      <c r="D217" s="10">
        <f t="shared" si="4"/>
        <v>0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spans="2:21" x14ac:dyDescent="0.25">
      <c r="B218" s="5" t="s">
        <v>215</v>
      </c>
      <c r="C218" s="7">
        <v>201</v>
      </c>
      <c r="D218" s="10">
        <f t="shared" si="4"/>
        <v>0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spans="2:21" x14ac:dyDescent="0.25">
      <c r="B219" s="5" t="s">
        <v>216</v>
      </c>
      <c r="C219" s="7">
        <v>202</v>
      </c>
      <c r="D219" s="10">
        <f t="shared" si="4"/>
        <v>0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8"/>
      <c r="R219" s="10"/>
      <c r="S219" s="10"/>
      <c r="T219" s="10"/>
      <c r="U219" s="10"/>
    </row>
    <row r="220" spans="2:21" x14ac:dyDescent="0.25">
      <c r="B220" s="5" t="s">
        <v>217</v>
      </c>
      <c r="C220" s="7">
        <v>203</v>
      </c>
      <c r="D220" s="10">
        <f t="shared" si="4"/>
        <v>0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spans="2:21" x14ac:dyDescent="0.25">
      <c r="B221" s="41" t="s">
        <v>218</v>
      </c>
      <c r="C221" s="7">
        <v>204</v>
      </c>
      <c r="D221" s="10">
        <f t="shared" si="4"/>
        <v>0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spans="2:21" x14ac:dyDescent="0.25">
      <c r="B222" s="41" t="s">
        <v>219</v>
      </c>
      <c r="C222" s="7">
        <v>205</v>
      </c>
      <c r="D222" s="10">
        <f t="shared" si="4"/>
        <v>0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spans="2:21" x14ac:dyDescent="0.25">
      <c r="B223" s="41" t="s">
        <v>220</v>
      </c>
      <c r="C223" s="7">
        <v>206</v>
      </c>
      <c r="D223" s="10">
        <f t="shared" si="4"/>
        <v>0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spans="2:21" x14ac:dyDescent="0.25">
      <c r="B224" s="41" t="s">
        <v>221</v>
      </c>
      <c r="C224" s="7">
        <v>207</v>
      </c>
      <c r="D224" s="10">
        <f t="shared" si="4"/>
        <v>0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spans="2:21" x14ac:dyDescent="0.25">
      <c r="B225" s="41" t="s">
        <v>222</v>
      </c>
      <c r="C225" s="7">
        <v>208</v>
      </c>
      <c r="D225" s="10">
        <f t="shared" si="4"/>
        <v>0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spans="2:21" x14ac:dyDescent="0.25">
      <c r="B226" s="41" t="s">
        <v>223</v>
      </c>
      <c r="C226" s="7">
        <v>209</v>
      </c>
      <c r="D226" s="10">
        <f t="shared" si="4"/>
        <v>0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spans="2:21" x14ac:dyDescent="0.25">
      <c r="B227" s="5" t="s">
        <v>224</v>
      </c>
      <c r="C227" s="7">
        <v>210</v>
      </c>
      <c r="D227" s="10">
        <f t="shared" si="4"/>
        <v>0</v>
      </c>
      <c r="E227" s="10">
        <f>+E146+E147+E149</f>
        <v>0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spans="2:21" x14ac:dyDescent="0.25">
      <c r="B228" s="5" t="s">
        <v>225</v>
      </c>
      <c r="C228" s="7">
        <v>211</v>
      </c>
      <c r="D228" s="10">
        <f t="shared" si="4"/>
        <v>0</v>
      </c>
      <c r="E228" s="10">
        <f>+E150+E151+E154+E155</f>
        <v>0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spans="2:21" x14ac:dyDescent="0.25">
      <c r="B229" s="5" t="s">
        <v>226</v>
      </c>
      <c r="C229" s="7">
        <v>212</v>
      </c>
      <c r="D229" s="10">
        <f t="shared" si="4"/>
        <v>0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spans="2:21" x14ac:dyDescent="0.25">
      <c r="B230" s="5" t="s">
        <v>227</v>
      </c>
      <c r="C230" s="7">
        <v>213</v>
      </c>
      <c r="D230" s="10">
        <f t="shared" si="4"/>
        <v>0</v>
      </c>
      <c r="E230" s="10">
        <f>+D186+D187+D188+D189+D190+D191+D192+D193+D194+D195+D196+D197+D198+D199</f>
        <v>0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spans="2:21" x14ac:dyDescent="0.25">
      <c r="B231" s="41" t="s">
        <v>228</v>
      </c>
      <c r="C231" s="7">
        <v>214</v>
      </c>
      <c r="D231" s="10">
        <f t="shared" si="4"/>
        <v>0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spans="2:21" x14ac:dyDescent="0.25">
      <c r="B232" s="41" t="s">
        <v>229</v>
      </c>
      <c r="C232" s="7">
        <v>215</v>
      </c>
      <c r="D232" s="10">
        <f t="shared" si="4"/>
        <v>0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spans="2:21" x14ac:dyDescent="0.25">
      <c r="B233" s="5" t="s">
        <v>230</v>
      </c>
      <c r="C233" s="7">
        <v>216</v>
      </c>
      <c r="D233" s="10">
        <f t="shared" si="4"/>
        <v>0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spans="2:21" x14ac:dyDescent="0.25">
      <c r="B234" s="41" t="s">
        <v>231</v>
      </c>
      <c r="C234" s="7">
        <v>217</v>
      </c>
      <c r="D234" s="10">
        <f t="shared" si="4"/>
        <v>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spans="2:21" x14ac:dyDescent="0.25">
      <c r="B235" s="5" t="s">
        <v>232</v>
      </c>
      <c r="C235" s="7">
        <v>218</v>
      </c>
      <c r="D235" s="10">
        <f t="shared" si="4"/>
        <v>0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spans="2:21" x14ac:dyDescent="0.25">
      <c r="B236" s="5" t="s">
        <v>233</v>
      </c>
      <c r="C236" s="7">
        <v>219</v>
      </c>
      <c r="D236" s="10">
        <f t="shared" si="4"/>
        <v>0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spans="2:21" x14ac:dyDescent="0.25">
      <c r="B237" s="5" t="s">
        <v>234</v>
      </c>
      <c r="C237" s="7">
        <v>220</v>
      </c>
      <c r="D237" s="10">
        <f t="shared" si="4"/>
        <v>0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spans="2:21" x14ac:dyDescent="0.25">
      <c r="B238" s="5" t="s">
        <v>235</v>
      </c>
      <c r="C238" s="7">
        <v>221</v>
      </c>
      <c r="D238" s="10">
        <f t="shared" si="4"/>
        <v>0</v>
      </c>
      <c r="E238" s="10">
        <f>+E196+E197+E198+E199</f>
        <v>0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spans="2:21" x14ac:dyDescent="0.25">
      <c r="B239" s="5" t="s">
        <v>236</v>
      </c>
      <c r="C239" s="7">
        <v>222</v>
      </c>
      <c r="D239" s="10">
        <f t="shared" si="4"/>
        <v>0</v>
      </c>
      <c r="E239" s="10">
        <f>+E238</f>
        <v>0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spans="2:21" x14ac:dyDescent="0.25">
      <c r="B240" s="41" t="s">
        <v>237</v>
      </c>
      <c r="C240" s="7">
        <v>223</v>
      </c>
      <c r="D240" s="10">
        <f t="shared" si="4"/>
        <v>0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spans="2:21" x14ac:dyDescent="0.25">
      <c r="B241" s="41" t="s">
        <v>238</v>
      </c>
      <c r="C241" s="7">
        <v>224</v>
      </c>
      <c r="D241" s="10">
        <f t="shared" si="4"/>
        <v>0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spans="2:21" x14ac:dyDescent="0.25">
      <c r="B242" s="5" t="s">
        <v>239</v>
      </c>
      <c r="C242" s="7">
        <v>225</v>
      </c>
      <c r="D242" s="10">
        <f t="shared" si="4"/>
        <v>0</v>
      </c>
      <c r="E242" s="10">
        <f>+E186+E187+E188+E189+E190</f>
        <v>0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 spans="2:21" x14ac:dyDescent="0.25">
      <c r="B243" s="41" t="s">
        <v>240</v>
      </c>
      <c r="C243" s="7">
        <v>226</v>
      </c>
      <c r="D243" s="10">
        <f t="shared" si="4"/>
        <v>0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spans="2:21" x14ac:dyDescent="0.25">
      <c r="B244" s="5" t="s">
        <v>241</v>
      </c>
      <c r="C244" s="7">
        <v>227</v>
      </c>
      <c r="D244" s="10">
        <f t="shared" si="4"/>
        <v>0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spans="2:21" x14ac:dyDescent="0.25">
      <c r="B245" s="41" t="s">
        <v>242</v>
      </c>
      <c r="C245" s="7">
        <v>228</v>
      </c>
      <c r="D245" s="10">
        <f t="shared" si="4"/>
        <v>0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spans="2:21" x14ac:dyDescent="0.25">
      <c r="B246" s="5" t="s">
        <v>243</v>
      </c>
      <c r="C246" s="7">
        <v>229</v>
      </c>
      <c r="D246" s="10">
        <f t="shared" si="4"/>
        <v>0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spans="2:21" x14ac:dyDescent="0.25">
      <c r="B247" s="41" t="s">
        <v>244</v>
      </c>
      <c r="C247" s="7">
        <v>230</v>
      </c>
      <c r="D247" s="10">
        <f t="shared" si="4"/>
        <v>0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spans="2:21" x14ac:dyDescent="0.25">
      <c r="B248" s="5" t="s">
        <v>245</v>
      </c>
      <c r="C248" s="7">
        <v>231</v>
      </c>
      <c r="D248" s="10">
        <f t="shared" si="4"/>
        <v>0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spans="2:21" x14ac:dyDescent="0.25">
      <c r="B249" s="5" t="s">
        <v>246</v>
      </c>
      <c r="C249" s="7">
        <v>232</v>
      </c>
      <c r="D249" s="10">
        <f t="shared" si="4"/>
        <v>0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spans="2:21" x14ac:dyDescent="0.25">
      <c r="B250" s="41" t="s">
        <v>247</v>
      </c>
      <c r="C250" s="7">
        <v>233</v>
      </c>
      <c r="D250" s="10">
        <f t="shared" si="4"/>
        <v>0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spans="2:21" x14ac:dyDescent="0.25">
      <c r="B251" s="5" t="s">
        <v>248</v>
      </c>
      <c r="C251" s="7">
        <v>234</v>
      </c>
      <c r="D251" s="10">
        <f t="shared" si="4"/>
        <v>0</v>
      </c>
      <c r="E251" s="10">
        <f>+E150+E151</f>
        <v>0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spans="2:21" x14ac:dyDescent="0.25">
      <c r="B252" s="5" t="s">
        <v>249</v>
      </c>
      <c r="C252" s="7">
        <v>235</v>
      </c>
      <c r="D252" s="10">
        <f t="shared" si="4"/>
        <v>0</v>
      </c>
      <c r="E252" s="10">
        <f>+E155+E154</f>
        <v>0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spans="2:21" x14ac:dyDescent="0.25">
      <c r="B253" s="5" t="s">
        <v>250</v>
      </c>
      <c r="C253" s="7">
        <v>236</v>
      </c>
      <c r="D253" s="10">
        <f t="shared" si="4"/>
        <v>0</v>
      </c>
      <c r="E253" s="10">
        <f>+E148</f>
        <v>0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spans="2:21" x14ac:dyDescent="0.25">
      <c r="B254" s="5" t="s">
        <v>251</v>
      </c>
      <c r="C254" s="7">
        <v>237</v>
      </c>
      <c r="D254" s="10">
        <f t="shared" si="4"/>
        <v>0</v>
      </c>
      <c r="E254" s="10">
        <f>+E149+E147+E146</f>
        <v>0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spans="2:21" x14ac:dyDescent="0.25">
      <c r="B255" s="41" t="s">
        <v>252</v>
      </c>
      <c r="C255" s="7">
        <v>238</v>
      </c>
      <c r="D255" s="10">
        <f t="shared" si="4"/>
        <v>0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spans="2:21" x14ac:dyDescent="0.25">
      <c r="B256" s="41" t="s">
        <v>253</v>
      </c>
      <c r="C256" s="7">
        <v>239</v>
      </c>
      <c r="D256" s="10">
        <f t="shared" si="4"/>
        <v>0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spans="2:21" x14ac:dyDescent="0.25">
      <c r="B257" s="41" t="s">
        <v>254</v>
      </c>
      <c r="C257" s="7">
        <v>240</v>
      </c>
      <c r="D257" s="10">
        <f t="shared" si="4"/>
        <v>0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spans="2:21" x14ac:dyDescent="0.25">
      <c r="B258" s="5" t="s">
        <v>255</v>
      </c>
      <c r="C258" s="7">
        <v>241</v>
      </c>
      <c r="D258" s="10">
        <f>SUM(E258:U258)+SUM(E258:U258)*0.05</f>
        <v>0</v>
      </c>
      <c r="E258" s="10">
        <f>+E83</f>
        <v>0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spans="2:21" x14ac:dyDescent="0.25">
      <c r="B259" s="5" t="s">
        <v>256</v>
      </c>
      <c r="C259" s="7">
        <v>242</v>
      </c>
      <c r="D259" s="25">
        <f>SUM(E259:U259)+SUM(E259:U259)*0.05</f>
        <v>0</v>
      </c>
      <c r="E259" s="10">
        <f>+E28+E29</f>
        <v>0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spans="2:21" x14ac:dyDescent="0.25">
      <c r="B260" s="5" t="s">
        <v>257</v>
      </c>
      <c r="C260" s="7">
        <v>243</v>
      </c>
      <c r="D260" s="10">
        <f t="shared" si="4"/>
        <v>0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spans="2:21" x14ac:dyDescent="0.25">
      <c r="B261" s="5" t="s">
        <v>258</v>
      </c>
      <c r="C261" s="7">
        <v>244</v>
      </c>
      <c r="D261" s="10">
        <f t="shared" si="4"/>
        <v>0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spans="2:21" x14ac:dyDescent="0.25">
      <c r="B262" s="5" t="s">
        <v>259</v>
      </c>
      <c r="C262" s="7">
        <v>245</v>
      </c>
      <c r="D262" s="10">
        <f t="shared" si="4"/>
        <v>0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spans="2:21" x14ac:dyDescent="0.25">
      <c r="B263" s="5" t="s">
        <v>260</v>
      </c>
      <c r="C263" s="7">
        <v>246</v>
      </c>
      <c r="D263" s="25">
        <f>SUM(E263:U263)+SUM(E263:U263)*0.05</f>
        <v>0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spans="2:21" x14ac:dyDescent="0.25">
      <c r="B264" s="5" t="s">
        <v>261</v>
      </c>
      <c r="C264" s="7">
        <v>247</v>
      </c>
      <c r="D264" s="10">
        <f t="shared" si="4"/>
        <v>0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spans="2:21" x14ac:dyDescent="0.25">
      <c r="B265" s="5" t="s">
        <v>262</v>
      </c>
      <c r="C265" s="7">
        <v>248</v>
      </c>
      <c r="D265" s="10">
        <f t="shared" si="4"/>
        <v>0</v>
      </c>
      <c r="E265" s="10">
        <f>+E17+E18+E19</f>
        <v>0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spans="2:21" x14ac:dyDescent="0.25">
      <c r="B266" s="5" t="s">
        <v>263</v>
      </c>
      <c r="C266" s="7">
        <v>249</v>
      </c>
      <c r="D266" s="10">
        <f t="shared" si="4"/>
        <v>0</v>
      </c>
      <c r="E266" s="10">
        <f>+E179</f>
        <v>0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spans="2:21" x14ac:dyDescent="0.25">
      <c r="B267" s="5" t="s">
        <v>264</v>
      </c>
      <c r="C267" s="7">
        <v>250</v>
      </c>
      <c r="D267" s="10">
        <f t="shared" si="4"/>
        <v>0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spans="2:21" x14ac:dyDescent="0.25">
      <c r="B268" s="5" t="s">
        <v>265</v>
      </c>
      <c r="C268" s="7">
        <v>251</v>
      </c>
      <c r="D268" s="10">
        <f t="shared" si="4"/>
        <v>0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spans="2:21" x14ac:dyDescent="0.25">
      <c r="B269" s="5" t="s">
        <v>266</v>
      </c>
      <c r="C269" s="7">
        <v>252</v>
      </c>
      <c r="D269" s="10">
        <f t="shared" si="4"/>
        <v>0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spans="2:21" x14ac:dyDescent="0.25">
      <c r="B270" s="41" t="s">
        <v>267</v>
      </c>
      <c r="C270" s="7">
        <v>253</v>
      </c>
      <c r="D270" s="10">
        <f t="shared" si="4"/>
        <v>0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spans="2:21" x14ac:dyDescent="0.25">
      <c r="B271" s="5" t="s">
        <v>268</v>
      </c>
      <c r="C271" s="7">
        <v>254</v>
      </c>
      <c r="D271" s="10">
        <f t="shared" si="4"/>
        <v>0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spans="2:21" x14ac:dyDescent="0.25">
      <c r="B272" s="5" t="s">
        <v>269</v>
      </c>
      <c r="C272" s="7">
        <v>255</v>
      </c>
      <c r="D272" s="10">
        <f t="shared" ref="D272:D335" si="5">SUM(E272:U272)</f>
        <v>0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spans="2:21" x14ac:dyDescent="0.25">
      <c r="B273" s="5" t="s">
        <v>270</v>
      </c>
      <c r="C273" s="7">
        <v>256</v>
      </c>
      <c r="D273" s="10">
        <f t="shared" si="5"/>
        <v>0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spans="2:21" x14ac:dyDescent="0.25">
      <c r="B274" s="5" t="s">
        <v>271</v>
      </c>
      <c r="C274" s="7">
        <v>257</v>
      </c>
      <c r="D274" s="10">
        <f t="shared" si="5"/>
        <v>0</v>
      </c>
      <c r="E274" s="10">
        <f>+E124+E125+E126+E127</f>
        <v>0</v>
      </c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spans="2:21" x14ac:dyDescent="0.25">
      <c r="B275" s="41" t="s">
        <v>272</v>
      </c>
      <c r="C275" s="7">
        <v>258</v>
      </c>
      <c r="D275" s="10">
        <f t="shared" si="5"/>
        <v>0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spans="2:21" x14ac:dyDescent="0.25">
      <c r="B276" s="5" t="s">
        <v>273</v>
      </c>
      <c r="C276" s="7">
        <v>259</v>
      </c>
      <c r="D276" s="10">
        <f t="shared" si="5"/>
        <v>0</v>
      </c>
      <c r="E276" s="10">
        <f>+E196+E197+E198+E199</f>
        <v>0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spans="2:21" x14ac:dyDescent="0.25">
      <c r="B277" s="41" t="s">
        <v>274</v>
      </c>
      <c r="C277" s="7">
        <v>260</v>
      </c>
      <c r="D277" s="10">
        <f t="shared" si="5"/>
        <v>0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spans="2:21" x14ac:dyDescent="0.25">
      <c r="B278" s="41" t="s">
        <v>275</v>
      </c>
      <c r="C278" s="7">
        <v>261</v>
      </c>
      <c r="D278" s="10">
        <f t="shared" si="5"/>
        <v>0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spans="2:21" x14ac:dyDescent="0.25">
      <c r="B279" s="5" t="s">
        <v>276</v>
      </c>
      <c r="C279" s="7">
        <v>262</v>
      </c>
      <c r="D279" s="10">
        <f t="shared" si="5"/>
        <v>0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spans="2:21" x14ac:dyDescent="0.25">
      <c r="B280" s="5" t="s">
        <v>277</v>
      </c>
      <c r="C280" s="7">
        <v>263</v>
      </c>
      <c r="D280" s="10">
        <f t="shared" si="5"/>
        <v>0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spans="2:21" x14ac:dyDescent="0.25">
      <c r="B281" s="5" t="s">
        <v>278</v>
      </c>
      <c r="C281" s="7">
        <v>264</v>
      </c>
      <c r="D281" s="10">
        <f t="shared" si="5"/>
        <v>0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spans="2:21" x14ac:dyDescent="0.25">
      <c r="B282" s="5" t="s">
        <v>279</v>
      </c>
      <c r="C282" s="7">
        <v>265</v>
      </c>
      <c r="D282" s="10">
        <f t="shared" si="5"/>
        <v>0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spans="2:21" x14ac:dyDescent="0.25">
      <c r="B283" s="5" t="s">
        <v>280</v>
      </c>
      <c r="C283" s="7">
        <v>266</v>
      </c>
      <c r="D283" s="10">
        <f t="shared" si="5"/>
        <v>0</v>
      </c>
      <c r="E283" s="10">
        <f>+E136</f>
        <v>0</v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spans="2:21" x14ac:dyDescent="0.25">
      <c r="B284" s="5" t="s">
        <v>281</v>
      </c>
      <c r="C284" s="7">
        <v>267</v>
      </c>
      <c r="D284" s="10">
        <f t="shared" si="5"/>
        <v>0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spans="2:21" x14ac:dyDescent="0.25">
      <c r="B285" s="5" t="s">
        <v>282</v>
      </c>
      <c r="C285" s="7">
        <v>268</v>
      </c>
      <c r="D285" s="10">
        <f t="shared" si="5"/>
        <v>0</v>
      </c>
      <c r="E285" s="10">
        <f>+E186+E187+E188+E189+E190</f>
        <v>0</v>
      </c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spans="2:21" x14ac:dyDescent="0.25">
      <c r="B286" s="5" t="s">
        <v>283</v>
      </c>
      <c r="C286" s="7">
        <v>269</v>
      </c>
      <c r="D286" s="10">
        <f t="shared" si="5"/>
        <v>0</v>
      </c>
      <c r="E286" s="10">
        <f>+E191+E192+E193+E194+E195</f>
        <v>0</v>
      </c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spans="2:21" x14ac:dyDescent="0.25">
      <c r="B287" s="5" t="s">
        <v>284</v>
      </c>
      <c r="C287" s="7">
        <v>270</v>
      </c>
      <c r="D287" s="10">
        <f t="shared" si="5"/>
        <v>0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spans="2:21" x14ac:dyDescent="0.25">
      <c r="B288" s="5" t="s">
        <v>285</v>
      </c>
      <c r="C288" s="7">
        <v>271</v>
      </c>
      <c r="D288" s="10">
        <f t="shared" si="5"/>
        <v>0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spans="2:21" x14ac:dyDescent="0.25">
      <c r="B289" s="41" t="s">
        <v>286</v>
      </c>
      <c r="C289" s="7">
        <v>272</v>
      </c>
      <c r="D289" s="10">
        <f t="shared" si="5"/>
        <v>0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spans="2:21" x14ac:dyDescent="0.25">
      <c r="B290" s="41" t="s">
        <v>287</v>
      </c>
      <c r="C290" s="7">
        <v>273</v>
      </c>
      <c r="D290" s="10">
        <f t="shared" si="5"/>
        <v>0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spans="2:21" x14ac:dyDescent="0.25">
      <c r="B291" s="5" t="s">
        <v>288</v>
      </c>
      <c r="C291" s="7">
        <v>274</v>
      </c>
      <c r="D291" s="10">
        <f t="shared" si="5"/>
        <v>0</v>
      </c>
      <c r="E291" s="10">
        <f>+E163</f>
        <v>0</v>
      </c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spans="2:21" x14ac:dyDescent="0.25">
      <c r="B292" s="41" t="s">
        <v>289</v>
      </c>
      <c r="C292" s="7">
        <v>275</v>
      </c>
      <c r="D292" s="10">
        <f t="shared" si="5"/>
        <v>0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spans="2:21" x14ac:dyDescent="0.25">
      <c r="B293" s="41" t="s">
        <v>290</v>
      </c>
      <c r="C293" s="7">
        <v>276</v>
      </c>
      <c r="D293" s="10">
        <f t="shared" si="5"/>
        <v>0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spans="2:21" x14ac:dyDescent="0.25">
      <c r="B294" s="41" t="s">
        <v>291</v>
      </c>
      <c r="C294" s="7">
        <v>277</v>
      </c>
      <c r="D294" s="10">
        <f t="shared" si="5"/>
        <v>0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spans="2:21" x14ac:dyDescent="0.25">
      <c r="B295" s="5" t="s">
        <v>292</v>
      </c>
      <c r="C295" s="7">
        <v>278</v>
      </c>
      <c r="D295" s="10">
        <f t="shared" si="5"/>
        <v>0</v>
      </c>
      <c r="E295" s="10">
        <f>+E203+E204+E205+E181+E182+E183+E184+E185+E155+E154+E153+E152+E151+E150+E149+E148+E147+E146</f>
        <v>0</v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spans="2:21" x14ac:dyDescent="0.25">
      <c r="B296" s="5" t="s">
        <v>293</v>
      </c>
      <c r="C296" s="7">
        <v>279</v>
      </c>
      <c r="D296" s="10">
        <f t="shared" si="5"/>
        <v>0</v>
      </c>
      <c r="E296" s="10">
        <f>+E297</f>
        <v>0</v>
      </c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spans="2:21" x14ac:dyDescent="0.25">
      <c r="B297" s="5" t="s">
        <v>294</v>
      </c>
      <c r="C297" s="7">
        <v>280</v>
      </c>
      <c r="D297" s="10">
        <f t="shared" si="5"/>
        <v>0</v>
      </c>
      <c r="E297" s="10">
        <f>+E163</f>
        <v>0</v>
      </c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spans="2:21" x14ac:dyDescent="0.25">
      <c r="B298" s="5" t="s">
        <v>295</v>
      </c>
      <c r="C298" s="7">
        <v>281</v>
      </c>
      <c r="D298" s="10">
        <f t="shared" si="5"/>
        <v>0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spans="2:21" x14ac:dyDescent="0.25">
      <c r="B299" s="41" t="s">
        <v>296</v>
      </c>
      <c r="C299" s="7">
        <v>282</v>
      </c>
      <c r="D299" s="10">
        <f t="shared" si="5"/>
        <v>0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spans="2:21" x14ac:dyDescent="0.25">
      <c r="B300" s="41" t="s">
        <v>297</v>
      </c>
      <c r="C300" s="7">
        <v>283</v>
      </c>
      <c r="D300" s="10">
        <f t="shared" si="5"/>
        <v>0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spans="2:21" x14ac:dyDescent="0.25">
      <c r="B301" s="41" t="s">
        <v>298</v>
      </c>
      <c r="C301" s="7">
        <v>284</v>
      </c>
      <c r="D301" s="10">
        <f t="shared" si="5"/>
        <v>0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spans="2:21" x14ac:dyDescent="0.25">
      <c r="B302" s="5" t="s">
        <v>299</v>
      </c>
      <c r="C302" s="7">
        <v>285</v>
      </c>
      <c r="D302" s="10">
        <f t="shared" si="5"/>
        <v>0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spans="2:21" x14ac:dyDescent="0.25">
      <c r="B303" s="41" t="s">
        <v>300</v>
      </c>
      <c r="C303" s="7">
        <v>286</v>
      </c>
      <c r="D303" s="10">
        <f t="shared" si="5"/>
        <v>0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spans="2:21" x14ac:dyDescent="0.25">
      <c r="B304" s="5" t="s">
        <v>301</v>
      </c>
      <c r="C304" s="7">
        <v>287</v>
      </c>
      <c r="D304" s="10">
        <f t="shared" si="5"/>
        <v>0</v>
      </c>
      <c r="E304" s="10">
        <f>+E239+E242+E285+E286</f>
        <v>0</v>
      </c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spans="2:21" x14ac:dyDescent="0.25">
      <c r="B305" s="5" t="s">
        <v>302</v>
      </c>
      <c r="C305" s="7">
        <v>288</v>
      </c>
      <c r="D305" s="10">
        <f t="shared" si="5"/>
        <v>0</v>
      </c>
      <c r="E305" s="10">
        <f>+E147</f>
        <v>0</v>
      </c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spans="2:21" x14ac:dyDescent="0.25">
      <c r="B306" s="41" t="s">
        <v>303</v>
      </c>
      <c r="C306" s="7">
        <v>289</v>
      </c>
      <c r="D306" s="10">
        <f t="shared" si="5"/>
        <v>0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spans="2:21" x14ac:dyDescent="0.25">
      <c r="B307" s="5" t="s">
        <v>304</v>
      </c>
      <c r="C307" s="7">
        <v>290</v>
      </c>
      <c r="D307" s="10">
        <f t="shared" si="5"/>
        <v>0</v>
      </c>
      <c r="E307" s="10">
        <f>+E181+E182+E183</f>
        <v>0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spans="2:21" x14ac:dyDescent="0.25">
      <c r="B308" s="5" t="s">
        <v>305</v>
      </c>
      <c r="C308" s="7">
        <v>291</v>
      </c>
      <c r="D308" s="10">
        <f t="shared" si="5"/>
        <v>0</v>
      </c>
      <c r="E308" s="10">
        <f>+E11+E12+E13+E14+E15+E16+E17+E18+E19+E20+E21+E22+E23+E24+E25</f>
        <v>0</v>
      </c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spans="2:21" x14ac:dyDescent="0.25">
      <c r="B309" s="5" t="s">
        <v>306</v>
      </c>
      <c r="C309" s="7">
        <v>292</v>
      </c>
      <c r="D309" s="10">
        <f t="shared" si="5"/>
        <v>0</v>
      </c>
      <c r="E309" s="10">
        <f>+E69+E70+E72+E71</f>
        <v>0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spans="2:21" x14ac:dyDescent="0.25">
      <c r="B310" s="5" t="s">
        <v>307</v>
      </c>
      <c r="C310" s="7">
        <v>293</v>
      </c>
      <c r="D310" s="10">
        <f t="shared" si="5"/>
        <v>0</v>
      </c>
      <c r="E310" s="10">
        <f>+E69</f>
        <v>0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spans="2:21" x14ac:dyDescent="0.25">
      <c r="B311" s="5" t="s">
        <v>308</v>
      </c>
      <c r="C311" s="7">
        <v>294</v>
      </c>
      <c r="D311" s="10">
        <f t="shared" si="5"/>
        <v>0</v>
      </c>
      <c r="E311" s="10">
        <f>+E235+E258+E259+E262+E261+E260+E263</f>
        <v>0</v>
      </c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spans="2:21" x14ac:dyDescent="0.25">
      <c r="B312" s="5" t="s">
        <v>309</v>
      </c>
      <c r="C312" s="7">
        <v>295</v>
      </c>
      <c r="D312" s="10">
        <f t="shared" si="5"/>
        <v>0</v>
      </c>
      <c r="E312" s="10">
        <f>+E116</f>
        <v>0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spans="2:21" x14ac:dyDescent="0.25">
      <c r="B313" s="5" t="s">
        <v>310</v>
      </c>
      <c r="C313" s="7">
        <v>296</v>
      </c>
      <c r="D313" s="10">
        <f t="shared" si="5"/>
        <v>0</v>
      </c>
      <c r="E313" s="10">
        <f>+E30</f>
        <v>0</v>
      </c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spans="2:21" x14ac:dyDescent="0.25">
      <c r="B314" s="41" t="s">
        <v>311</v>
      </c>
      <c r="C314" s="7">
        <v>297</v>
      </c>
      <c r="D314" s="10">
        <f t="shared" si="5"/>
        <v>0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spans="2:21" x14ac:dyDescent="0.25">
      <c r="B315" s="5" t="s">
        <v>312</v>
      </c>
      <c r="C315" s="7">
        <v>298</v>
      </c>
      <c r="D315" s="10">
        <f t="shared" si="5"/>
        <v>0</v>
      </c>
      <c r="E315" s="10">
        <f>+E148</f>
        <v>0</v>
      </c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spans="2:21" x14ac:dyDescent="0.25">
      <c r="B316" s="5" t="s">
        <v>313</v>
      </c>
      <c r="C316" s="7">
        <v>299</v>
      </c>
      <c r="D316" s="10">
        <f t="shared" si="5"/>
        <v>0</v>
      </c>
      <c r="E316" s="10">
        <f>+E315</f>
        <v>0</v>
      </c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spans="2:21" x14ac:dyDescent="0.25">
      <c r="B317" s="5" t="s">
        <v>314</v>
      </c>
      <c r="C317" s="7">
        <v>300</v>
      </c>
      <c r="D317" s="10">
        <f t="shared" si="5"/>
        <v>0</v>
      </c>
      <c r="E317" s="10">
        <f>+E284+E297</f>
        <v>0</v>
      </c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spans="2:21" x14ac:dyDescent="0.25">
      <c r="B318" s="5" t="s">
        <v>315</v>
      </c>
      <c r="C318" s="7">
        <v>301</v>
      </c>
      <c r="D318" s="10">
        <f t="shared" si="5"/>
        <v>0</v>
      </c>
      <c r="E318" s="10">
        <f>+E141+E142</f>
        <v>0</v>
      </c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spans="2:21" x14ac:dyDescent="0.25">
      <c r="B319" s="5" t="s">
        <v>316</v>
      </c>
      <c r="C319" s="7">
        <v>318</v>
      </c>
      <c r="D319" s="10">
        <f t="shared" si="5"/>
        <v>0</v>
      </c>
      <c r="E319" s="42">
        <f>+E165+E166+E167+E168+E169+E170+E171+E172+E173+E174</f>
        <v>0</v>
      </c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spans="2:21" x14ac:dyDescent="0.25">
      <c r="B320" s="5" t="s">
        <v>317</v>
      </c>
      <c r="C320" s="7">
        <v>319</v>
      </c>
      <c r="D320" s="10">
        <f t="shared" si="5"/>
        <v>0</v>
      </c>
      <c r="E320" s="10">
        <f>+E179+E136</f>
        <v>0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spans="2:21" x14ac:dyDescent="0.25">
      <c r="B321" s="5" t="s">
        <v>318</v>
      </c>
      <c r="C321" s="7">
        <v>320</v>
      </c>
      <c r="D321" s="10">
        <f t="shared" si="5"/>
        <v>0</v>
      </c>
      <c r="E321" s="10">
        <f>+E142+E143</f>
        <v>0</v>
      </c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spans="2:21" x14ac:dyDescent="0.25">
      <c r="B322" s="41" t="s">
        <v>319</v>
      </c>
      <c r="C322" s="7">
        <v>321</v>
      </c>
      <c r="D322" s="10">
        <f t="shared" si="5"/>
        <v>0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spans="2:21" x14ac:dyDescent="0.25">
      <c r="B323" s="5" t="s">
        <v>320</v>
      </c>
      <c r="C323" s="7">
        <v>322</v>
      </c>
      <c r="D323" s="10">
        <f t="shared" si="5"/>
        <v>0</v>
      </c>
      <c r="E323" s="10">
        <f>+E116</f>
        <v>0</v>
      </c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spans="2:21" x14ac:dyDescent="0.25">
      <c r="B324" s="5" t="s">
        <v>321</v>
      </c>
      <c r="C324" s="7">
        <v>323</v>
      </c>
      <c r="D324" s="10">
        <f t="shared" si="5"/>
        <v>0</v>
      </c>
      <c r="E324" s="10">
        <f>+E82</f>
        <v>0</v>
      </c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spans="2:21" x14ac:dyDescent="0.25">
      <c r="B325" s="5" t="s">
        <v>322</v>
      </c>
      <c r="C325" s="7">
        <v>324</v>
      </c>
      <c r="D325" s="10">
        <f>SUM(E325:U325)</f>
        <v>0</v>
      </c>
      <c r="E325" s="10">
        <f>+E81</f>
        <v>0</v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spans="2:21" x14ac:dyDescent="0.25">
      <c r="B326" s="5" t="s">
        <v>323</v>
      </c>
      <c r="C326" s="7">
        <v>325</v>
      </c>
      <c r="D326" s="10">
        <f>SUM(E326:U326)</f>
        <v>0</v>
      </c>
      <c r="E326" s="14">
        <f>+E80</f>
        <v>0</v>
      </c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spans="2:21" x14ac:dyDescent="0.25">
      <c r="B327" s="41" t="s">
        <v>252</v>
      </c>
      <c r="C327" s="7">
        <v>326</v>
      </c>
      <c r="D327" s="10">
        <f t="shared" si="5"/>
        <v>0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spans="2:21" x14ac:dyDescent="0.25">
      <c r="B328" s="41" t="s">
        <v>324</v>
      </c>
      <c r="C328" s="7">
        <v>327</v>
      </c>
      <c r="D328" s="10">
        <f t="shared" si="5"/>
        <v>0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spans="2:21" x14ac:dyDescent="0.25">
      <c r="B329" s="41" t="s">
        <v>325</v>
      </c>
      <c r="C329" s="7">
        <v>328</v>
      </c>
      <c r="D329" s="10">
        <f t="shared" si="5"/>
        <v>0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spans="2:21" x14ac:dyDescent="0.25">
      <c r="B330" s="41" t="s">
        <v>326</v>
      </c>
      <c r="C330" s="7">
        <v>313</v>
      </c>
      <c r="D330" s="10">
        <f t="shared" si="5"/>
        <v>0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spans="2:21" x14ac:dyDescent="0.25">
      <c r="B331" s="41" t="s">
        <v>327</v>
      </c>
      <c r="C331" s="7">
        <v>314</v>
      </c>
      <c r="D331" s="10">
        <f t="shared" si="5"/>
        <v>0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spans="2:21" x14ac:dyDescent="0.25">
      <c r="B332" s="5" t="s">
        <v>328</v>
      </c>
      <c r="C332" s="7">
        <v>315</v>
      </c>
      <c r="D332" s="10">
        <f t="shared" si="5"/>
        <v>0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spans="2:21" x14ac:dyDescent="0.25">
      <c r="B333" s="5" t="s">
        <v>329</v>
      </c>
      <c r="C333" s="7">
        <v>316</v>
      </c>
      <c r="D333" s="10">
        <f t="shared" si="5"/>
        <v>0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spans="2:21" x14ac:dyDescent="0.25">
      <c r="B334" s="5" t="s">
        <v>330</v>
      </c>
      <c r="C334" s="7">
        <v>317</v>
      </c>
      <c r="D334" s="10">
        <f t="shared" si="5"/>
        <v>0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spans="2:21" ht="28.5" x14ac:dyDescent="0.25">
      <c r="B335" s="5" t="s">
        <v>331</v>
      </c>
      <c r="C335" s="7">
        <v>318</v>
      </c>
      <c r="D335" s="10">
        <f t="shared" si="5"/>
        <v>0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spans="2:21" ht="57" x14ac:dyDescent="0.25">
      <c r="B336" s="41" t="s">
        <v>332</v>
      </c>
      <c r="C336" s="7">
        <v>319</v>
      </c>
      <c r="D336" s="10">
        <f t="shared" ref="D336" si="6">SUM(E336:U336)</f>
        <v>0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9" spans="2:2" ht="45" x14ac:dyDescent="0.25">
      <c r="B339" s="6" t="s">
        <v>347</v>
      </c>
    </row>
  </sheetData>
  <autoFilter ref="B10:U336" xr:uid="{9D3EF488-ABA7-4047-A753-0ACB502A97FA}"/>
  <mergeCells count="2">
    <mergeCell ref="C3:C4"/>
    <mergeCell ref="D3:D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9958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Garcia</dc:creator>
  <cp:lastModifiedBy>Luna Garcia</cp:lastModifiedBy>
  <dcterms:created xsi:type="dcterms:W3CDTF">2026-08-03T17:17:01Z</dcterms:created>
  <dcterms:modified xsi:type="dcterms:W3CDTF">2026-09-11T21:04:34Z</dcterms:modified>
</cp:coreProperties>
</file>