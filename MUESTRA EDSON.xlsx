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odeg\Downloads\"/>
    </mc:Choice>
  </mc:AlternateContent>
  <xr:revisionPtr revIDLastSave="0" documentId="13_ncr:1_{A6125913-0344-490A-AD73-A0D39868CD3A}" xr6:coauthVersionLast="47" xr6:coauthVersionMax="47" xr10:uidLastSave="{00000000-0000-0000-0000-000000000000}"/>
  <bookViews>
    <workbookView xWindow="-120" yWindow="-120" windowWidth="20730" windowHeight="11040" activeTab="1" xr2:uid="{567A04B7-B92B-484C-B6E9-F5768803E3F3}"/>
  </bookViews>
  <sheets>
    <sheet name="BASE" sheetId="1" r:id="rId1"/>
    <sheet name="Hoja2" sheetId="11" r:id="rId2"/>
    <sheet name="villa del prado" sheetId="8" r:id="rId3"/>
    <sheet name="siloe" sheetId="9" r:id="rId4"/>
    <sheet name="pizamos" sheetId="10" r:id="rId5"/>
    <sheet name="balance" sheetId="7" r:id="rId6"/>
    <sheet name="Hoja1" sheetId="3" state="hidden" r:id="rId7"/>
    <sheet name="MATERIALES" sheetId="2" r:id="rId8"/>
  </sheets>
  <definedNames>
    <definedName name="_xlnm._FilterDatabase" localSheetId="0" hidden="1">BASE!#REF!</definedName>
    <definedName name="_xlnm._FilterDatabase" localSheetId="4" hidden="1">pizamos!#REF!</definedName>
    <definedName name="_xlnm._FilterDatabase" localSheetId="3" hidden="1">siloe!#REF!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89" i="1" l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B178" i="3"/>
  <c r="E60" i="7"/>
  <c r="C2153" i="1" l="1"/>
  <c r="C2154" i="1"/>
  <c r="C2155" i="1"/>
  <c r="C2156" i="1"/>
  <c r="C2157" i="1"/>
  <c r="C2158" i="1"/>
  <c r="C2159" i="1"/>
  <c r="C920" i="1" l="1"/>
  <c r="C987" i="1"/>
  <c r="C391" i="1" l="1"/>
  <c r="E7" i="9" l="1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6" i="9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7" i="8"/>
  <c r="C2149" i="1"/>
  <c r="L6" i="7" l="1"/>
  <c r="L7" i="7"/>
  <c r="L8" i="7"/>
  <c r="L9" i="7"/>
  <c r="L10" i="7"/>
  <c r="L11" i="7"/>
  <c r="L12" i="7"/>
  <c r="L13" i="7"/>
  <c r="L15" i="7"/>
  <c r="L16" i="7"/>
  <c r="L17" i="7"/>
  <c r="L18" i="7"/>
  <c r="L19" i="7"/>
  <c r="L20" i="7"/>
  <c r="L21" i="7"/>
  <c r="L22" i="7"/>
  <c r="L23" i="7"/>
  <c r="L24" i="7"/>
  <c r="L25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50" i="7"/>
  <c r="L51" i="7"/>
  <c r="L52" i="7"/>
  <c r="L53" i="7"/>
  <c r="L54" i="7"/>
  <c r="L55" i="7"/>
  <c r="L56" i="7"/>
  <c r="L5" i="7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6" i="10"/>
  <c r="C2148" i="1"/>
  <c r="L14" i="7"/>
  <c r="C2146" i="1"/>
  <c r="C2147" i="1"/>
  <c r="C2145" i="1"/>
  <c r="L49" i="7" l="1"/>
  <c r="L26" i="7"/>
  <c r="C2144" i="1"/>
  <c r="C2143" i="1"/>
  <c r="C2142" i="1"/>
  <c r="C2141" i="1"/>
  <c r="C2140" i="1"/>
  <c r="C2139" i="1" l="1"/>
  <c r="C2138" i="1"/>
  <c r="C2137" i="1"/>
  <c r="C2136" i="1" l="1"/>
  <c r="D8" i="1"/>
  <c r="C2135" i="1"/>
  <c r="C96" i="1"/>
  <c r="C2134" i="1"/>
  <c r="C2133" i="1"/>
  <c r="C2132" i="1"/>
  <c r="C2131" i="1"/>
  <c r="C2130" i="1"/>
  <c r="C2129" i="1"/>
  <c r="C2126" i="1"/>
  <c r="C2127" i="1"/>
  <c r="C2128" i="1"/>
  <c r="C2120" i="1"/>
  <c r="C2121" i="1"/>
  <c r="C2122" i="1"/>
  <c r="C2123" i="1"/>
  <c r="C2124" i="1"/>
  <c r="C2125" i="1"/>
  <c r="C2119" i="1"/>
  <c r="C2118" i="1"/>
  <c r="C2113" i="1"/>
  <c r="C2114" i="1"/>
  <c r="C2115" i="1"/>
  <c r="C2116" i="1"/>
  <c r="C2117" i="1"/>
  <c r="C2112" i="1"/>
  <c r="C2111" i="1"/>
  <c r="C2103" i="1"/>
  <c r="C2104" i="1"/>
  <c r="C2105" i="1"/>
  <c r="C2106" i="1"/>
  <c r="C2107" i="1"/>
  <c r="C2108" i="1"/>
  <c r="C2109" i="1"/>
  <c r="C2110" i="1"/>
  <c r="C2102" i="1"/>
  <c r="C2101" i="1"/>
  <c r="C2092" i="1"/>
  <c r="C2093" i="1"/>
  <c r="C2094" i="1"/>
  <c r="C2095" i="1"/>
  <c r="C2096" i="1"/>
  <c r="C2097" i="1"/>
  <c r="C2098" i="1"/>
  <c r="C2099" i="1"/>
  <c r="C2100" i="1"/>
  <c r="C2091" i="1"/>
  <c r="C2090" i="1"/>
  <c r="C2089" i="1"/>
  <c r="C2088" i="1"/>
  <c r="C2087" i="1"/>
  <c r="C2086" i="1"/>
  <c r="C2081" i="1"/>
  <c r="C2082" i="1"/>
  <c r="C2083" i="1"/>
  <c r="C2084" i="1"/>
  <c r="C2085" i="1"/>
  <c r="C2080" i="1"/>
  <c r="C2079" i="1"/>
  <c r="C2078" i="1"/>
  <c r="C2077" i="1"/>
  <c r="C2076" i="1"/>
  <c r="C2075" i="1" l="1"/>
  <c r="C2074" i="1"/>
  <c r="C2073" i="1"/>
  <c r="C2072" i="1"/>
  <c r="C2071" i="1"/>
  <c r="C2070" i="1"/>
  <c r="C2069" i="1"/>
  <c r="C2067" i="1"/>
  <c r="C2068" i="1"/>
  <c r="C2057" i="1"/>
  <c r="C2058" i="1"/>
  <c r="C2059" i="1"/>
  <c r="C2060" i="1"/>
  <c r="C2061" i="1"/>
  <c r="C2062" i="1"/>
  <c r="C2063" i="1"/>
  <c r="C2064" i="1"/>
  <c r="C2065" i="1"/>
  <c r="C2066" i="1"/>
  <c r="C2055" i="1"/>
  <c r="C2056" i="1"/>
  <c r="C2054" i="1"/>
  <c r="C2052" i="1"/>
  <c r="C2053" i="1"/>
  <c r="C2051" i="1"/>
  <c r="C2050" i="1"/>
  <c r="C2049" i="1"/>
  <c r="C2048" i="1"/>
  <c r="C2047" i="1"/>
  <c r="C2046" i="1"/>
  <c r="C1438" i="1"/>
  <c r="C1868" i="1"/>
  <c r="C1531" i="1"/>
  <c r="C1866" i="1"/>
  <c r="C1746" i="1"/>
  <c r="C2033" i="1"/>
  <c r="C2151" i="1"/>
  <c r="C1436" i="1"/>
  <c r="C1058" i="1"/>
  <c r="C1434" i="1"/>
  <c r="C1425" i="1"/>
  <c r="C2031" i="1"/>
  <c r="C2043" i="1"/>
  <c r="C1864" i="1"/>
  <c r="C2041" i="1"/>
  <c r="C2037" i="1"/>
  <c r="C2029" i="1"/>
  <c r="C2028" i="1"/>
  <c r="C2022" i="1"/>
  <c r="C2023" i="1"/>
  <c r="C2024" i="1"/>
  <c r="C2025" i="1"/>
  <c r="C2026" i="1"/>
  <c r="C2027" i="1"/>
  <c r="C2021" i="1"/>
  <c r="C2020" i="1"/>
  <c r="C2019" i="1"/>
  <c r="C2018" i="1"/>
  <c r="C2016" i="1"/>
  <c r="C2017" i="1"/>
  <c r="C2015" i="1"/>
  <c r="C2014" i="1"/>
  <c r="C2010" i="1"/>
  <c r="C2011" i="1"/>
  <c r="C2012" i="1"/>
  <c r="C2013" i="1"/>
  <c r="C2009" i="1"/>
  <c r="C2008" i="1"/>
  <c r="C2007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1985" i="1"/>
  <c r="C1984" i="1"/>
  <c r="C1983" i="1"/>
  <c r="C1982" i="1"/>
  <c r="C1981" i="1"/>
  <c r="C1980" i="1"/>
  <c r="C1978" i="1"/>
  <c r="C1979" i="1"/>
  <c r="C1977" i="1"/>
  <c r="C1975" i="1"/>
  <c r="C1976" i="1"/>
  <c r="C1970" i="1"/>
  <c r="C1971" i="1"/>
  <c r="C1972" i="1"/>
  <c r="C1973" i="1"/>
  <c r="C1974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2039" i="1"/>
  <c r="C2035" i="1"/>
  <c r="C1952" i="1"/>
  <c r="C2045" i="1"/>
  <c r="C1950" i="1"/>
  <c r="C1533" i="1"/>
  <c r="C1948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19" i="1"/>
  <c r="C1920" i="1"/>
  <c r="C1921" i="1"/>
  <c r="C1922" i="1"/>
  <c r="C1923" i="1"/>
  <c r="C1924" i="1"/>
  <c r="C1925" i="1"/>
  <c r="C1926" i="1"/>
  <c r="C1918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01" i="1"/>
  <c r="C1893" i="1"/>
  <c r="C1894" i="1"/>
  <c r="C1895" i="1"/>
  <c r="C1896" i="1"/>
  <c r="C1897" i="1"/>
  <c r="C1898" i="1"/>
  <c r="C1899" i="1"/>
  <c r="C1900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062" i="1" l="1"/>
  <c r="C1527" i="1"/>
  <c r="C1529" i="1"/>
  <c r="C1524" i="1"/>
  <c r="C1432" i="1"/>
  <c r="C1429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48" i="1"/>
  <c r="C1846" i="1"/>
  <c r="C1847" i="1"/>
  <c r="C1845" i="1"/>
  <c r="C1838" i="1"/>
  <c r="C1839" i="1"/>
  <c r="C1840" i="1"/>
  <c r="C1841" i="1"/>
  <c r="C1842" i="1"/>
  <c r="C1843" i="1"/>
  <c r="C1844" i="1"/>
  <c r="C1837" i="1"/>
  <c r="C1830" i="1"/>
  <c r="C1831" i="1"/>
  <c r="C1832" i="1"/>
  <c r="C1833" i="1"/>
  <c r="C1834" i="1"/>
  <c r="C1835" i="1"/>
  <c r="C1836" i="1"/>
  <c r="C1829" i="1"/>
  <c r="C1821" i="1"/>
  <c r="C1822" i="1"/>
  <c r="C1823" i="1"/>
  <c r="C1824" i="1"/>
  <c r="C1825" i="1"/>
  <c r="C1826" i="1"/>
  <c r="C1827" i="1"/>
  <c r="C1828" i="1"/>
  <c r="C1820" i="1"/>
  <c r="C1819" i="1"/>
  <c r="C1818" i="1"/>
  <c r="C1817" i="1"/>
  <c r="C1815" i="1"/>
  <c r="C1816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2152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409" i="1"/>
  <c r="C1702" i="1"/>
  <c r="C1703" i="1"/>
  <c r="C1704" i="1"/>
  <c r="C1694" i="1"/>
  <c r="C1695" i="1"/>
  <c r="C1696" i="1"/>
  <c r="C1697" i="1"/>
  <c r="C1698" i="1"/>
  <c r="C1699" i="1"/>
  <c r="C1700" i="1"/>
  <c r="C1701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4" i="1"/>
  <c r="C1675" i="1"/>
  <c r="C1676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09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593" i="1"/>
  <c r="C1592" i="1"/>
  <c r="C1591" i="1"/>
  <c r="C1590" i="1"/>
  <c r="C1589" i="1"/>
  <c r="C1588" i="1"/>
  <c r="C1587" i="1"/>
  <c r="C1585" i="1"/>
  <c r="C1586" i="1"/>
  <c r="C1584" i="1"/>
  <c r="C1583" i="1"/>
  <c r="C1582" i="1"/>
  <c r="C1581" i="1"/>
  <c r="C1576" i="1"/>
  <c r="C1577" i="1"/>
  <c r="C1578" i="1"/>
  <c r="C1579" i="1"/>
  <c r="C1580" i="1"/>
  <c r="C1575" i="1"/>
  <c r="C1571" i="1"/>
  <c r="C1572" i="1"/>
  <c r="C1573" i="1"/>
  <c r="C1574" i="1"/>
  <c r="C1570" i="1"/>
  <c r="C1569" i="1"/>
  <c r="C1568" i="1"/>
  <c r="C1567" i="1"/>
  <c r="C1565" i="1"/>
  <c r="C1566" i="1"/>
  <c r="C1564" i="1"/>
  <c r="C1562" i="1"/>
  <c r="C1563" i="1"/>
  <c r="C1561" i="1"/>
  <c r="C1560" i="1"/>
  <c r="C1559" i="1"/>
  <c r="C1558" i="1"/>
  <c r="C1557" i="1"/>
  <c r="C1556" i="1"/>
  <c r="C1551" i="1"/>
  <c r="C1552" i="1"/>
  <c r="C1553" i="1"/>
  <c r="C1554" i="1"/>
  <c r="C1555" i="1"/>
  <c r="C1550" i="1"/>
  <c r="C1549" i="1"/>
  <c r="C1546" i="1"/>
  <c r="C1547" i="1"/>
  <c r="C1548" i="1"/>
  <c r="C1545" i="1"/>
  <c r="C1544" i="1"/>
  <c r="C1542" i="1"/>
  <c r="C1543" i="1"/>
  <c r="C1541" i="1"/>
  <c r="C1539" i="1"/>
  <c r="C1540" i="1"/>
  <c r="C1538" i="1"/>
  <c r="C1536" i="1"/>
  <c r="C1537" i="1"/>
  <c r="C1535" i="1"/>
  <c r="C992" i="1"/>
  <c r="C990" i="1"/>
  <c r="C922" i="1"/>
  <c r="C1017" i="1"/>
  <c r="C387" i="1"/>
  <c r="C1052" i="1"/>
  <c r="C924" i="1"/>
  <c r="C1021" i="1"/>
  <c r="C389" i="1"/>
  <c r="C918" i="1"/>
  <c r="C154" i="1"/>
  <c r="C1019" i="1"/>
  <c r="C1521" i="1"/>
  <c r="C1522" i="1"/>
  <c r="C1520" i="1"/>
  <c r="C1519" i="1"/>
  <c r="C1515" i="1"/>
  <c r="C1516" i="1"/>
  <c r="C1517" i="1"/>
  <c r="C1518" i="1"/>
  <c r="C1514" i="1"/>
  <c r="C1512" i="1"/>
  <c r="C1513" i="1"/>
  <c r="C1511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493" i="1"/>
  <c r="C1492" i="1"/>
  <c r="C1491" i="1"/>
  <c r="C1490" i="1"/>
  <c r="C1489" i="1"/>
  <c r="C1488" i="1"/>
  <c r="C1487" i="1"/>
  <c r="C1483" i="1"/>
  <c r="C1484" i="1"/>
  <c r="C1485" i="1"/>
  <c r="C1486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3" i="1"/>
  <c r="C1464" i="1"/>
  <c r="C1462" i="1"/>
  <c r="C1461" i="1"/>
  <c r="C1460" i="1"/>
  <c r="C1459" i="1"/>
  <c r="C1458" i="1"/>
  <c r="C1457" i="1"/>
  <c r="C1456" i="1"/>
  <c r="C1455" i="1"/>
  <c r="C1450" i="1"/>
  <c r="C1451" i="1"/>
  <c r="C1452" i="1"/>
  <c r="C1453" i="1"/>
  <c r="C1454" i="1"/>
  <c r="C1449" i="1"/>
  <c r="C1443" i="1"/>
  <c r="C1442" i="1"/>
  <c r="C1441" i="1"/>
  <c r="C1440" i="1"/>
  <c r="C1439" i="1"/>
  <c r="C1421" i="1"/>
  <c r="C1420" i="1"/>
  <c r="C1419" i="1"/>
  <c r="C1418" i="1"/>
  <c r="C1412" i="1"/>
  <c r="C1413" i="1"/>
  <c r="C1414" i="1"/>
  <c r="C1415" i="1"/>
  <c r="C1411" i="1"/>
  <c r="C492" i="1"/>
  <c r="C491" i="1"/>
  <c r="C488" i="1"/>
  <c r="C487" i="1"/>
  <c r="C484" i="1"/>
  <c r="C483" i="1"/>
  <c r="C482" i="1"/>
  <c r="C481" i="1"/>
  <c r="C480" i="1"/>
  <c r="C479" i="1"/>
  <c r="C478" i="1"/>
  <c r="C1447" i="1"/>
  <c r="C1446" i="1"/>
  <c r="C1445" i="1"/>
  <c r="C1444" i="1"/>
  <c r="C477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101" i="1"/>
  <c r="C182" i="1"/>
  <c r="C107" i="1"/>
  <c r="C109" i="1"/>
  <c r="C97" i="1"/>
  <c r="C1398" i="1" l="1"/>
  <c r="C1397" i="1"/>
  <c r="C1396" i="1"/>
  <c r="C1388" i="1"/>
  <c r="C1389" i="1"/>
  <c r="C1390" i="1"/>
  <c r="C1391" i="1"/>
  <c r="C1392" i="1"/>
  <c r="C1393" i="1"/>
  <c r="C1394" i="1"/>
  <c r="C1395" i="1"/>
  <c r="C1387" i="1"/>
  <c r="B177" i="3" l="1"/>
  <c r="B176" i="3"/>
  <c r="B175" i="3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87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47" i="1"/>
  <c r="C1348" i="1"/>
  <c r="C1349" i="1"/>
  <c r="C1350" i="1"/>
  <c r="C1346" i="1"/>
  <c r="C1345" i="1"/>
  <c r="C1344" i="1"/>
  <c r="C1343" i="1"/>
  <c r="C1342" i="1"/>
  <c r="C1341" i="1"/>
  <c r="C1339" i="1"/>
  <c r="C1340" i="1"/>
  <c r="C1338" i="1"/>
  <c r="C1337" i="1"/>
  <c r="C1336" i="1"/>
  <c r="C1335" i="1"/>
  <c r="C1334" i="1"/>
  <c r="C1333" i="1"/>
  <c r="C1331" i="1"/>
  <c r="C1332" i="1"/>
  <c r="C1330" i="1"/>
  <c r="C1328" i="1"/>
  <c r="C1329" i="1"/>
  <c r="C1327" i="1"/>
  <c r="C1326" i="1"/>
  <c r="C1325" i="1"/>
  <c r="C1324" i="1"/>
  <c r="C1323" i="1"/>
  <c r="C1322" i="1"/>
  <c r="C1316" i="1"/>
  <c r="C1317" i="1"/>
  <c r="C1318" i="1"/>
  <c r="C1319" i="1"/>
  <c r="C1320" i="1"/>
  <c r="C1321" i="1"/>
  <c r="C1315" i="1"/>
  <c r="C1309" i="1"/>
  <c r="C1310" i="1"/>
  <c r="C1311" i="1"/>
  <c r="C1312" i="1"/>
  <c r="C1313" i="1"/>
  <c r="C1314" i="1"/>
  <c r="C1308" i="1"/>
  <c r="C1300" i="1"/>
  <c r="C1301" i="1"/>
  <c r="C1302" i="1"/>
  <c r="C1303" i="1"/>
  <c r="C1304" i="1"/>
  <c r="C1305" i="1"/>
  <c r="C1306" i="1"/>
  <c r="C1307" i="1"/>
  <c r="C1299" i="1"/>
  <c r="C1298" i="1"/>
  <c r="C1297" i="1"/>
  <c r="C1296" i="1"/>
  <c r="C1295" i="1"/>
  <c r="C1294" i="1"/>
  <c r="C1293" i="1"/>
  <c r="C1292" i="1"/>
  <c r="C1282" i="1"/>
  <c r="C1283" i="1"/>
  <c r="C1284" i="1"/>
  <c r="C1285" i="1"/>
  <c r="C1286" i="1"/>
  <c r="C1287" i="1"/>
  <c r="C1288" i="1"/>
  <c r="C1289" i="1"/>
  <c r="C1290" i="1"/>
  <c r="C1291" i="1"/>
  <c r="C1281" i="1"/>
  <c r="C1280" i="1"/>
  <c r="C1279" i="1"/>
  <c r="C1278" i="1"/>
  <c r="C1272" i="1"/>
  <c r="C1273" i="1"/>
  <c r="C1274" i="1"/>
  <c r="C1275" i="1"/>
  <c r="C1276" i="1"/>
  <c r="C1277" i="1"/>
  <c r="C1270" i="1"/>
  <c r="C1271" i="1"/>
  <c r="C1269" i="1"/>
  <c r="C1268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44" i="1"/>
  <c r="C1243" i="1"/>
  <c r="C1238" i="1"/>
  <c r="C1239" i="1"/>
  <c r="C1240" i="1"/>
  <c r="C1241" i="1"/>
  <c r="C1242" i="1"/>
  <c r="C1237" i="1"/>
  <c r="C1236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23" i="1"/>
  <c r="C1222" i="1"/>
  <c r="C1221" i="1"/>
  <c r="C1220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02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184" i="1"/>
  <c r="C1182" i="1"/>
  <c r="C1183" i="1"/>
  <c r="C1181" i="1"/>
  <c r="C1175" i="1"/>
  <c r="C1176" i="1"/>
  <c r="C1177" i="1"/>
  <c r="C1178" i="1"/>
  <c r="C1179" i="1"/>
  <c r="C1180" i="1"/>
  <c r="C1174" i="1"/>
  <c r="C1168" i="1"/>
  <c r="C1169" i="1"/>
  <c r="C1170" i="1"/>
  <c r="C1171" i="1"/>
  <c r="C1172" i="1"/>
  <c r="C1173" i="1"/>
  <c r="C1167" i="1"/>
  <c r="C1166" i="1"/>
  <c r="C1165" i="1"/>
  <c r="C1164" i="1"/>
  <c r="C1163" i="1"/>
  <c r="C1162" i="1"/>
  <c r="C1161" i="1"/>
  <c r="C1160" i="1"/>
  <c r="C1159" i="1"/>
  <c r="C1158" i="1"/>
  <c r="C1153" i="1"/>
  <c r="C1154" i="1"/>
  <c r="C1155" i="1"/>
  <c r="C1156" i="1"/>
  <c r="C1157" i="1"/>
  <c r="C1152" i="1"/>
  <c r="C1151" i="1"/>
  <c r="C1150" i="1"/>
  <c r="C1149" i="1"/>
  <c r="C1148" i="1"/>
  <c r="C1140" i="1"/>
  <c r="C1141" i="1"/>
  <c r="C1142" i="1"/>
  <c r="C1143" i="1"/>
  <c r="C1144" i="1"/>
  <c r="C1145" i="1"/>
  <c r="C1146" i="1"/>
  <c r="C1147" i="1"/>
  <c r="C1139" i="1"/>
  <c r="C1131" i="1"/>
  <c r="C1132" i="1"/>
  <c r="C1133" i="1"/>
  <c r="C1134" i="1"/>
  <c r="C1135" i="1"/>
  <c r="C1136" i="1"/>
  <c r="C1137" i="1"/>
  <c r="C1138" i="1"/>
  <c r="C1130" i="1"/>
  <c r="C1122" i="1"/>
  <c r="C1123" i="1"/>
  <c r="C1124" i="1"/>
  <c r="C1125" i="1"/>
  <c r="C1126" i="1"/>
  <c r="C1127" i="1"/>
  <c r="C1128" i="1"/>
  <c r="C1129" i="1"/>
  <c r="C1121" i="1"/>
  <c r="C1113" i="1"/>
  <c r="C1114" i="1"/>
  <c r="C1115" i="1"/>
  <c r="C1116" i="1"/>
  <c r="C1117" i="1"/>
  <c r="C1118" i="1"/>
  <c r="C1119" i="1"/>
  <c r="C1120" i="1"/>
  <c r="C1112" i="1"/>
  <c r="C1104" i="1"/>
  <c r="C1105" i="1"/>
  <c r="C1106" i="1"/>
  <c r="C1107" i="1"/>
  <c r="C1108" i="1"/>
  <c r="C1109" i="1"/>
  <c r="C1110" i="1"/>
  <c r="C1111" i="1"/>
  <c r="C1103" i="1"/>
  <c r="C1102" i="1"/>
  <c r="C1101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082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63" i="1"/>
  <c r="B170" i="3"/>
  <c r="B171" i="3"/>
  <c r="B172" i="3"/>
  <c r="B173" i="3"/>
  <c r="B174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B152" i="3"/>
  <c r="B156" i="3"/>
  <c r="B155" i="3"/>
  <c r="B154" i="3"/>
  <c r="B153" i="3"/>
  <c r="B151" i="3"/>
  <c r="B150" i="3"/>
  <c r="B149" i="3"/>
  <c r="B148" i="3"/>
  <c r="B147" i="3"/>
  <c r="B146" i="3"/>
  <c r="B145" i="3"/>
  <c r="B144" i="3"/>
  <c r="B143" i="3"/>
  <c r="B142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28" i="3"/>
  <c r="B129" i="3"/>
  <c r="B127" i="3"/>
  <c r="B126" i="3"/>
  <c r="B125" i="3"/>
  <c r="C1534" i="1"/>
  <c r="C2032" i="1"/>
  <c r="C2040" i="1"/>
  <c r="C1863" i="1"/>
  <c r="C2030" i="1"/>
  <c r="C2150" i="1"/>
  <c r="C1865" i="1"/>
  <c r="C1867" i="1"/>
  <c r="C2036" i="1"/>
  <c r="C1057" i="1"/>
  <c r="C1530" i="1"/>
  <c r="C1435" i="1"/>
  <c r="C1433" i="1"/>
  <c r="C1424" i="1"/>
  <c r="C1437" i="1"/>
  <c r="C2042" i="1"/>
  <c r="C1042" i="1"/>
  <c r="C1043" i="1"/>
  <c r="C1044" i="1"/>
  <c r="C1045" i="1"/>
  <c r="C1046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953" i="1"/>
  <c r="C1947" i="1"/>
  <c r="C1532" i="1"/>
  <c r="C2034" i="1"/>
  <c r="C1951" i="1"/>
  <c r="C2038" i="1"/>
  <c r="C1949" i="1"/>
  <c r="C2044" i="1"/>
  <c r="C1008" i="1"/>
  <c r="C1009" i="1"/>
  <c r="C1010" i="1"/>
  <c r="C1011" i="1"/>
  <c r="C1012" i="1"/>
  <c r="C1013" i="1"/>
  <c r="C1014" i="1"/>
  <c r="C1015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1526" i="1"/>
  <c r="C1431" i="1"/>
  <c r="C1428" i="1"/>
  <c r="C1061" i="1"/>
  <c r="C1528" i="1"/>
  <c r="C1523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36" i="1"/>
  <c r="C935" i="1"/>
  <c r="C934" i="1"/>
  <c r="C933" i="1"/>
  <c r="C932" i="1"/>
  <c r="C931" i="1"/>
  <c r="C930" i="1"/>
  <c r="C929" i="1"/>
  <c r="C928" i="1"/>
  <c r="C927" i="1"/>
  <c r="C926" i="1"/>
  <c r="C1056" i="1"/>
  <c r="C1525" i="1"/>
  <c r="C1055" i="1"/>
  <c r="C1059" i="1"/>
  <c r="C1060" i="1"/>
  <c r="C1430" i="1"/>
  <c r="C1427" i="1"/>
  <c r="C1426" i="1"/>
  <c r="C914" i="1"/>
  <c r="C915" i="1"/>
  <c r="C916" i="1"/>
  <c r="C917" i="1"/>
  <c r="C912" i="1"/>
  <c r="C913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89" i="1"/>
  <c r="C890" i="1"/>
  <c r="C888" i="1"/>
  <c r="C887" i="1"/>
  <c r="C886" i="1"/>
  <c r="C885" i="1"/>
  <c r="C876" i="1"/>
  <c r="C877" i="1"/>
  <c r="C878" i="1"/>
  <c r="C879" i="1"/>
  <c r="C880" i="1"/>
  <c r="C881" i="1"/>
  <c r="C882" i="1"/>
  <c r="C883" i="1"/>
  <c r="C884" i="1"/>
  <c r="C875" i="1"/>
  <c r="C864" i="1"/>
  <c r="C865" i="1"/>
  <c r="C866" i="1"/>
  <c r="C867" i="1"/>
  <c r="C868" i="1"/>
  <c r="C869" i="1"/>
  <c r="C870" i="1"/>
  <c r="C871" i="1"/>
  <c r="C872" i="1"/>
  <c r="C873" i="1"/>
  <c r="C874" i="1"/>
  <c r="C863" i="1"/>
  <c r="C853" i="1"/>
  <c r="C854" i="1"/>
  <c r="C855" i="1"/>
  <c r="C856" i="1"/>
  <c r="C857" i="1"/>
  <c r="C858" i="1"/>
  <c r="C859" i="1"/>
  <c r="C860" i="1"/>
  <c r="C861" i="1"/>
  <c r="C862" i="1"/>
  <c r="C852" i="1"/>
  <c r="C851" i="1"/>
  <c r="C850" i="1"/>
  <c r="C849" i="1"/>
  <c r="C848" i="1"/>
  <c r="C847" i="1"/>
  <c r="C842" i="1"/>
  <c r="C843" i="1"/>
  <c r="C844" i="1"/>
  <c r="C845" i="1"/>
  <c r="C846" i="1"/>
  <c r="C840" i="1"/>
  <c r="C841" i="1"/>
  <c r="C839" i="1"/>
  <c r="C838" i="1"/>
  <c r="C832" i="1"/>
  <c r="C833" i="1"/>
  <c r="C834" i="1"/>
  <c r="C835" i="1"/>
  <c r="C836" i="1"/>
  <c r="C837" i="1"/>
  <c r="C830" i="1"/>
  <c r="C831" i="1"/>
  <c r="C829" i="1"/>
  <c r="C826" i="1"/>
  <c r="C827" i="1"/>
  <c r="C828" i="1"/>
  <c r="C824" i="1"/>
  <c r="C825" i="1"/>
  <c r="C822" i="1"/>
  <c r="C823" i="1"/>
  <c r="C821" i="1"/>
  <c r="C819" i="1"/>
  <c r="C820" i="1"/>
  <c r="C818" i="1"/>
  <c r="C817" i="1"/>
  <c r="C816" i="1"/>
  <c r="C815" i="1"/>
  <c r="C813" i="1"/>
  <c r="C814" i="1"/>
  <c r="C812" i="1"/>
  <c r="C811" i="1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785" i="1"/>
  <c r="C786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8" i="1"/>
  <c r="C769" i="1"/>
  <c r="C767" i="1"/>
  <c r="C766" i="1"/>
  <c r="C764" i="1"/>
  <c r="C765" i="1"/>
  <c r="C763" i="1"/>
  <c r="C762" i="1"/>
  <c r="C760" i="1"/>
  <c r="C761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47" i="1"/>
  <c r="C744" i="1"/>
  <c r="C745" i="1"/>
  <c r="C746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0" i="1"/>
  <c r="C721" i="1"/>
  <c r="C722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3" i="1"/>
  <c r="C704" i="1"/>
  <c r="C705" i="1"/>
  <c r="C706" i="1"/>
  <c r="C707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65" i="1"/>
  <c r="C666" i="1"/>
  <c r="C667" i="1"/>
  <c r="C668" i="1"/>
  <c r="C669" i="1"/>
  <c r="C670" i="1"/>
  <c r="C671" i="1"/>
  <c r="C672" i="1"/>
  <c r="C673" i="1"/>
  <c r="C674" i="1"/>
  <c r="C675" i="1"/>
  <c r="C664" i="1"/>
  <c r="C663" i="1"/>
  <c r="C662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39" i="1"/>
  <c r="C640" i="1"/>
  <c r="C641" i="1"/>
  <c r="C642" i="1"/>
  <c r="C643" i="1"/>
  <c r="C644" i="1"/>
  <c r="C645" i="1"/>
  <c r="C646" i="1"/>
  <c r="C647" i="1"/>
  <c r="C648" i="1"/>
  <c r="C649" i="1"/>
  <c r="C638" i="1"/>
  <c r="C637" i="1"/>
  <c r="C636" i="1"/>
  <c r="C634" i="1"/>
  <c r="C635" i="1"/>
  <c r="C633" i="1"/>
  <c r="C632" i="1"/>
  <c r="C631" i="1"/>
  <c r="C630" i="1"/>
  <c r="C629" i="1"/>
  <c r="C618" i="1"/>
  <c r="C619" i="1"/>
  <c r="C620" i="1"/>
  <c r="C621" i="1"/>
  <c r="C622" i="1"/>
  <c r="C623" i="1"/>
  <c r="C624" i="1"/>
  <c r="C625" i="1"/>
  <c r="C626" i="1"/>
  <c r="C627" i="1"/>
  <c r="C628" i="1"/>
  <c r="C617" i="1"/>
  <c r="C611" i="1"/>
  <c r="C612" i="1"/>
  <c r="C613" i="1"/>
  <c r="C614" i="1"/>
  <c r="C615" i="1"/>
  <c r="C616" i="1"/>
  <c r="C608" i="1"/>
  <c r="C609" i="1"/>
  <c r="C610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594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81" i="1"/>
  <c r="C570" i="1"/>
  <c r="C571" i="1"/>
  <c r="C572" i="1"/>
  <c r="C573" i="1"/>
  <c r="C574" i="1"/>
  <c r="C575" i="1"/>
  <c r="C576" i="1"/>
  <c r="C577" i="1"/>
  <c r="C578" i="1"/>
  <c r="C579" i="1"/>
  <c r="C580" i="1"/>
  <c r="C569" i="1"/>
  <c r="L29" i="3"/>
  <c r="K8" i="3"/>
  <c r="M8" i="3" s="1"/>
  <c r="K9" i="3"/>
  <c r="M9" i="3" s="1"/>
  <c r="K10" i="3"/>
  <c r="M10" i="3" s="1"/>
  <c r="K11" i="3"/>
  <c r="M11" i="3" s="1"/>
  <c r="K12" i="3"/>
  <c r="M12" i="3" s="1"/>
  <c r="K13" i="3"/>
  <c r="M13" i="3" s="1"/>
  <c r="K14" i="3"/>
  <c r="M14" i="3" s="1"/>
  <c r="K15" i="3"/>
  <c r="M15" i="3" s="1"/>
  <c r="K16" i="3"/>
  <c r="M16" i="3" s="1"/>
  <c r="K17" i="3"/>
  <c r="M17" i="3" s="1"/>
  <c r="K18" i="3"/>
  <c r="M18" i="3" s="1"/>
  <c r="K19" i="3"/>
  <c r="M19" i="3" s="1"/>
  <c r="K20" i="3"/>
  <c r="M20" i="3" s="1"/>
  <c r="K21" i="3"/>
  <c r="M21" i="3" s="1"/>
  <c r="K22" i="3"/>
  <c r="M22" i="3" s="1"/>
  <c r="K23" i="3"/>
  <c r="M23" i="3" s="1"/>
  <c r="K24" i="3"/>
  <c r="M24" i="3" s="1"/>
  <c r="K25" i="3"/>
  <c r="M25" i="3" s="1"/>
  <c r="K26" i="3"/>
  <c r="M26" i="3" s="1"/>
  <c r="K27" i="3"/>
  <c r="M27" i="3" s="1"/>
  <c r="K28" i="3"/>
  <c r="M28" i="3" s="1"/>
  <c r="K29" i="3"/>
  <c r="M29" i="3" s="1"/>
  <c r="K30" i="3"/>
  <c r="M30" i="3" s="1"/>
  <c r="K31" i="3"/>
  <c r="M31" i="3" s="1"/>
  <c r="K32" i="3"/>
  <c r="M32" i="3" s="1"/>
  <c r="K33" i="3"/>
  <c r="M33" i="3" s="1"/>
  <c r="K34" i="3"/>
  <c r="M34" i="3" s="1"/>
  <c r="K35" i="3"/>
  <c r="M35" i="3" s="1"/>
  <c r="K36" i="3"/>
  <c r="M36" i="3" s="1"/>
  <c r="K37" i="3"/>
  <c r="M37" i="3" s="1"/>
  <c r="J37" i="3" s="1"/>
  <c r="K38" i="3"/>
  <c r="M38" i="3" s="1"/>
  <c r="K39" i="3"/>
  <c r="M39" i="3" s="1"/>
  <c r="K40" i="3"/>
  <c r="M40" i="3" s="1"/>
  <c r="K41" i="3"/>
  <c r="M41" i="3" s="1"/>
  <c r="K42" i="3"/>
  <c r="M42" i="3" s="1"/>
  <c r="K43" i="3"/>
  <c r="M43" i="3" s="1"/>
  <c r="K44" i="3"/>
  <c r="M44" i="3" s="1"/>
  <c r="K45" i="3"/>
  <c r="M45" i="3" s="1"/>
  <c r="K46" i="3"/>
  <c r="M46" i="3" s="1"/>
  <c r="K47" i="3"/>
  <c r="M47" i="3" s="1"/>
  <c r="K48" i="3"/>
  <c r="M48" i="3" s="1"/>
  <c r="K49" i="3"/>
  <c r="M49" i="3" s="1"/>
  <c r="K50" i="3"/>
  <c r="M50" i="3" s="1"/>
  <c r="K51" i="3"/>
  <c r="M51" i="3" s="1"/>
  <c r="K52" i="3"/>
  <c r="M52" i="3" s="1"/>
  <c r="K7" i="3"/>
  <c r="M7" i="3" s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C7" i="1"/>
  <c r="C568" i="1" l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201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08" i="1"/>
  <c r="C509" i="1"/>
  <c r="C510" i="1"/>
  <c r="C511" i="1"/>
  <c r="C512" i="1"/>
  <c r="C513" i="1"/>
  <c r="C514" i="1"/>
  <c r="C515" i="1"/>
  <c r="C516" i="1"/>
  <c r="C517" i="1"/>
  <c r="C51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0" i="1"/>
  <c r="C489" i="1"/>
  <c r="C1448" i="1"/>
  <c r="C476" i="1"/>
  <c r="C475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494" i="1"/>
  <c r="C493" i="1"/>
  <c r="C486" i="1"/>
  <c r="C485" i="1"/>
  <c r="C1417" i="1"/>
  <c r="C1416" i="1"/>
  <c r="C151" i="1"/>
  <c r="C105" i="1"/>
  <c r="C90" i="1"/>
  <c r="C99" i="1"/>
  <c r="C185" i="1"/>
  <c r="C180" i="1"/>
  <c r="C133" i="1"/>
  <c r="C103" i="1"/>
  <c r="C88" i="1"/>
  <c r="C153" i="1"/>
  <c r="C1423" i="1"/>
  <c r="C1422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8" i="1"/>
  <c r="C407" i="1"/>
  <c r="C406" i="1"/>
  <c r="C405" i="1"/>
  <c r="C404" i="1"/>
  <c r="C403" i="1"/>
  <c r="C401" i="1"/>
  <c r="C402" i="1"/>
  <c r="C400" i="1"/>
  <c r="C399" i="1"/>
  <c r="C398" i="1"/>
  <c r="C397" i="1"/>
  <c r="C396" i="1"/>
  <c r="C395" i="1"/>
  <c r="C394" i="1"/>
  <c r="C393" i="1"/>
  <c r="C1054" i="1"/>
  <c r="C1050" i="1"/>
  <c r="C1023" i="1"/>
  <c r="C1048" i="1"/>
  <c r="C84" i="1"/>
  <c r="C86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57" i="1"/>
  <c r="C358" i="1"/>
  <c r="C359" i="1"/>
  <c r="C360" i="1"/>
  <c r="C361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7" i="1"/>
  <c r="C228" i="1"/>
  <c r="C226" i="1"/>
  <c r="C225" i="1"/>
  <c r="C224" i="1"/>
  <c r="C223" i="1"/>
  <c r="C111" i="1"/>
  <c r="C112" i="1"/>
  <c r="C113" i="1"/>
  <c r="C92" i="1"/>
  <c r="C93" i="1"/>
  <c r="C94" i="1"/>
  <c r="C184" i="1"/>
  <c r="C181" i="1"/>
  <c r="C155" i="1"/>
  <c r="C152" i="1"/>
  <c r="C150" i="1"/>
  <c r="C110" i="1"/>
  <c r="C108" i="1"/>
  <c r="C106" i="1"/>
  <c r="C104" i="1"/>
  <c r="C102" i="1"/>
  <c r="C100" i="1"/>
  <c r="C98" i="1"/>
  <c r="C91" i="1"/>
  <c r="C89" i="1"/>
  <c r="C1020" i="1"/>
  <c r="C1018" i="1"/>
  <c r="C1016" i="1"/>
  <c r="C991" i="1"/>
  <c r="C989" i="1"/>
  <c r="C988" i="1"/>
  <c r="C925" i="1"/>
  <c r="C923" i="1"/>
  <c r="C921" i="1"/>
  <c r="C919" i="1"/>
  <c r="C392" i="1"/>
  <c r="C390" i="1"/>
  <c r="C388" i="1"/>
  <c r="C183" i="1"/>
  <c r="C1051" i="1"/>
  <c r="C79" i="1"/>
  <c r="C78" i="1"/>
  <c r="C77" i="1"/>
  <c r="C85" i="1"/>
  <c r="C83" i="1"/>
  <c r="C1053" i="1"/>
  <c r="C1049" i="1"/>
  <c r="C1047" i="1"/>
  <c r="C1022" i="1"/>
  <c r="C82" i="1"/>
  <c r="C81" i="1"/>
  <c r="C80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03" i="1"/>
  <c r="C202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78" i="1"/>
  <c r="C179" i="1"/>
  <c r="C177" i="1"/>
  <c r="C176" i="1"/>
  <c r="C175" i="1"/>
  <c r="C174" i="1"/>
  <c r="C164" i="1"/>
  <c r="C165" i="1"/>
  <c r="C166" i="1"/>
  <c r="C167" i="1"/>
  <c r="C168" i="1"/>
  <c r="C169" i="1"/>
  <c r="C170" i="1"/>
  <c r="C171" i="1"/>
  <c r="C172" i="1"/>
  <c r="C173" i="1"/>
  <c r="C163" i="1"/>
  <c r="C162" i="1"/>
  <c r="C161" i="1"/>
  <c r="C158" i="1"/>
  <c r="C159" i="1"/>
  <c r="C160" i="1"/>
  <c r="C157" i="1"/>
  <c r="C156" i="1"/>
  <c r="C149" i="1"/>
  <c r="C139" i="1"/>
  <c r="C140" i="1"/>
  <c r="C141" i="1"/>
  <c r="C142" i="1"/>
  <c r="C143" i="1"/>
  <c r="C144" i="1"/>
  <c r="C145" i="1"/>
  <c r="C146" i="1"/>
  <c r="C147" i="1"/>
  <c r="C148" i="1"/>
  <c r="C138" i="1"/>
  <c r="C135" i="1"/>
  <c r="C137" i="1"/>
  <c r="C136" i="1"/>
  <c r="C134" i="1"/>
  <c r="C132" i="1"/>
  <c r="C131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17" i="1"/>
  <c r="C116" i="1"/>
  <c r="C115" i="1"/>
  <c r="C114" i="1"/>
  <c r="C95" i="1"/>
  <c r="C69" i="1"/>
  <c r="C70" i="1"/>
  <c r="C71" i="1"/>
  <c r="C72" i="1"/>
  <c r="C73" i="1"/>
  <c r="C74" i="1"/>
  <c r="C75" i="1"/>
  <c r="C76" i="1"/>
  <c r="C68" i="1"/>
  <c r="C67" i="1"/>
  <c r="C66" i="1"/>
  <c r="C65" i="1"/>
  <c r="C64" i="1"/>
  <c r="C63" i="1"/>
  <c r="C62" i="1"/>
  <c r="C60" i="1"/>
  <c r="C56" i="1"/>
  <c r="C57" i="1"/>
  <c r="C58" i="1"/>
  <c r="C59" i="1"/>
  <c r="C61" i="1"/>
  <c r="C55" i="1"/>
  <c r="C52" i="1"/>
  <c r="C53" i="1"/>
  <c r="C54" i="1"/>
  <c r="C42" i="1"/>
  <c r="C43" i="1"/>
  <c r="C44" i="1"/>
  <c r="C45" i="1"/>
  <c r="C46" i="1"/>
  <c r="C47" i="1"/>
  <c r="C48" i="1"/>
  <c r="C49" i="1"/>
  <c r="C50" i="1"/>
  <c r="C51" i="1"/>
  <c r="C34" i="1"/>
  <c r="C35" i="1"/>
  <c r="C36" i="1"/>
  <c r="C37" i="1"/>
  <c r="C38" i="1"/>
  <c r="C39" i="1"/>
  <c r="C40" i="1"/>
  <c r="C41" i="1"/>
  <c r="C33" i="1"/>
  <c r="C32" i="1"/>
  <c r="C31" i="1"/>
  <c r="C30" i="1"/>
  <c r="C29" i="1" l="1"/>
  <c r="C27" i="1"/>
  <c r="C28" i="1"/>
  <c r="C26" i="1"/>
  <c r="C25" i="1"/>
  <c r="C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</calcChain>
</file>

<file path=xl/sharedStrings.xml><?xml version="1.0" encoding="utf-8"?>
<sst xmlns="http://schemas.openxmlformats.org/spreadsheetml/2006/main" count="11879" uniqueCount="526">
  <si>
    <t>MATERIAL</t>
  </si>
  <si>
    <t>CANTIDAD</t>
  </si>
  <si>
    <t>MOVIMIENTO</t>
  </si>
  <si>
    <t>MARCA</t>
  </si>
  <si>
    <t>CODIGO</t>
  </si>
  <si>
    <t>PROYECTO</t>
  </si>
  <si>
    <t>MACROPROYECTO</t>
  </si>
  <si>
    <t>DIRECCION</t>
  </si>
  <si>
    <t>REINTEGRO</t>
  </si>
  <si>
    <t>FECHA</t>
  </si>
  <si>
    <t>SI</t>
  </si>
  <si>
    <t>NO</t>
  </si>
  <si>
    <t>NODO</t>
  </si>
  <si>
    <t>N° APOYO</t>
  </si>
  <si>
    <t>N/A</t>
  </si>
  <si>
    <t>Abrazadera una salida 7"</t>
  </si>
  <si>
    <t>Entrada</t>
  </si>
  <si>
    <t>cra 5 cll 66 - 69</t>
  </si>
  <si>
    <t>Aislador Carrreto</t>
  </si>
  <si>
    <t>#6</t>
  </si>
  <si>
    <t>Cable Al serie AA 8000 rhw # 6 awg</t>
  </si>
  <si>
    <t>3*14</t>
  </si>
  <si>
    <t>Bandit</t>
  </si>
  <si>
    <t>Hebilla</t>
  </si>
  <si>
    <t>Hebilla para cinta bandit 1/2"</t>
  </si>
  <si>
    <t>Cinta Bandit 1/2"</t>
  </si>
  <si>
    <t>Conector de Perforacion ais kz-ep (EP95) pequeño</t>
  </si>
  <si>
    <t>Conector resorte 18-8</t>
  </si>
  <si>
    <t>Empalme gel ppal 8-4/0 a der 14-2/0 awg (grande)</t>
  </si>
  <si>
    <t>Empalme gel ppal 4-2/0 a der 14-6 awg (pequeño)</t>
  </si>
  <si>
    <t>kit</t>
  </si>
  <si>
    <t>Kit</t>
  </si>
  <si>
    <t>Kit puesta tierra acero inoxidable</t>
  </si>
  <si>
    <t>Percha galv 1 puesto</t>
  </si>
  <si>
    <t>Tuberia Conduflex 3/4"</t>
  </si>
  <si>
    <t>Tubo 3</t>
  </si>
  <si>
    <t>bandit</t>
  </si>
  <si>
    <t>hebilla</t>
  </si>
  <si>
    <t>tubo 3</t>
  </si>
  <si>
    <t>Tapa Alfajor</t>
  </si>
  <si>
    <t>Tapa Concreto</t>
  </si>
  <si>
    <t>UNIDAD</t>
  </si>
  <si>
    <t>Und</t>
  </si>
  <si>
    <t>Mts</t>
  </si>
  <si>
    <t>cra 5 cll71</t>
  </si>
  <si>
    <t>Foto</t>
  </si>
  <si>
    <t>Fotocelda</t>
  </si>
  <si>
    <t>lum-75</t>
  </si>
  <si>
    <t>Luminaria 75w</t>
  </si>
  <si>
    <t>Percha1</t>
  </si>
  <si>
    <t>percha1</t>
  </si>
  <si>
    <t>Conec1</t>
  </si>
  <si>
    <t>Conec2</t>
  </si>
  <si>
    <t>conec1</t>
  </si>
  <si>
    <t>conec2</t>
  </si>
  <si>
    <t>Banda2</t>
  </si>
  <si>
    <t>Aislador1</t>
  </si>
  <si>
    <t>VILLA DEL PRADO</t>
  </si>
  <si>
    <t>cra5 entre cll 66 y 69</t>
  </si>
  <si>
    <t>Brazo Galvanizado 2" x 2m</t>
  </si>
  <si>
    <t>foto</t>
  </si>
  <si>
    <t>Desmonte</t>
  </si>
  <si>
    <t>Instalacion</t>
  </si>
  <si>
    <t>CODIGO LUMINARIA</t>
  </si>
  <si>
    <t>CURRENT</t>
  </si>
  <si>
    <t>6E00111</t>
  </si>
  <si>
    <t>6E00112</t>
  </si>
  <si>
    <t>6E00113</t>
  </si>
  <si>
    <t>6E00114</t>
  </si>
  <si>
    <t>6E00115</t>
  </si>
  <si>
    <t>6E00116</t>
  </si>
  <si>
    <t>6E00117</t>
  </si>
  <si>
    <t>6E00118</t>
  </si>
  <si>
    <t>6E00119</t>
  </si>
  <si>
    <t>Gel1</t>
  </si>
  <si>
    <t>Gel2</t>
  </si>
  <si>
    <t>gel1</t>
  </si>
  <si>
    <t>gel2</t>
  </si>
  <si>
    <t>tapa2</t>
  </si>
  <si>
    <t>Tapa1</t>
  </si>
  <si>
    <t>Tapa2</t>
  </si>
  <si>
    <t>tapa1</t>
  </si>
  <si>
    <t>pro-190</t>
  </si>
  <si>
    <t>proyector 190w</t>
  </si>
  <si>
    <t>lum-110</t>
  </si>
  <si>
    <t>6PD0139</t>
  </si>
  <si>
    <t>6PD0140</t>
  </si>
  <si>
    <t>6PD0141</t>
  </si>
  <si>
    <t>6PD0142</t>
  </si>
  <si>
    <t>6PD0143</t>
  </si>
  <si>
    <t>6PD0144</t>
  </si>
  <si>
    <t>6PD0145</t>
  </si>
  <si>
    <t>6PD0146</t>
  </si>
  <si>
    <t>6PD0147</t>
  </si>
  <si>
    <t>6PD0148</t>
  </si>
  <si>
    <t>6PD0149</t>
  </si>
  <si>
    <t>6PD0150</t>
  </si>
  <si>
    <t>6PD0151</t>
  </si>
  <si>
    <t>6PD0152</t>
  </si>
  <si>
    <t>6PD0153</t>
  </si>
  <si>
    <t>cr42b-cl11/13</t>
  </si>
  <si>
    <t>6G00135</t>
  </si>
  <si>
    <t>6G00142</t>
  </si>
  <si>
    <t>6G00139</t>
  </si>
  <si>
    <t>6PD0154</t>
  </si>
  <si>
    <t>6PD0155</t>
  </si>
  <si>
    <t>6PD0156</t>
  </si>
  <si>
    <t>6PD0157</t>
  </si>
  <si>
    <t>6PD0158</t>
  </si>
  <si>
    <t>6PD0159</t>
  </si>
  <si>
    <t>6PD0160</t>
  </si>
  <si>
    <t>6PD0161</t>
  </si>
  <si>
    <t>6PD0162</t>
  </si>
  <si>
    <t>6PD0163</t>
  </si>
  <si>
    <t>6PD0164</t>
  </si>
  <si>
    <t>6PD0165</t>
  </si>
  <si>
    <t>6PD0166</t>
  </si>
  <si>
    <t>6PD0167</t>
  </si>
  <si>
    <t>6G00204</t>
  </si>
  <si>
    <t>6G00209</t>
  </si>
  <si>
    <t>6G00211</t>
  </si>
  <si>
    <t>6E00253</t>
  </si>
  <si>
    <t>6E00247</t>
  </si>
  <si>
    <t>6E00209</t>
  </si>
  <si>
    <t>6E00256</t>
  </si>
  <si>
    <t>6E00282</t>
  </si>
  <si>
    <t>6E00249</t>
  </si>
  <si>
    <t>6E00259</t>
  </si>
  <si>
    <t>6E00251</t>
  </si>
  <si>
    <t>6E00274</t>
  </si>
  <si>
    <t>6E00278</t>
  </si>
  <si>
    <t>6E00237</t>
  </si>
  <si>
    <t>6E00233</t>
  </si>
  <si>
    <t>6E00257</t>
  </si>
  <si>
    <t>6E00255</t>
  </si>
  <si>
    <t>6E00245</t>
  </si>
  <si>
    <t>6E00270</t>
  </si>
  <si>
    <t>FOTO</t>
  </si>
  <si>
    <t>6PD0171</t>
  </si>
  <si>
    <t>6E00211</t>
  </si>
  <si>
    <t>6E00271</t>
  </si>
  <si>
    <t>6E00224</t>
  </si>
  <si>
    <t>6E00267</t>
  </si>
  <si>
    <t>6E00273</t>
  </si>
  <si>
    <t>6E00297</t>
  </si>
  <si>
    <t>6E00266</t>
  </si>
  <si>
    <t>6E00277</t>
  </si>
  <si>
    <t>6E00223</t>
  </si>
  <si>
    <t>6E00332</t>
  </si>
  <si>
    <t>6E00225</t>
  </si>
  <si>
    <t>6E00299</t>
  </si>
  <si>
    <t>6E00230</t>
  </si>
  <si>
    <t>6E00333</t>
  </si>
  <si>
    <t>6E00279</t>
  </si>
  <si>
    <t>6PD0117</t>
  </si>
  <si>
    <t>6PD0118</t>
  </si>
  <si>
    <t>6PD0119</t>
  </si>
  <si>
    <t>6PD0120</t>
  </si>
  <si>
    <t>6PD0121</t>
  </si>
  <si>
    <t>6PD0122</t>
  </si>
  <si>
    <t>6E00399</t>
  </si>
  <si>
    <t>6E00406</t>
  </si>
  <si>
    <t>6E00232</t>
  </si>
  <si>
    <t>6E00210</t>
  </si>
  <si>
    <t>6E00407</t>
  </si>
  <si>
    <t>cr54cll 2oeste</t>
  </si>
  <si>
    <t>SILOE</t>
  </si>
  <si>
    <t>6G00124</t>
  </si>
  <si>
    <t>6G00128</t>
  </si>
  <si>
    <t>6G00125</t>
  </si>
  <si>
    <t>6G00000</t>
  </si>
  <si>
    <t>6G00010</t>
  </si>
  <si>
    <t>6G00127</t>
  </si>
  <si>
    <t>6G00129</t>
  </si>
  <si>
    <t>6G00163</t>
  </si>
  <si>
    <t>6G00140</t>
  </si>
  <si>
    <t>6G00136</t>
  </si>
  <si>
    <t>6G00193</t>
  </si>
  <si>
    <t>6G00190</t>
  </si>
  <si>
    <t>6E00193</t>
  </si>
  <si>
    <t>6E00234</t>
  </si>
  <si>
    <t>6E00228</t>
  </si>
  <si>
    <t>6E00207</t>
  </si>
  <si>
    <t>6PD0168</t>
  </si>
  <si>
    <t>6PD0169</t>
  </si>
  <si>
    <t>6PD0170</t>
  </si>
  <si>
    <t>6PD0172</t>
  </si>
  <si>
    <t>6PD0123</t>
  </si>
  <si>
    <t>6PD0124</t>
  </si>
  <si>
    <t>cll18 oeste cr44 oeste</t>
  </si>
  <si>
    <t>banda3</t>
  </si>
  <si>
    <t>Abrazadera una salida 6"</t>
  </si>
  <si>
    <t>angular</t>
  </si>
  <si>
    <t>angular V</t>
  </si>
  <si>
    <t>tpx</t>
  </si>
  <si>
    <t>Cable TPX 2x4 1x4 awg</t>
  </si>
  <si>
    <t>Cable Encauchetado 3x14 pvc</t>
  </si>
  <si>
    <t>Tpx</t>
  </si>
  <si>
    <t>cooper</t>
  </si>
  <si>
    <t>Varilla cooperweld 2,4m</t>
  </si>
  <si>
    <t>Cruceta Metalica 3*3x 1/4</t>
  </si>
  <si>
    <t>Cruceta</t>
  </si>
  <si>
    <t>Grillete</t>
  </si>
  <si>
    <t>Grillete galvanizado 1,1/2</t>
  </si>
  <si>
    <t xml:space="preserve">Perno1 </t>
  </si>
  <si>
    <t>Perno carruaje 5-8*1 1/2</t>
  </si>
  <si>
    <t>Maquina</t>
  </si>
  <si>
    <t>Tornillo Maquina 1/2*1 1/2</t>
  </si>
  <si>
    <t>Tuerca</t>
  </si>
  <si>
    <t>Tuerca Hexagona 5/8</t>
  </si>
  <si>
    <t>conec3</t>
  </si>
  <si>
    <t>Conector Varilla cooperw.</t>
  </si>
  <si>
    <t>grillete</t>
  </si>
  <si>
    <t>tuerca</t>
  </si>
  <si>
    <t>marco</t>
  </si>
  <si>
    <t>Marco para caja ap</t>
  </si>
  <si>
    <t>brazo2</t>
  </si>
  <si>
    <t>brazo1</t>
  </si>
  <si>
    <t>Brazo Galvanizado 1 1/2" x 2m</t>
  </si>
  <si>
    <t>Lum-110</t>
  </si>
  <si>
    <t>Luminaria 110w</t>
  </si>
  <si>
    <t>GRILLETE</t>
  </si>
  <si>
    <t>CONEC1</t>
  </si>
  <si>
    <t>CONEC2</t>
  </si>
  <si>
    <t>GEL1</t>
  </si>
  <si>
    <t>BANDA1</t>
  </si>
  <si>
    <t>banda1</t>
  </si>
  <si>
    <t>TPX</t>
  </si>
  <si>
    <t>CRUCETA</t>
  </si>
  <si>
    <t>ANGULAR</t>
  </si>
  <si>
    <t>cable</t>
  </si>
  <si>
    <t>Retiro Cable</t>
  </si>
  <si>
    <t>pror-250</t>
  </si>
  <si>
    <t>Proyector Ret. 250w</t>
  </si>
  <si>
    <t>Pror-250</t>
  </si>
  <si>
    <t>lumr-150</t>
  </si>
  <si>
    <t>Luminaria Ret. 150w</t>
  </si>
  <si>
    <t>coraza</t>
  </si>
  <si>
    <t>coraza ame metalica 3-4"</t>
  </si>
  <si>
    <t>conduit</t>
  </si>
  <si>
    <t>Tubo Conduit imc 3/4"</t>
  </si>
  <si>
    <t>capacete</t>
  </si>
  <si>
    <t>capacete tuberia imc 3/4"</t>
  </si>
  <si>
    <t>Etiquetas de fila</t>
  </si>
  <si>
    <t>Total general</t>
  </si>
  <si>
    <t>Suma de CANTIDAD</t>
  </si>
  <si>
    <t>Etiquetas de columna</t>
  </si>
  <si>
    <t>cll 18oe cra 44</t>
  </si>
  <si>
    <t>CONEC3</t>
  </si>
  <si>
    <t>Abrazadera una salida 5"</t>
  </si>
  <si>
    <t>cruceta</t>
  </si>
  <si>
    <t>COOPER</t>
  </si>
  <si>
    <t>LUMR-150</t>
  </si>
  <si>
    <t>Proyector ret. 400w</t>
  </si>
  <si>
    <t>pror-400</t>
  </si>
  <si>
    <t>mirador comuna 20</t>
  </si>
  <si>
    <t>poste 10</t>
  </si>
  <si>
    <t>Poste 10m x 510kg</t>
  </si>
  <si>
    <t>cra 42b cll 11OE-13</t>
  </si>
  <si>
    <t>CIEGA1</t>
  </si>
  <si>
    <t>CIEGA2</t>
  </si>
  <si>
    <t>ciega1</t>
  </si>
  <si>
    <t>Abrazadera sin salida 6"</t>
  </si>
  <si>
    <t>Abrazadera sin salida 7"</t>
  </si>
  <si>
    <t>super33</t>
  </si>
  <si>
    <t>super23</t>
  </si>
  <si>
    <t>Cinta Aislante</t>
  </si>
  <si>
    <t>Cinta Autofundente</t>
  </si>
  <si>
    <t>maquina</t>
  </si>
  <si>
    <t>parque y cancha cl 18 oe kra 44</t>
  </si>
  <si>
    <t>Corona</t>
  </si>
  <si>
    <t>corona</t>
  </si>
  <si>
    <t>fecha</t>
  </si>
  <si>
    <t>total ingreso</t>
  </si>
  <si>
    <t>total salida</t>
  </si>
  <si>
    <t>balance</t>
  </si>
  <si>
    <t>Movimiento</t>
  </si>
  <si>
    <t>Ingreso</t>
  </si>
  <si>
    <t>Salida</t>
  </si>
  <si>
    <t>Cantidad</t>
  </si>
  <si>
    <t>proyecto</t>
  </si>
  <si>
    <t>aislador1</t>
  </si>
  <si>
    <t>codigo</t>
  </si>
  <si>
    <t>material</t>
  </si>
  <si>
    <t>Abrazadera tipo corona 6"</t>
  </si>
  <si>
    <t>instalado</t>
  </si>
  <si>
    <t>Mirador 360</t>
  </si>
  <si>
    <t>S.N</t>
  </si>
  <si>
    <t>KIT</t>
  </si>
  <si>
    <t>Pizamos</t>
  </si>
  <si>
    <t>pro- 90</t>
  </si>
  <si>
    <t>proyector 90w</t>
  </si>
  <si>
    <t>Pro- 90</t>
  </si>
  <si>
    <t>6PB0285</t>
  </si>
  <si>
    <t>6PB0313</t>
  </si>
  <si>
    <t>6PB0292</t>
  </si>
  <si>
    <t>6PB0291</t>
  </si>
  <si>
    <t>6PB0296</t>
  </si>
  <si>
    <t>6PB0306</t>
  </si>
  <si>
    <t>BANDA2</t>
  </si>
  <si>
    <t>6G00133</t>
  </si>
  <si>
    <t>6G00157</t>
  </si>
  <si>
    <t>6G00007</t>
  </si>
  <si>
    <t>6G00131</t>
  </si>
  <si>
    <t>LUM-75</t>
  </si>
  <si>
    <t>6E00401</t>
  </si>
  <si>
    <t>6E00427</t>
  </si>
  <si>
    <t>6E00428</t>
  </si>
  <si>
    <t>6E00420</t>
  </si>
  <si>
    <t>6E00457</t>
  </si>
  <si>
    <t>6E00464</t>
  </si>
  <si>
    <t>6E00423</t>
  </si>
  <si>
    <t>6E00515</t>
  </si>
  <si>
    <t>6E00484</t>
  </si>
  <si>
    <t>6E00435</t>
  </si>
  <si>
    <t>6E00344</t>
  </si>
  <si>
    <t>6E00449</t>
  </si>
  <si>
    <t>6E00316</t>
  </si>
  <si>
    <t>#4</t>
  </si>
  <si>
    <t>alambre 14</t>
  </si>
  <si>
    <t>alambre Cu thhn 14 verde</t>
  </si>
  <si>
    <t>brazo L</t>
  </si>
  <si>
    <t>Brazo Galvanizado 1 1/2" tipo L</t>
  </si>
  <si>
    <t>brazo l</t>
  </si>
  <si>
    <t>6E00310</t>
  </si>
  <si>
    <t>6E00477</t>
  </si>
  <si>
    <t>6E00397</t>
  </si>
  <si>
    <t>6E00436</t>
  </si>
  <si>
    <t>6E00454</t>
  </si>
  <si>
    <t>6E00548</t>
  </si>
  <si>
    <t>6E00510</t>
  </si>
  <si>
    <t>6E00474</t>
  </si>
  <si>
    <t>6E00521</t>
  </si>
  <si>
    <t>6E00470</t>
  </si>
  <si>
    <t>6E00125</t>
  </si>
  <si>
    <t>6E00351</t>
  </si>
  <si>
    <t>6E00471</t>
  </si>
  <si>
    <t>6E00408</t>
  </si>
  <si>
    <t>6E00396</t>
  </si>
  <si>
    <t>6E00395</t>
  </si>
  <si>
    <t>6E00410</t>
  </si>
  <si>
    <t>6E00350</t>
  </si>
  <si>
    <t>6E00448</t>
  </si>
  <si>
    <t>6E00497</t>
  </si>
  <si>
    <t>6E00315</t>
  </si>
  <si>
    <t>6E00525</t>
  </si>
  <si>
    <t>6E00456</t>
  </si>
  <si>
    <t>6E00380</t>
  </si>
  <si>
    <t>6E00375</t>
  </si>
  <si>
    <t>BANDIT</t>
  </si>
  <si>
    <t>Cable AL aa-8000 4 awg</t>
  </si>
  <si>
    <t>concertina</t>
  </si>
  <si>
    <t>concertina inox diametro 45cmx6m</t>
  </si>
  <si>
    <t>tubo 2</t>
  </si>
  <si>
    <t>tubo pvc conduit 2"x6m</t>
  </si>
  <si>
    <t>Tubo 2</t>
  </si>
  <si>
    <t>6PB0295</t>
  </si>
  <si>
    <t>6PB0302</t>
  </si>
  <si>
    <t>6PB0299</t>
  </si>
  <si>
    <t>6PB0286</t>
  </si>
  <si>
    <t>6PB0288</t>
  </si>
  <si>
    <t>6PB0305</t>
  </si>
  <si>
    <t>6PD0243</t>
  </si>
  <si>
    <t>6PD0273</t>
  </si>
  <si>
    <t>6PD0242</t>
  </si>
  <si>
    <t>6PD0245</t>
  </si>
  <si>
    <t>6PD0247</t>
  </si>
  <si>
    <t>6PD0259</t>
  </si>
  <si>
    <t>6PD0255</t>
  </si>
  <si>
    <t>6PD0253</t>
  </si>
  <si>
    <t>6E00550</t>
  </si>
  <si>
    <t>6E00124</t>
  </si>
  <si>
    <t>6E00295</t>
  </si>
  <si>
    <t>6E00475</t>
  </si>
  <si>
    <t>6E00483</t>
  </si>
  <si>
    <t>6E00412</t>
  </si>
  <si>
    <t>6E00479</t>
  </si>
  <si>
    <t>6E00540</t>
  </si>
  <si>
    <t>6E00413</t>
  </si>
  <si>
    <t>6E00472</t>
  </si>
  <si>
    <t>6E00434</t>
  </si>
  <si>
    <t>6E00557</t>
  </si>
  <si>
    <t>6E00432</t>
  </si>
  <si>
    <t>6E00509</t>
  </si>
  <si>
    <t>6E00460</t>
  </si>
  <si>
    <t>6E00327</t>
  </si>
  <si>
    <t>6E00549</t>
  </si>
  <si>
    <t>6E00547</t>
  </si>
  <si>
    <t>6E00542</t>
  </si>
  <si>
    <t>tubo 1</t>
  </si>
  <si>
    <t>tubo conduit imc 2"</t>
  </si>
  <si>
    <t>6G00174</t>
  </si>
  <si>
    <t>6G00192</t>
  </si>
  <si>
    <t>6G00176</t>
  </si>
  <si>
    <t>6G00143</t>
  </si>
  <si>
    <t>6G00170</t>
  </si>
  <si>
    <t>6G00199</t>
  </si>
  <si>
    <t>6G00166</t>
  </si>
  <si>
    <t>6G00200</t>
  </si>
  <si>
    <t>6G00183</t>
  </si>
  <si>
    <t>6G00175</t>
  </si>
  <si>
    <t>6G00154</t>
  </si>
  <si>
    <t>6G00172</t>
  </si>
  <si>
    <t>6G00147</t>
  </si>
  <si>
    <t>6G00171</t>
  </si>
  <si>
    <t>6G00138</t>
  </si>
  <si>
    <t>6PD0270</t>
  </si>
  <si>
    <t>6PD0276</t>
  </si>
  <si>
    <t>6PD0263</t>
  </si>
  <si>
    <t>6PD0257</t>
  </si>
  <si>
    <t>6PD0250</t>
  </si>
  <si>
    <t>6PD0277</t>
  </si>
  <si>
    <t>6E00500</t>
  </si>
  <si>
    <t>6E00326</t>
  </si>
  <si>
    <t>6E00478</t>
  </si>
  <si>
    <t>6E00394</t>
  </si>
  <si>
    <t>6E00431</t>
  </si>
  <si>
    <t>6E00450</t>
  </si>
  <si>
    <t>6E00425</t>
  </si>
  <si>
    <t>6E00415</t>
  </si>
  <si>
    <t>6PD0329</t>
  </si>
  <si>
    <t>6PD0319</t>
  </si>
  <si>
    <t>6PD0315</t>
  </si>
  <si>
    <t>6PD0309</t>
  </si>
  <si>
    <t>6PD0323</t>
  </si>
  <si>
    <t>6PD0317</t>
  </si>
  <si>
    <t>6PD0326</t>
  </si>
  <si>
    <t>6PD0316</t>
  </si>
  <si>
    <t>6E00159</t>
  </si>
  <si>
    <t>6E00473</t>
  </si>
  <si>
    <t>6E00445</t>
  </si>
  <si>
    <t>6E00280</t>
  </si>
  <si>
    <t>6E00416</t>
  </si>
  <si>
    <t>6PD0328</t>
  </si>
  <si>
    <t>6PD0310</t>
  </si>
  <si>
    <t>6PD0321</t>
  </si>
  <si>
    <t>6PD0327</t>
  </si>
  <si>
    <t>6PD0311</t>
  </si>
  <si>
    <t>6PD0320</t>
  </si>
  <si>
    <t>6PD0330</t>
  </si>
  <si>
    <t>6PD0312</t>
  </si>
  <si>
    <t>6PD0313</t>
  </si>
  <si>
    <t>6PD0325</t>
  </si>
  <si>
    <t>6PD0244</t>
  </si>
  <si>
    <t>6PD0278</t>
  </si>
  <si>
    <t>6PD0267</t>
  </si>
  <si>
    <t>6PD0264</t>
  </si>
  <si>
    <t>6PD0251</t>
  </si>
  <si>
    <t>6PD0269</t>
  </si>
  <si>
    <t>banda2</t>
  </si>
  <si>
    <t>ciega2</t>
  </si>
  <si>
    <t>6E00546</t>
  </si>
  <si>
    <t>6E00488</t>
  </si>
  <si>
    <t>6E00430</t>
  </si>
  <si>
    <t>6PB0297</t>
  </si>
  <si>
    <t>6PB0312</t>
  </si>
  <si>
    <t>6PB0304</t>
  </si>
  <si>
    <t>6PB0287</t>
  </si>
  <si>
    <t>6PB0283</t>
  </si>
  <si>
    <t>6PB0290</t>
  </si>
  <si>
    <t>poste 12</t>
  </si>
  <si>
    <t>Poste fibra 12m x 510kg</t>
  </si>
  <si>
    <t>Poste fibra 10m x 510kg</t>
  </si>
  <si>
    <t>cra 5 - 66 y 69</t>
  </si>
  <si>
    <t>TUBO 3</t>
  </si>
  <si>
    <t>TUERCA</t>
  </si>
  <si>
    <t>perno2</t>
  </si>
  <si>
    <t xml:space="preserve">Perno carruaje 5-8*2 </t>
  </si>
  <si>
    <t>pvc#4</t>
  </si>
  <si>
    <t>cable al pvc thhn 4 awg</t>
  </si>
  <si>
    <t>HEBILLA</t>
  </si>
  <si>
    <t>6E00404</t>
  </si>
  <si>
    <t>PRO-190</t>
  </si>
  <si>
    <t>6E00150</t>
  </si>
  <si>
    <t>Inventario</t>
  </si>
  <si>
    <t>capacete2</t>
  </si>
  <si>
    <t>capacete 2 pulg</t>
  </si>
  <si>
    <t>Balance</t>
  </si>
  <si>
    <t>Material</t>
  </si>
  <si>
    <t>BRAZO1</t>
  </si>
  <si>
    <t>Brazo1</t>
  </si>
  <si>
    <t>Perno2</t>
  </si>
  <si>
    <t>Abrazadera tipo corona 7"</t>
  </si>
  <si>
    <t>6E00275</t>
  </si>
  <si>
    <t>PVC#4</t>
  </si>
  <si>
    <t>PIZAMOS</t>
  </si>
  <si>
    <t>Devolucion</t>
  </si>
  <si>
    <t>Varios</t>
  </si>
  <si>
    <t>ITEM</t>
  </si>
  <si>
    <t>DESCRIPCIÓN</t>
  </si>
  <si>
    <t>DIA</t>
  </si>
  <si>
    <t>MES</t>
  </si>
  <si>
    <t>AÑO</t>
  </si>
  <si>
    <t>NUMERO DE COMPROBANTE SALIDA</t>
  </si>
  <si>
    <t>NOMBRE QUIEN RECIBE</t>
  </si>
  <si>
    <t>TIPO MOVIMIENTO</t>
  </si>
  <si>
    <t>CIRCUITO</t>
  </si>
  <si>
    <t>NUMERO DE APOYO</t>
  </si>
  <si>
    <t>NUMERO DE MANIOBRA</t>
  </si>
  <si>
    <t>DIRECCION MANIOBRA</t>
  </si>
  <si>
    <t>TIPO ESTRUCTURA</t>
  </si>
  <si>
    <t>CANTIDAD RETENIDAS</t>
  </si>
  <si>
    <t>NUMERO MANIOBRA COINTECA</t>
  </si>
  <si>
    <t>METROS RETENIDA</t>
  </si>
  <si>
    <t>MATERIAL DESINSTALADO</t>
  </si>
  <si>
    <t>SUPERVISOR ENCARGADO</t>
  </si>
  <si>
    <t>GRUPO</t>
  </si>
  <si>
    <t>OBSERVACIONES</t>
  </si>
  <si>
    <t>ENTRADA POWER</t>
  </si>
  <si>
    <t>BALANCE ENTRADAS</t>
  </si>
  <si>
    <t>Abrazadera de dos salidas de 7 a 8- 180 mm</t>
  </si>
  <si>
    <t>Instalación</t>
  </si>
  <si>
    <t>El troncal</t>
  </si>
  <si>
    <t>CLL 33 F CRA 15 A 25</t>
  </si>
  <si>
    <t xml:space="preserve">Doble Terminal Bandera </t>
  </si>
  <si>
    <t>Alexander Angulo</t>
  </si>
  <si>
    <t>ABRAZADERA</t>
  </si>
  <si>
    <t>Abrazadera de dos salidas de 10 a 11- 250 mm</t>
  </si>
  <si>
    <t>769 - 1065</t>
  </si>
  <si>
    <t>cra 12 33a - 34</t>
  </si>
  <si>
    <t>Corrido en C T de ojo</t>
  </si>
  <si>
    <t>cra 19 44 -45</t>
  </si>
  <si>
    <t>Abrazadera de dos salidas de 4 a 5- 140 mm</t>
  </si>
  <si>
    <t>CLL 34 - 17 Y 19</t>
  </si>
  <si>
    <t>MEDIA TENSION</t>
  </si>
  <si>
    <t>ALUMBRADO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</si>
</sst>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3" xfId="0" applyFill="1" applyBorder="1"/>
    <xf numFmtId="0" fontId="0" fillId="0" borderId="3" xfId="0" applyBorder="1"/>
    <xf numFmtId="0" fontId="2" fillId="2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1" fontId="0" fillId="0" borderId="0" xfId="0" applyNumberFormat="1"/>
    <xf numFmtId="0" fontId="3" fillId="0" borderId="0" xfId="0" applyFont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3" fillId="3" borderId="1" xfId="0" applyFont="1" applyFill="1" applyBorder="1"/>
    <xf numFmtId="0" fontId="3" fillId="3" borderId="7" xfId="0" applyFont="1" applyFill="1" applyBorder="1"/>
    <xf numFmtId="0" fontId="0" fillId="2" borderId="7" xfId="0" applyFill="1" applyBorder="1"/>
    <xf numFmtId="0" fontId="0" fillId="0" borderId="7" xfId="0" applyBorder="1"/>
    <xf numFmtId="0" fontId="3" fillId="3" borderId="3" xfId="0" applyFont="1" applyFill="1" applyBorder="1"/>
    <xf numFmtId="14" fontId="0" fillId="2" borderId="3" xfId="0" applyNumberFormat="1" applyFill="1" applyBorder="1"/>
    <xf numFmtId="49" fontId="0" fillId="2" borderId="3" xfId="0" applyNumberFormat="1" applyFill="1" applyBorder="1"/>
    <xf numFmtId="14" fontId="0" fillId="0" borderId="3" xfId="0" applyNumberFormat="1" applyBorder="1"/>
    <xf numFmtId="49" fontId="0" fillId="0" borderId="3" xfId="0" applyNumberFormat="1" applyBorder="1"/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1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3333FF"/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</c:numLit>
          </c:cat>
          <c:val>
            <c:numLit>
              <c:formatCode>General</c:formatCode>
              <c:ptCount val="57"/>
              <c:pt idx="0">
                <c:v>52</c:v>
              </c:pt>
              <c:pt idx="1">
                <c:v>26</c:v>
              </c:pt>
              <c:pt idx="2">
                <c:v>1</c:v>
              </c:pt>
              <c:pt idx="3">
                <c:v>44</c:v>
              </c:pt>
              <c:pt idx="4">
                <c:v>14</c:v>
              </c:pt>
              <c:pt idx="5">
                <c:v>36</c:v>
              </c:pt>
              <c:pt idx="6">
                <c:v>24</c:v>
              </c:pt>
              <c:pt idx="7">
                <c:v>162</c:v>
              </c:pt>
              <c:pt idx="8">
                <c:v>0</c:v>
              </c:pt>
              <c:pt idx="9">
                <c:v>76</c:v>
              </c:pt>
              <c:pt idx="10">
                <c:v>767</c:v>
              </c:pt>
              <c:pt idx="11">
                <c:v>561</c:v>
              </c:pt>
              <c:pt idx="12">
                <c:v>8</c:v>
              </c:pt>
              <c:pt idx="13">
                <c:v>1</c:v>
              </c:pt>
              <c:pt idx="14">
                <c:v>75</c:v>
              </c:pt>
              <c:pt idx="15">
                <c:v>310</c:v>
              </c:pt>
              <c:pt idx="16">
                <c:v>233</c:v>
              </c:pt>
              <c:pt idx="17">
                <c:v>55</c:v>
              </c:pt>
              <c:pt idx="18">
                <c:v>6.9</c:v>
              </c:pt>
              <c:pt idx="19">
                <c:v>28</c:v>
              </c:pt>
              <c:pt idx="20">
                <c:v>18</c:v>
              </c:pt>
              <c:pt idx="21">
                <c:v>144</c:v>
              </c:pt>
              <c:pt idx="22">
                <c:v>259</c:v>
              </c:pt>
              <c:pt idx="23">
                <c:v>136</c:v>
              </c:pt>
              <c:pt idx="24">
                <c:v>79</c:v>
              </c:pt>
              <c:pt idx="25">
                <c:v>26</c:v>
              </c:pt>
              <c:pt idx="26">
                <c:v>36</c:v>
              </c:pt>
              <c:pt idx="27">
                <c:v>130</c:v>
              </c:pt>
              <c:pt idx="28">
                <c:v>0</c:v>
              </c:pt>
              <c:pt idx="29">
                <c:v>43</c:v>
              </c:pt>
              <c:pt idx="30">
                <c:v>34</c:v>
              </c:pt>
              <c:pt idx="31">
                <c:v>3</c:v>
              </c:pt>
              <c:pt idx="32">
                <c:v>74</c:v>
              </c:pt>
              <c:pt idx="33">
                <c:v>18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52</c:v>
              </c:pt>
              <c:pt idx="39">
                <c:v>20</c:v>
              </c:pt>
              <c:pt idx="40">
                <c:v>30.600000000000012</c:v>
              </c:pt>
              <c:pt idx="41">
                <c:v>29</c:v>
              </c:pt>
              <c:pt idx="42">
                <c:v>99</c:v>
              </c:pt>
              <c:pt idx="43">
                <c:v>51</c:v>
              </c:pt>
              <c:pt idx="44">
                <c:v>4</c:v>
              </c:pt>
              <c:pt idx="45">
                <c:v>259</c:v>
              </c:pt>
              <c:pt idx="46">
                <c:v>5</c:v>
              </c:pt>
              <c:pt idx="47">
                <c:v>14</c:v>
              </c:pt>
              <c:pt idx="48">
                <c:v>863</c:v>
              </c:pt>
              <c:pt idx="49">
                <c:v>0</c:v>
              </c:pt>
              <c:pt idx="50">
                <c:v>44</c:v>
              </c:pt>
              <c:pt idx="51">
                <c:v>10</c:v>
              </c:pt>
              <c:pt idx="52">
                <c:v>1</c:v>
              </c:pt>
              <c:pt idx="53">
                <c:v>69</c:v>
              </c:pt>
              <c:pt idx="54">
                <c:v>32</c:v>
              </c:pt>
              <c:pt idx="55">
                <c:v>0</c:v>
              </c:pt>
              <c:pt idx="5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5363-4732-9089-7A8C3E9DF9D6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</c:numLit>
          </c:cat>
          <c:val>
            <c:numLit>
              <c:formatCode>General</c:formatCode>
              <c:ptCount val="57"/>
              <c:pt idx="0">
                <c:v>92</c:v>
              </c:pt>
              <c:pt idx="1">
                <c:v>12</c:v>
              </c:pt>
              <c:pt idx="2">
                <c:v>0</c:v>
              </c:pt>
              <c:pt idx="3">
                <c:v>91</c:v>
              </c:pt>
              <c:pt idx="4">
                <c:v>24</c:v>
              </c:pt>
              <c:pt idx="5">
                <c:v>58</c:v>
              </c:pt>
              <c:pt idx="6">
                <c:v>19</c:v>
              </c:pt>
              <c:pt idx="7">
                <c:v>149</c:v>
              </c:pt>
              <c:pt idx="8">
                <c:v>0</c:v>
              </c:pt>
              <c:pt idx="9">
                <c:v>536</c:v>
              </c:pt>
              <c:pt idx="10">
                <c:v>1031</c:v>
              </c:pt>
              <c:pt idx="11">
                <c:v>716</c:v>
              </c:pt>
              <c:pt idx="12">
                <c:v>34</c:v>
              </c:pt>
              <c:pt idx="13">
                <c:v>3</c:v>
              </c:pt>
              <c:pt idx="14">
                <c:v>60</c:v>
              </c:pt>
              <c:pt idx="15">
                <c:v>364</c:v>
              </c:pt>
              <c:pt idx="16">
                <c:v>372</c:v>
              </c:pt>
              <c:pt idx="17">
                <c:v>83</c:v>
              </c:pt>
              <c:pt idx="18">
                <c:v>10</c:v>
              </c:pt>
              <c:pt idx="19">
                <c:v>13</c:v>
              </c:pt>
              <c:pt idx="20">
                <c:v>16</c:v>
              </c:pt>
              <c:pt idx="21">
                <c:v>160</c:v>
              </c:pt>
              <c:pt idx="22">
                <c:v>260</c:v>
              </c:pt>
              <c:pt idx="23">
                <c:v>308</c:v>
              </c:pt>
              <c:pt idx="24">
                <c:v>73</c:v>
              </c:pt>
              <c:pt idx="25">
                <c:v>22</c:v>
              </c:pt>
              <c:pt idx="26">
                <c:v>37</c:v>
              </c:pt>
              <c:pt idx="27">
                <c:v>133</c:v>
              </c:pt>
              <c:pt idx="28">
                <c:v>0</c:v>
              </c:pt>
              <c:pt idx="29">
                <c:v>51</c:v>
              </c:pt>
              <c:pt idx="30">
                <c:v>63</c:v>
              </c:pt>
              <c:pt idx="31">
                <c:v>29</c:v>
              </c:pt>
              <c:pt idx="32">
                <c:v>80</c:v>
              </c:pt>
              <c:pt idx="33">
                <c:v>18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2</c:v>
              </c:pt>
              <c:pt idx="38">
                <c:v>53</c:v>
              </c:pt>
              <c:pt idx="39">
                <c:v>102</c:v>
              </c:pt>
              <c:pt idx="40">
                <c:v>40</c:v>
              </c:pt>
              <c:pt idx="41">
                <c:v>54</c:v>
              </c:pt>
              <c:pt idx="42">
                <c:v>243</c:v>
              </c:pt>
              <c:pt idx="43">
                <c:v>35</c:v>
              </c:pt>
              <c:pt idx="44">
                <c:v>9</c:v>
              </c:pt>
              <c:pt idx="45">
                <c:v>290</c:v>
              </c:pt>
              <c:pt idx="46">
                <c:v>2</c:v>
              </c:pt>
              <c:pt idx="47">
                <c:v>13</c:v>
              </c:pt>
              <c:pt idx="48">
                <c:v>370</c:v>
              </c:pt>
              <c:pt idx="49">
                <c:v>96</c:v>
              </c:pt>
              <c:pt idx="50">
                <c:v>6</c:v>
              </c:pt>
              <c:pt idx="51">
                <c:v>2</c:v>
              </c:pt>
              <c:pt idx="52">
                <c:v>0</c:v>
              </c:pt>
              <c:pt idx="53">
                <c:v>38</c:v>
              </c:pt>
              <c:pt idx="54">
                <c:v>30</c:v>
              </c:pt>
              <c:pt idx="55">
                <c:v>1</c:v>
              </c:pt>
              <c:pt idx="56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5363-4732-9089-7A8C3E9DF9D6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</c:numLit>
          </c:cat>
          <c:val>
            <c:numLit>
              <c:formatCode>General</c:formatCode>
              <c:ptCount val="5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11</c:v>
              </c:pt>
              <c:pt idx="4">
                <c:v>0</c:v>
              </c:pt>
              <c:pt idx="5">
                <c:v>4</c:v>
              </c:pt>
              <c:pt idx="6">
                <c:v>2</c:v>
              </c:pt>
              <c:pt idx="7">
                <c:v>0</c:v>
              </c:pt>
              <c:pt idx="8">
                <c:v>49</c:v>
              </c:pt>
              <c:pt idx="9">
                <c:v>0</c:v>
              </c:pt>
              <c:pt idx="10">
                <c:v>0</c:v>
              </c:pt>
              <c:pt idx="11">
                <c:v>160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2</c:v>
              </c:pt>
              <c:pt idx="20">
                <c:v>0</c:v>
              </c:pt>
              <c:pt idx="21">
                <c:v>0</c:v>
              </c:pt>
              <c:pt idx="22">
                <c:v>84</c:v>
              </c:pt>
              <c:pt idx="23">
                <c:v>26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62</c:v>
              </c:pt>
              <c:pt idx="29">
                <c:v>0</c:v>
              </c:pt>
              <c:pt idx="30">
                <c:v>4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12</c:v>
              </c:pt>
              <c:pt idx="35">
                <c:v>10</c:v>
              </c:pt>
              <c:pt idx="36">
                <c:v>232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363-4732-9089-7A8C3E9DF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95279"/>
        <c:axId val="680103439"/>
      </c:barChart>
      <c:catAx>
        <c:axId val="6800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103439"/>
        <c:crosses val="autoZero"/>
        <c:auto val="1"/>
        <c:lblAlgn val="ctr"/>
        <c:lblOffset val="100"/>
        <c:noMultiLvlLbl val="0"/>
      </c:catAx>
      <c:valAx>
        <c:axId val="68010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095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4761</xdr:rowOff>
    </xdr:from>
    <xdr:to>
      <xdr:col>8</xdr:col>
      <xdr:colOff>276224</xdr:colOff>
      <xdr:row>81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27EC86-8603-48B4-AF11-53F60C1E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INTECA SAS" refreshedDate="46276.364029629629" createdVersion="8" refreshedVersion="8" minRefreshableVersion="3" recordCount="2184" xr:uid="{51D733BF-84C8-4DAB-8558-32F7C5DA7986}">
  <cacheSource type="worksheet">
    <worksheetSource name="Tabla1"/>
  </cacheSource>
  <cacheFields count="14">
    <cacheField name="CODIGO" numFmtId="0">
      <sharedItems/>
    </cacheField>
    <cacheField name="MATERIAL" numFmtId="0">
      <sharedItems count="57">
        <s v="Abrazadera una salida 7&quot;"/>
        <s v="Aislador Carrreto"/>
        <s v="Cable Al serie AA 8000 rhw # 6 awg"/>
        <s v="Cable Encauchetado 3x14 pvc"/>
        <s v="Cinta Bandit 1/2&quot;"/>
        <s v="Hebilla para cinta bandit 1/2&quot;"/>
        <s v="Conector de Perforacion ais kz-ep (EP95) pequeño"/>
        <s v="Conector resorte 18-8"/>
        <s v="Empalme gel ppal 8-4/0 a der 14-2/0 awg (grande)"/>
        <s v="Empalme gel ppal 4-2/0 a der 14-6 awg (pequeño)"/>
        <s v="Kit puesta tierra acero inoxidable"/>
        <s v="Percha galv 1 puesto"/>
        <s v="Tuberia Conduflex 3/4&quot;"/>
        <s v="Tapa Alfajor"/>
        <s v="Tapa Concreto"/>
        <s v="Fotocelda"/>
        <s v="Luminaria 75w"/>
        <s v="Luminaria Ret. 150w"/>
        <s v="Brazo Galvanizado 2&quot; x 2m"/>
        <s v="proyector 190w"/>
        <s v="Luminaria 110w"/>
        <s v="Brazo Galvanizado 1 1/2&quot; x 2m"/>
        <s v="Abrazadera una salida 6&quot;"/>
        <s v="Cable TPX 2x4 1x4 awg"/>
        <s v="Grillete galvanizado 1,1/2"/>
        <s v="Perno carruaje 5-8*1 1/2"/>
        <s v="Tornillo Maquina 1/2*1 1/2"/>
        <s v="Tuerca Hexagona 5/8"/>
        <s v="Varilla cooperweld 2,4m"/>
        <s v="Conector Varilla cooperw."/>
        <s v="Marco para caja ap"/>
        <s v="proyector 90w"/>
        <s v="Cruceta Metalica 3*3x 1/4"/>
        <s v="angular V"/>
        <s v="Retiro Cable"/>
        <s v="Proyector Ret. 250w"/>
        <s v="coraza ame metalica 3-4&quot;"/>
        <s v="Tubo Conduit imc 3/4&quot;"/>
        <s v="capacete tuberia imc 3/4&quot;"/>
        <s v="Abrazadera una salida 5&quot;"/>
        <s v="alambre Cu thhn 14 verde"/>
        <s v="Cable AL aa-8000 4 awg"/>
        <s v="Proyector ret. 400w"/>
        <s v="Poste fibra 10m x 510kg"/>
        <s v="Abrazadera sin salida 6&quot;"/>
        <s v="Cinta Aislante"/>
        <s v="Abrazadera sin salida 7&quot;"/>
        <s v="Abrazadera tipo corona 7&quot;"/>
        <s v="Cinta Autofundente"/>
        <s v="Brazo Galvanizado 1 1/2&quot; tipo L"/>
        <s v="concertina inox diametro 45cmx6m"/>
        <s v="tubo pvc conduit 2&quot;x6m"/>
        <s v="tubo conduit imc 2&quot;"/>
        <s v="cable al pvc thhn 4 awg"/>
        <s v="Poste fibra 12m x 510kg"/>
        <s v="Perno carruaje 5-8*2 "/>
        <s v="capacete 2 pulg"/>
      </sharedItems>
    </cacheField>
    <cacheField name="CANTIDAD" numFmtId="0">
      <sharedItems containsSemiMixedTypes="0" containsString="0" containsNumber="1" minValue="0.2" maxValue="460"/>
    </cacheField>
    <cacheField name="UNIDAD" numFmtId="0">
      <sharedItems/>
    </cacheField>
    <cacheField name="MOVIMIENTO" numFmtId="0">
      <sharedItems count="4">
        <s v="Entrada"/>
        <s v="Desmonte"/>
        <s v="Instalacion"/>
        <s v="Devolucion"/>
      </sharedItems>
    </cacheField>
    <cacheField name="FECHA" numFmtId="0">
      <sharedItems containsNonDate="0" containsDate="1" containsString="0" containsBlank="1" minDate="2026-06-05T00:00:00" maxDate="2026-08-29T00:00:00"/>
    </cacheField>
    <cacheField name="MARCA" numFmtId="0">
      <sharedItems containsBlank="1"/>
    </cacheField>
    <cacheField name="CODIGO LUMINARIA" numFmtId="0">
      <sharedItems containsBlank="1"/>
    </cacheField>
    <cacheField name="MACROPROYECTO" numFmtId="0">
      <sharedItems count="4">
        <s v="VILLA DEL PRADO"/>
        <s v="SILOE"/>
        <s v="Pizamos"/>
        <s v="Varios"/>
      </sharedItems>
    </cacheField>
    <cacheField name="PROYECTO" numFmtId="0">
      <sharedItems containsString="0" containsBlank="1" containsNumber="1" containsInteger="1" minValue="9820" maxValue="9974"/>
    </cacheField>
    <cacheField name="DIRECCION" numFmtId="0">
      <sharedItems containsBlank="1"/>
    </cacheField>
    <cacheField name="NODO" numFmtId="0">
      <sharedItems containsBlank="1" containsMixedTypes="1" containsNumber="1" containsInteger="1" minValue="1437682" maxValue="9215255"/>
    </cacheField>
    <cacheField name="N° APOYO" numFmtId="0">
      <sharedItems containsBlank="1" containsMixedTypes="1" containsNumber="1" containsInteger="1" minValue="1" maxValue="27"/>
    </cacheField>
    <cacheField name="REINTEGR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Banda2"/>
    <x v="0"/>
    <n v="2"/>
    <s v="Und"/>
    <x v="0"/>
    <d v="2026-06-05T00:00:00"/>
    <m/>
    <m/>
    <x v="0"/>
    <n v="9820"/>
    <s v="cra 5 cll 66 - 69"/>
    <m/>
    <m/>
    <s v="N/A"/>
  </r>
  <r>
    <s v="Aislador1"/>
    <x v="1"/>
    <n v="2"/>
    <s v="Und"/>
    <x v="0"/>
    <d v="2026-06-05T00:00:00"/>
    <m/>
    <m/>
    <x v="0"/>
    <n v="9820"/>
    <s v="cra 5 cll 66 - 69"/>
    <m/>
    <m/>
    <s v="N/A"/>
  </r>
  <r>
    <s v="#6"/>
    <x v="2"/>
    <n v="76"/>
    <s v="Mts"/>
    <x v="0"/>
    <d v="2026-06-05T00:00:00"/>
    <m/>
    <m/>
    <x v="0"/>
    <n v="9820"/>
    <s v="cra 5 cll 66 - 69"/>
    <m/>
    <m/>
    <s v="N/A"/>
  </r>
  <r>
    <s v="3*14"/>
    <x v="3"/>
    <n v="60"/>
    <s v="Mts"/>
    <x v="0"/>
    <d v="2026-06-05T00:00:00"/>
    <m/>
    <m/>
    <x v="0"/>
    <n v="9820"/>
    <s v="cra 5 cll 66 - 69"/>
    <m/>
    <m/>
    <s v="N/A"/>
  </r>
  <r>
    <s v="bandit"/>
    <x v="4"/>
    <n v="6"/>
    <s v="Mts"/>
    <x v="0"/>
    <d v="2026-06-05T00:00:00"/>
    <m/>
    <m/>
    <x v="0"/>
    <n v="9820"/>
    <s v="cra 5 cll 66 - 69"/>
    <m/>
    <m/>
    <s v="N/A"/>
  </r>
  <r>
    <s v="hebilla"/>
    <x v="5"/>
    <n v="6"/>
    <s v="Und"/>
    <x v="0"/>
    <d v="2026-06-05T00:00:00"/>
    <m/>
    <m/>
    <x v="0"/>
    <n v="9820"/>
    <s v="cra 5 cll 66 - 69"/>
    <m/>
    <m/>
    <s v="N/A"/>
  </r>
  <r>
    <s v="conec1"/>
    <x v="6"/>
    <n v="12"/>
    <s v="Und"/>
    <x v="0"/>
    <d v="2026-06-05T00:00:00"/>
    <m/>
    <m/>
    <x v="0"/>
    <n v="9820"/>
    <s v="cra 5 cll 66 - 69"/>
    <m/>
    <m/>
    <s v="N/A"/>
  </r>
  <r>
    <s v="conec2"/>
    <x v="7"/>
    <n v="15"/>
    <s v="Und"/>
    <x v="0"/>
    <d v="2026-06-05T00:00:00"/>
    <m/>
    <m/>
    <x v="0"/>
    <n v="9820"/>
    <s v="cra 5 cll 66 - 69"/>
    <m/>
    <m/>
    <s v="N/A"/>
  </r>
  <r>
    <s v="gel1"/>
    <x v="8"/>
    <n v="2"/>
    <s v="Und"/>
    <x v="0"/>
    <d v="2026-06-05T00:00:00"/>
    <m/>
    <m/>
    <x v="0"/>
    <n v="9820"/>
    <s v="cra 5 cll 66 - 69"/>
    <m/>
    <m/>
    <s v="N/A"/>
  </r>
  <r>
    <s v="gel2"/>
    <x v="9"/>
    <n v="8"/>
    <s v="Und"/>
    <x v="0"/>
    <d v="2026-06-05T00:00:00"/>
    <m/>
    <m/>
    <x v="0"/>
    <n v="9820"/>
    <s v="cra 5 cll 66 - 69"/>
    <m/>
    <m/>
    <s v="N/A"/>
  </r>
  <r>
    <s v="kit"/>
    <x v="10"/>
    <n v="2"/>
    <s v="Und"/>
    <x v="0"/>
    <d v="2026-06-05T00:00:00"/>
    <m/>
    <m/>
    <x v="0"/>
    <n v="9820"/>
    <s v="cra 5 cll 66 - 69"/>
    <m/>
    <m/>
    <s v="N/A"/>
  </r>
  <r>
    <s v="percha1"/>
    <x v="11"/>
    <n v="2"/>
    <s v="Und"/>
    <x v="0"/>
    <d v="2026-06-05T00:00:00"/>
    <m/>
    <m/>
    <x v="0"/>
    <n v="9820"/>
    <s v="cra 5 cll 66 - 69"/>
    <m/>
    <m/>
    <s v="N/A"/>
  </r>
  <r>
    <s v="tubo 3"/>
    <x v="12"/>
    <n v="4"/>
    <s v="Mts"/>
    <x v="0"/>
    <d v="2026-06-05T00:00:00"/>
    <m/>
    <m/>
    <x v="0"/>
    <n v="9820"/>
    <s v="cra 5 cll 66 - 69"/>
    <m/>
    <m/>
    <s v="N/A"/>
  </r>
  <r>
    <s v="tapa1"/>
    <x v="13"/>
    <n v="2"/>
    <s v="Und"/>
    <x v="0"/>
    <d v="2026-06-05T00:00:00"/>
    <m/>
    <m/>
    <x v="0"/>
    <n v="9821"/>
    <s v="cra 5 cll71"/>
    <m/>
    <m/>
    <s v="N/A"/>
  </r>
  <r>
    <s v="tapa2"/>
    <x v="14"/>
    <n v="2"/>
    <s v="Und"/>
    <x v="0"/>
    <d v="2026-06-05T00:00:00"/>
    <m/>
    <m/>
    <x v="0"/>
    <n v="9821"/>
    <s v="cra 5 cll71"/>
    <m/>
    <m/>
    <s v="N/A"/>
  </r>
  <r>
    <s v="3*14"/>
    <x v="3"/>
    <n v="60"/>
    <s v="Mts"/>
    <x v="0"/>
    <d v="2026-06-05T00:00:00"/>
    <m/>
    <m/>
    <x v="0"/>
    <n v="9821"/>
    <s v="cra 5 cll71"/>
    <m/>
    <m/>
    <s v="N/A"/>
  </r>
  <r>
    <s v="conec2"/>
    <x v="7"/>
    <n v="18"/>
    <s v="Und"/>
    <x v="0"/>
    <d v="2026-06-05T00:00:00"/>
    <m/>
    <m/>
    <x v="0"/>
    <n v="9821"/>
    <s v="cra 5 cll71"/>
    <m/>
    <m/>
    <s v="N/A"/>
  </r>
  <r>
    <s v="gel1"/>
    <x v="8"/>
    <n v="4"/>
    <s v="Und"/>
    <x v="0"/>
    <d v="2026-06-05T00:00:00"/>
    <m/>
    <m/>
    <x v="0"/>
    <n v="9821"/>
    <s v="cra 5 cll71"/>
    <m/>
    <m/>
    <s v="N/A"/>
  </r>
  <r>
    <s v="gel2"/>
    <x v="9"/>
    <n v="8"/>
    <s v="Und"/>
    <x v="0"/>
    <d v="2026-06-05T00:00:00"/>
    <m/>
    <m/>
    <x v="0"/>
    <n v="9821"/>
    <s v="cra 5 cll71"/>
    <m/>
    <m/>
    <s v="N/A"/>
  </r>
  <r>
    <s v="Foto"/>
    <x v="15"/>
    <n v="9"/>
    <s v="Und"/>
    <x v="0"/>
    <d v="2026-06-05T00:00:00"/>
    <m/>
    <m/>
    <x v="0"/>
    <n v="9821"/>
    <s v="cra 5 cll71"/>
    <m/>
    <m/>
    <s v="N/A"/>
  </r>
  <r>
    <s v="lum-75"/>
    <x v="16"/>
    <n v="1"/>
    <s v="Und"/>
    <x v="0"/>
    <d v="2026-06-05T00:00:00"/>
    <s v="CURRENT"/>
    <s v="6E00111"/>
    <x v="0"/>
    <n v="9821"/>
    <s v="cra 5 cll71"/>
    <m/>
    <m/>
    <s v="N/A"/>
  </r>
  <r>
    <s v="lumr-150"/>
    <x v="17"/>
    <n v="9"/>
    <s v="Und"/>
    <x v="1"/>
    <d v="2026-06-09T00:00:00"/>
    <m/>
    <m/>
    <x v="0"/>
    <n v="9821"/>
    <s v="cra 5 cll71"/>
    <m/>
    <m/>
    <s v="SI"/>
  </r>
  <r>
    <s v="lumr-150"/>
    <x v="17"/>
    <n v="14"/>
    <s v="Und"/>
    <x v="1"/>
    <d v="2026-06-10T00:00:00"/>
    <m/>
    <m/>
    <x v="0"/>
    <n v="9820"/>
    <s v="cra5 entre cll 66 y 69"/>
    <m/>
    <m/>
    <s v="SI"/>
  </r>
  <r>
    <s v="brazo2"/>
    <x v="18"/>
    <n v="9"/>
    <s v="Und"/>
    <x v="1"/>
    <d v="2026-06-09T00:00:00"/>
    <m/>
    <m/>
    <x v="0"/>
    <n v="9821"/>
    <s v="cra 5 cll71"/>
    <m/>
    <m/>
    <s v="SI"/>
  </r>
  <r>
    <s v="brazo2"/>
    <x v="18"/>
    <n v="14"/>
    <s v="Und"/>
    <x v="1"/>
    <d v="2026-06-10T00:00:00"/>
    <m/>
    <m/>
    <x v="0"/>
    <n v="9820"/>
    <s v="cra5 entre cll 66 y 69"/>
    <m/>
    <m/>
    <s v="SI"/>
  </r>
  <r>
    <s v="Foto"/>
    <x v="15"/>
    <n v="9"/>
    <s v="Und"/>
    <x v="1"/>
    <d v="2026-06-09T00:00:00"/>
    <m/>
    <m/>
    <x v="0"/>
    <n v="9821"/>
    <s v="cra 5 cll71"/>
    <m/>
    <m/>
    <s v="SI"/>
  </r>
  <r>
    <s v="Foto"/>
    <x v="15"/>
    <n v="14"/>
    <s v="Und"/>
    <x v="1"/>
    <d v="2026-06-10T00:00:00"/>
    <m/>
    <m/>
    <x v="0"/>
    <n v="9820"/>
    <s v="cra5 entre cll 66 y 69"/>
    <m/>
    <m/>
    <s v="SI"/>
  </r>
  <r>
    <s v="lum-75"/>
    <x v="16"/>
    <n v="1"/>
    <s v="Und"/>
    <x v="2"/>
    <d v="2026-06-06T00:00:00"/>
    <s v="CURRENT"/>
    <s v="6E00111"/>
    <x v="0"/>
    <n v="9821"/>
    <s v="cra 5 cll71"/>
    <n v="2340194"/>
    <n v="1"/>
    <s v="N/A"/>
  </r>
  <r>
    <s v="lum-75"/>
    <x v="16"/>
    <n v="1"/>
    <s v="Und"/>
    <x v="2"/>
    <d v="2026-06-06T00:00:00"/>
    <s v="CURRENT"/>
    <s v="6E00112"/>
    <x v="0"/>
    <n v="9821"/>
    <s v="cra 5 cll71"/>
    <n v="2340194"/>
    <n v="2"/>
    <s v="N/A"/>
  </r>
  <r>
    <s v="lum-75"/>
    <x v="16"/>
    <n v="1"/>
    <s v="Und"/>
    <x v="2"/>
    <d v="2026-06-06T00:00:00"/>
    <s v="CURRENT"/>
    <s v="6E00113"/>
    <x v="0"/>
    <n v="9821"/>
    <s v="cra 5 cll71"/>
    <n v="2340232"/>
    <n v="4"/>
    <s v="N/A"/>
  </r>
  <r>
    <s v="lum-75"/>
    <x v="16"/>
    <n v="1"/>
    <s v="Und"/>
    <x v="2"/>
    <d v="2026-06-06T00:00:00"/>
    <s v="CURRENT"/>
    <s v="6E00114"/>
    <x v="0"/>
    <n v="9821"/>
    <s v="cra 5 cll71"/>
    <n v="2340232"/>
    <n v="5"/>
    <s v="N/A"/>
  </r>
  <r>
    <s v="lum-75"/>
    <x v="16"/>
    <n v="1"/>
    <s v="Und"/>
    <x v="2"/>
    <d v="2026-06-06T00:00:00"/>
    <s v="CURRENT"/>
    <s v="6E00115"/>
    <x v="0"/>
    <n v="9821"/>
    <s v="cra 5 cll71"/>
    <n v="2340101"/>
    <n v="6"/>
    <s v="N/A"/>
  </r>
  <r>
    <s v="lum-75"/>
    <x v="16"/>
    <n v="1"/>
    <s v="Und"/>
    <x v="2"/>
    <d v="2026-06-06T00:00:00"/>
    <s v="CURRENT"/>
    <s v="6E00116"/>
    <x v="0"/>
    <n v="9821"/>
    <s v="cra 5 cll71"/>
    <n v="2340054"/>
    <n v="3"/>
    <s v="N/A"/>
  </r>
  <r>
    <s v="lum-75"/>
    <x v="16"/>
    <n v="1"/>
    <s v="Und"/>
    <x v="2"/>
    <d v="2026-06-06T00:00:00"/>
    <s v="CURRENT"/>
    <s v="6E00117"/>
    <x v="0"/>
    <n v="9821"/>
    <s v="cra 5 cll71"/>
    <n v="2340283"/>
    <n v="8"/>
    <s v="N/A"/>
  </r>
  <r>
    <s v="lum-75"/>
    <x v="16"/>
    <n v="1"/>
    <s v="Und"/>
    <x v="2"/>
    <d v="2026-06-06T00:00:00"/>
    <s v="CURRENT"/>
    <s v="6E00118"/>
    <x v="0"/>
    <n v="9821"/>
    <s v="cra 5 cll71"/>
    <n v="2340283"/>
    <n v="9"/>
    <s v="N/A"/>
  </r>
  <r>
    <s v="lum-75"/>
    <x v="16"/>
    <n v="1"/>
    <s v="Und"/>
    <x v="2"/>
    <d v="2026-06-06T00:00:00"/>
    <s v="CURRENT"/>
    <s v="6E00119"/>
    <x v="0"/>
    <n v="9821"/>
    <s v="cra 5 cll71"/>
    <n v="2349143"/>
    <n v="10"/>
    <s v="N/A"/>
  </r>
  <r>
    <s v="conec2"/>
    <x v="7"/>
    <n v="3"/>
    <s v="Und"/>
    <x v="2"/>
    <d v="2026-06-06T00:00:00"/>
    <m/>
    <m/>
    <x v="0"/>
    <n v="9821"/>
    <s v="cra 5 cll71"/>
    <n v="2340194"/>
    <n v="1"/>
    <s v="N/A"/>
  </r>
  <r>
    <s v="conec2"/>
    <x v="7"/>
    <n v="3"/>
    <s v="Und"/>
    <x v="2"/>
    <d v="2026-06-06T00:00:00"/>
    <m/>
    <m/>
    <x v="0"/>
    <n v="9821"/>
    <s v="cra 5 cll71"/>
    <n v="2340194"/>
    <n v="2"/>
    <s v="N/A"/>
  </r>
  <r>
    <s v="conec2"/>
    <x v="7"/>
    <n v="3"/>
    <s v="Und"/>
    <x v="2"/>
    <d v="2026-06-06T00:00:00"/>
    <m/>
    <m/>
    <x v="0"/>
    <n v="9821"/>
    <s v="cra 5 cll71"/>
    <n v="2340232"/>
    <n v="4"/>
    <s v="N/A"/>
  </r>
  <r>
    <s v="conec2"/>
    <x v="7"/>
    <n v="3"/>
    <s v="Und"/>
    <x v="2"/>
    <d v="2026-06-06T00:00:00"/>
    <m/>
    <m/>
    <x v="0"/>
    <n v="9821"/>
    <s v="cra 5 cll71"/>
    <n v="2340232"/>
    <n v="5"/>
    <s v="N/A"/>
  </r>
  <r>
    <s v="conec2"/>
    <x v="7"/>
    <n v="3"/>
    <s v="Und"/>
    <x v="2"/>
    <d v="2026-06-06T00:00:00"/>
    <m/>
    <m/>
    <x v="0"/>
    <n v="9821"/>
    <s v="cra 5 cll71"/>
    <n v="2340101"/>
    <n v="6"/>
    <s v="N/A"/>
  </r>
  <r>
    <s v="conec2"/>
    <x v="7"/>
    <n v="3"/>
    <s v="Und"/>
    <x v="2"/>
    <d v="2026-06-06T00:00:00"/>
    <m/>
    <m/>
    <x v="0"/>
    <n v="9821"/>
    <s v="cra 5 cll71"/>
    <n v="2340054"/>
    <n v="3"/>
    <s v="N/A"/>
  </r>
  <r>
    <s v="conec2"/>
    <x v="7"/>
    <n v="3"/>
    <s v="Und"/>
    <x v="2"/>
    <d v="2026-06-06T00:00:00"/>
    <m/>
    <m/>
    <x v="0"/>
    <n v="9821"/>
    <s v="cra 5 cll71"/>
    <n v="2340283"/>
    <n v="8"/>
    <s v="N/A"/>
  </r>
  <r>
    <s v="conec2"/>
    <x v="7"/>
    <n v="3"/>
    <s v="Und"/>
    <x v="2"/>
    <d v="2026-06-06T00:00:00"/>
    <m/>
    <m/>
    <x v="0"/>
    <n v="9821"/>
    <s v="cra 5 cll71"/>
    <n v="2340283"/>
    <n v="9"/>
    <s v="N/A"/>
  </r>
  <r>
    <s v="conec2"/>
    <x v="7"/>
    <n v="3"/>
    <s v="Und"/>
    <x v="2"/>
    <d v="2026-06-06T00:00:00"/>
    <m/>
    <m/>
    <x v="0"/>
    <n v="9821"/>
    <s v="cra 5 cll71"/>
    <n v="2349143"/>
    <n v="10"/>
    <s v="N/A"/>
  </r>
  <r>
    <s v="gel1"/>
    <x v="8"/>
    <n v="2"/>
    <s v="Und"/>
    <x v="2"/>
    <d v="2026-06-06T00:00:00"/>
    <m/>
    <m/>
    <x v="0"/>
    <n v="9821"/>
    <s v="cra 5 cll71"/>
    <n v="2340194"/>
    <n v="1"/>
    <s v="N/A"/>
  </r>
  <r>
    <s v="gel1"/>
    <x v="8"/>
    <n v="2"/>
    <s v="Und"/>
    <x v="2"/>
    <d v="2026-06-06T00:00:00"/>
    <m/>
    <m/>
    <x v="0"/>
    <n v="9821"/>
    <s v="cra 5 cll71"/>
    <n v="2340194"/>
    <n v="2"/>
    <s v="N/A"/>
  </r>
  <r>
    <s v="gel1"/>
    <x v="8"/>
    <n v="2"/>
    <s v="Und"/>
    <x v="2"/>
    <d v="2026-06-06T00:00:00"/>
    <m/>
    <m/>
    <x v="0"/>
    <n v="9821"/>
    <s v="cra 5 cll71"/>
    <n v="2340232"/>
    <n v="4"/>
    <s v="N/A"/>
  </r>
  <r>
    <s v="gel1"/>
    <x v="8"/>
    <n v="2"/>
    <s v="Und"/>
    <x v="2"/>
    <d v="2026-06-06T00:00:00"/>
    <m/>
    <m/>
    <x v="0"/>
    <n v="9821"/>
    <s v="cra 5 cll71"/>
    <n v="2340232"/>
    <n v="5"/>
    <s v="N/A"/>
  </r>
  <r>
    <s v="gel2"/>
    <x v="9"/>
    <n v="2"/>
    <s v="Und"/>
    <x v="2"/>
    <d v="2026-06-06T00:00:00"/>
    <m/>
    <m/>
    <x v="0"/>
    <n v="9821"/>
    <s v="cra 5 cll71"/>
    <n v="2340101"/>
    <n v="6"/>
    <s v="N/A"/>
  </r>
  <r>
    <s v="gel2"/>
    <x v="9"/>
    <n v="2"/>
    <s v="Und"/>
    <x v="2"/>
    <d v="2026-06-06T00:00:00"/>
    <m/>
    <m/>
    <x v="0"/>
    <n v="9821"/>
    <s v="cra 5 cll71"/>
    <n v="2340054"/>
    <n v="3"/>
    <s v="N/A"/>
  </r>
  <r>
    <s v="gel2"/>
    <x v="9"/>
    <n v="2"/>
    <s v="Und"/>
    <x v="2"/>
    <d v="2026-06-06T00:00:00"/>
    <m/>
    <m/>
    <x v="0"/>
    <n v="9821"/>
    <s v="cra 5 cll71"/>
    <n v="2340283"/>
    <n v="8"/>
    <s v="N/A"/>
  </r>
  <r>
    <s v="gel2"/>
    <x v="9"/>
    <n v="2"/>
    <s v="Und"/>
    <x v="2"/>
    <d v="2026-06-06T00:00:00"/>
    <m/>
    <m/>
    <x v="0"/>
    <n v="9821"/>
    <s v="cra 5 cll71"/>
    <n v="2340283"/>
    <n v="9"/>
    <s v="N/A"/>
  </r>
  <r>
    <s v="gel2"/>
    <x v="9"/>
    <n v="2"/>
    <s v="Und"/>
    <x v="2"/>
    <d v="2026-06-06T00:00:00"/>
    <m/>
    <m/>
    <x v="0"/>
    <n v="9821"/>
    <s v="cra 5 cll71"/>
    <n v="2349143"/>
    <n v="10"/>
    <s v="N/A"/>
  </r>
  <r>
    <s v="3*14"/>
    <x v="3"/>
    <n v="10"/>
    <s v="Mts"/>
    <x v="2"/>
    <d v="2026-06-06T00:00:00"/>
    <m/>
    <m/>
    <x v="0"/>
    <n v="9821"/>
    <s v="cra 5 cll71"/>
    <n v="2340194"/>
    <n v="1"/>
    <s v="N/A"/>
  </r>
  <r>
    <s v="3*14"/>
    <x v="3"/>
    <n v="10"/>
    <s v="Mts"/>
    <x v="2"/>
    <d v="2026-06-06T00:00:00"/>
    <m/>
    <m/>
    <x v="0"/>
    <n v="9821"/>
    <s v="cra 5 cll71"/>
    <n v="2340054"/>
    <n v="3"/>
    <s v="N/A"/>
  </r>
  <r>
    <s v="3*14"/>
    <x v="3"/>
    <n v="10"/>
    <s v="Mts"/>
    <x v="2"/>
    <d v="2026-06-06T00:00:00"/>
    <m/>
    <m/>
    <x v="0"/>
    <n v="9821"/>
    <s v="cra 5 cll71"/>
    <n v="2340232"/>
    <n v="5"/>
    <s v="N/A"/>
  </r>
  <r>
    <s v="3*14"/>
    <x v="3"/>
    <n v="10"/>
    <s v="Mts"/>
    <x v="2"/>
    <d v="2026-06-06T00:00:00"/>
    <m/>
    <m/>
    <x v="0"/>
    <n v="9821"/>
    <s v="cra 5 cll71"/>
    <n v="2340101"/>
    <n v="6"/>
    <s v="N/A"/>
  </r>
  <r>
    <s v="3*14"/>
    <x v="3"/>
    <n v="10"/>
    <s v="Mts"/>
    <x v="2"/>
    <d v="2026-06-06T00:00:00"/>
    <m/>
    <m/>
    <x v="0"/>
    <n v="9821"/>
    <s v="cra 5 cll71"/>
    <n v="2340283"/>
    <n v="8"/>
    <s v="N/A"/>
  </r>
  <r>
    <s v="3*14"/>
    <x v="3"/>
    <n v="10"/>
    <s v="Mts"/>
    <x v="2"/>
    <d v="2026-06-06T00:00:00"/>
    <m/>
    <m/>
    <x v="0"/>
    <n v="9821"/>
    <s v="cra 5 cll71"/>
    <n v="2349143"/>
    <n v="10"/>
    <s v="N/A"/>
  </r>
  <r>
    <s v="tapa2"/>
    <x v="14"/>
    <n v="1"/>
    <s v="Und"/>
    <x v="2"/>
    <d v="2026-06-06T00:00:00"/>
    <m/>
    <m/>
    <x v="0"/>
    <n v="9821"/>
    <s v="cra 5 cll71"/>
    <n v="2340232"/>
    <n v="4"/>
    <s v="N/A"/>
  </r>
  <r>
    <s v="tapa2"/>
    <x v="14"/>
    <n v="1"/>
    <s v="Und"/>
    <x v="2"/>
    <d v="2026-06-06T00:00:00"/>
    <m/>
    <m/>
    <x v="0"/>
    <n v="9821"/>
    <s v="cra 5 cll71"/>
    <n v="2340101"/>
    <n v="6"/>
    <s v="N/A"/>
  </r>
  <r>
    <s v="tubo 3"/>
    <x v="12"/>
    <n v="1"/>
    <s v="Mts"/>
    <x v="2"/>
    <d v="2026-06-06T00:00:00"/>
    <m/>
    <m/>
    <x v="0"/>
    <n v="9821"/>
    <s v="cra 5 cll71"/>
    <n v="2340194"/>
    <n v="1"/>
    <s v="N/A"/>
  </r>
  <r>
    <s v="lum-75"/>
    <x v="16"/>
    <n v="1"/>
    <s v="Und"/>
    <x v="0"/>
    <d v="2026-06-05T00:00:00"/>
    <s v="CURRENT"/>
    <s v="6E00119"/>
    <x v="0"/>
    <n v="9821"/>
    <s v="cra 5 cll71"/>
    <m/>
    <s v="N/A"/>
    <s v="SI"/>
  </r>
  <r>
    <s v="lum-75"/>
    <x v="16"/>
    <n v="1"/>
    <s v="Und"/>
    <x v="0"/>
    <d v="2026-06-05T00:00:00"/>
    <s v="CURRENT"/>
    <s v="6E00112"/>
    <x v="0"/>
    <n v="9821"/>
    <s v="cra 5 cll71"/>
    <m/>
    <s v="N/A"/>
    <s v="SI"/>
  </r>
  <r>
    <s v="lum-75"/>
    <x v="16"/>
    <n v="1"/>
    <s v="Und"/>
    <x v="0"/>
    <d v="2026-06-05T00:00:00"/>
    <s v="CURRENT"/>
    <s v="6E00113"/>
    <x v="0"/>
    <n v="9821"/>
    <s v="cra 5 cll71"/>
    <m/>
    <s v="N/A"/>
    <s v="SI"/>
  </r>
  <r>
    <s v="lum-75"/>
    <x v="16"/>
    <n v="1"/>
    <s v="Und"/>
    <x v="0"/>
    <d v="2026-06-05T00:00:00"/>
    <s v="CURRENT"/>
    <s v="6E00114"/>
    <x v="0"/>
    <n v="9821"/>
    <s v="cra 5 cll71"/>
    <m/>
    <s v="N/A"/>
    <s v="SI"/>
  </r>
  <r>
    <s v="lum-75"/>
    <x v="16"/>
    <n v="1"/>
    <s v="Und"/>
    <x v="0"/>
    <d v="2026-06-05T00:00:00"/>
    <s v="CURRENT"/>
    <s v="6E00115"/>
    <x v="0"/>
    <n v="9821"/>
    <s v="cra 5 cll71"/>
    <m/>
    <s v="N/A"/>
    <s v="SI"/>
  </r>
  <r>
    <s v="lum-75"/>
    <x v="16"/>
    <n v="1"/>
    <s v="Und"/>
    <x v="0"/>
    <d v="2026-06-05T00:00:00"/>
    <s v="CURRENT"/>
    <s v="6E00116"/>
    <x v="0"/>
    <n v="9821"/>
    <s v="cra 5 cll71"/>
    <m/>
    <s v="N/A"/>
    <s v="SI"/>
  </r>
  <r>
    <s v="lum-75"/>
    <x v="16"/>
    <n v="1"/>
    <s v="Und"/>
    <x v="0"/>
    <d v="2026-06-05T00:00:00"/>
    <s v="CURRENT"/>
    <s v="6E00117"/>
    <x v="0"/>
    <n v="9821"/>
    <s v="cra 5 cll71"/>
    <m/>
    <s v="N/A"/>
    <s v="SI"/>
  </r>
  <r>
    <s v="lum-75"/>
    <x v="16"/>
    <n v="1"/>
    <s v="Und"/>
    <x v="0"/>
    <d v="2026-06-05T00:00:00"/>
    <s v="CURRENT"/>
    <s v="6E00118"/>
    <x v="0"/>
    <n v="9821"/>
    <s v="cra 5 cll71"/>
    <m/>
    <s v="N/A"/>
    <s v="SI"/>
  </r>
  <r>
    <s v="pro-190"/>
    <x v="19"/>
    <n v="1"/>
    <s v="Und"/>
    <x v="0"/>
    <d v="2026-06-27T00:00:00"/>
    <s v="CURRENT"/>
    <s v="6PD0117"/>
    <x v="1"/>
    <n v="9961"/>
    <s v="cr54cll 2oeste"/>
    <m/>
    <m/>
    <m/>
  </r>
  <r>
    <s v="pro-190"/>
    <x v="19"/>
    <n v="1"/>
    <s v="Und"/>
    <x v="0"/>
    <d v="2026-06-27T00:00:00"/>
    <s v="CURRENT"/>
    <s v="6PD0118"/>
    <x v="1"/>
    <n v="9961"/>
    <s v="cr54cll 2oeste"/>
    <m/>
    <m/>
    <m/>
  </r>
  <r>
    <s v="pro-190"/>
    <x v="19"/>
    <n v="1"/>
    <s v="Und"/>
    <x v="0"/>
    <d v="2026-06-27T00:00:00"/>
    <s v="CURRENT"/>
    <s v="6PD0119"/>
    <x v="1"/>
    <n v="9961"/>
    <s v="cr54cll 2oeste"/>
    <m/>
    <m/>
    <m/>
  </r>
  <r>
    <s v="pro-190"/>
    <x v="19"/>
    <n v="1"/>
    <s v="Und"/>
    <x v="0"/>
    <d v="2026-06-27T00:00:00"/>
    <s v="CURRENT"/>
    <s v="6PD0120"/>
    <x v="1"/>
    <n v="9961"/>
    <s v="cr54cll 2oeste"/>
    <m/>
    <m/>
    <m/>
  </r>
  <r>
    <s v="pro-190"/>
    <x v="19"/>
    <n v="1"/>
    <s v="Und"/>
    <x v="0"/>
    <d v="2026-06-27T00:00:00"/>
    <s v="CURRENT"/>
    <s v="6PD0121"/>
    <x v="1"/>
    <n v="9961"/>
    <s v="cr54cll 2oeste"/>
    <m/>
    <m/>
    <m/>
  </r>
  <r>
    <s v="pro-190"/>
    <x v="19"/>
    <n v="1"/>
    <s v="Und"/>
    <x v="0"/>
    <d v="2026-06-27T00:00:00"/>
    <s v="CURRENT"/>
    <s v="6PD0122"/>
    <x v="1"/>
    <n v="9961"/>
    <s v="cr54cll 2oeste"/>
    <m/>
    <m/>
    <m/>
  </r>
  <r>
    <s v="pro-190"/>
    <x v="19"/>
    <n v="1"/>
    <s v="Und"/>
    <x v="0"/>
    <d v="2026-06-27T00:00:00"/>
    <s v="CURRENT"/>
    <s v="6PD0123"/>
    <x v="1"/>
    <n v="9963"/>
    <s v="cll18 oeste cr44 oeste"/>
    <m/>
    <m/>
    <m/>
  </r>
  <r>
    <s v="pro-190"/>
    <x v="19"/>
    <n v="1"/>
    <s v="Und"/>
    <x v="2"/>
    <d v="2026-07-01T00:00:00"/>
    <s v="CURRENT"/>
    <s v="6PD0123"/>
    <x v="1"/>
    <n v="9963"/>
    <s v="cll 18oe cra 44"/>
    <n v="2295580"/>
    <n v="6"/>
    <m/>
  </r>
  <r>
    <s v="pro-190"/>
    <x v="19"/>
    <n v="1"/>
    <s v="Und"/>
    <x v="0"/>
    <d v="2026-06-27T00:00:00"/>
    <s v="CURRENT"/>
    <s v="6PD0124"/>
    <x v="1"/>
    <n v="9963"/>
    <s v="cll18 oeste cr44 oeste"/>
    <m/>
    <m/>
    <m/>
  </r>
  <r>
    <s v="pro-190"/>
    <x v="19"/>
    <n v="1"/>
    <s v="Und"/>
    <x v="2"/>
    <d v="2026-07-01T00:00:00"/>
    <s v="CURRENT"/>
    <s v="6PD0124"/>
    <x v="1"/>
    <n v="9963"/>
    <s v="cll 18oe cra 44"/>
    <n v="2295580"/>
    <n v="5"/>
    <m/>
  </r>
  <r>
    <s v="pro-190"/>
    <x v="19"/>
    <n v="1"/>
    <s v="Und"/>
    <x v="0"/>
    <d v="2026-06-25T00:00:00"/>
    <s v="CURRENT"/>
    <s v="6PD0139"/>
    <x v="1"/>
    <n v="9958"/>
    <s v="cr42b-cl11/13"/>
    <m/>
    <m/>
    <m/>
  </r>
  <r>
    <s v="pro-190"/>
    <x v="19"/>
    <n v="1"/>
    <s v="Und"/>
    <x v="2"/>
    <d v="2026-06-26T00:00:00"/>
    <s v="CURRENT"/>
    <s v="6PD0139"/>
    <x v="1"/>
    <n v="9958"/>
    <m/>
    <n v="2277638"/>
    <n v="3"/>
    <m/>
  </r>
  <r>
    <s v="pro-190"/>
    <x v="19"/>
    <n v="1"/>
    <s v="Und"/>
    <x v="0"/>
    <d v="2026-06-25T00:00:00"/>
    <s v="CURRENT"/>
    <s v="6PD0140"/>
    <x v="1"/>
    <n v="9958"/>
    <s v="cr42b-cl11/13"/>
    <m/>
    <m/>
    <m/>
  </r>
  <r>
    <s v="pro-190"/>
    <x v="19"/>
    <n v="1"/>
    <s v="Und"/>
    <x v="2"/>
    <d v="2026-06-26T00:00:00"/>
    <s v="CURRENT"/>
    <s v="6PD0140"/>
    <x v="1"/>
    <n v="9958"/>
    <m/>
    <n v="2277638"/>
    <n v="6"/>
    <m/>
  </r>
  <r>
    <s v="pro-190"/>
    <x v="19"/>
    <n v="1"/>
    <s v="Und"/>
    <x v="0"/>
    <d v="2026-06-25T00:00:00"/>
    <s v="CURRENT"/>
    <s v="6PD0141"/>
    <x v="1"/>
    <n v="9958"/>
    <s v="cr42b-cl11/13"/>
    <m/>
    <m/>
    <m/>
  </r>
  <r>
    <s v="lum-110"/>
    <x v="20"/>
    <n v="1"/>
    <s v="Und"/>
    <x v="0"/>
    <d v="2026-06-25T00:00:00"/>
    <s v="CURRENT"/>
    <s v="6G00135"/>
    <x v="1"/>
    <n v="9958"/>
    <s v="cr42b-cl11/13"/>
    <m/>
    <m/>
    <m/>
  </r>
  <r>
    <s v="lum-110"/>
    <x v="20"/>
    <n v="1"/>
    <s v="Und"/>
    <x v="0"/>
    <d v="2026-06-25T00:00:00"/>
    <s v="CURRENT"/>
    <s v="6G00142"/>
    <x v="1"/>
    <n v="9958"/>
    <s v="cr42b-cl11/13"/>
    <m/>
    <m/>
    <m/>
  </r>
  <r>
    <s v="lum-110"/>
    <x v="20"/>
    <n v="1"/>
    <s v="Und"/>
    <x v="0"/>
    <d v="2026-06-25T00:00:00"/>
    <s v="CURRENT"/>
    <s v="6G00139"/>
    <x v="1"/>
    <n v="9958"/>
    <s v="cr42b-cl11/13"/>
    <m/>
    <m/>
    <m/>
  </r>
  <r>
    <s v="Foto"/>
    <x v="15"/>
    <n v="18"/>
    <s v="Und"/>
    <x v="0"/>
    <d v="2026-06-25T00:00:00"/>
    <m/>
    <m/>
    <x v="1"/>
    <n v="9958"/>
    <s v="cr42b-cl11/13"/>
    <m/>
    <m/>
    <m/>
  </r>
  <r>
    <s v="brazo1"/>
    <x v="21"/>
    <n v="3"/>
    <s v="Und"/>
    <x v="0"/>
    <d v="2026-06-25T00:00:00"/>
    <m/>
    <m/>
    <x v="1"/>
    <n v="9958"/>
    <s v="cr42b-cl11/13"/>
    <m/>
    <m/>
    <m/>
  </r>
  <r>
    <s v="pro-190"/>
    <x v="19"/>
    <n v="1"/>
    <s v="Und"/>
    <x v="2"/>
    <d v="2026-06-26T00:00:00"/>
    <s v="CURRENT"/>
    <s v="6PD0141"/>
    <x v="1"/>
    <n v="9958"/>
    <m/>
    <n v="2277638"/>
    <n v="7"/>
    <m/>
  </r>
  <r>
    <s v="pro-190"/>
    <x v="19"/>
    <n v="1"/>
    <s v="Und"/>
    <x v="0"/>
    <d v="2026-06-25T00:00:00"/>
    <s v="CURRENT"/>
    <s v="6PD0142"/>
    <x v="1"/>
    <n v="9958"/>
    <s v="cr42b-cl11/13"/>
    <m/>
    <m/>
    <m/>
  </r>
  <r>
    <s v="pro-190"/>
    <x v="19"/>
    <n v="1"/>
    <s v="Und"/>
    <x v="2"/>
    <d v="2026-06-26T00:00:00"/>
    <s v="CURRENT"/>
    <s v="6PD0142"/>
    <x v="1"/>
    <n v="9958"/>
    <m/>
    <n v="2277689"/>
    <n v="8"/>
    <m/>
  </r>
  <r>
    <s v="pro-190"/>
    <x v="19"/>
    <n v="1"/>
    <s v="Und"/>
    <x v="0"/>
    <d v="2026-06-25T00:00:00"/>
    <s v="CURRENT"/>
    <s v="6PD0143"/>
    <x v="1"/>
    <n v="9958"/>
    <s v="cr42b-cl11/13"/>
    <m/>
    <m/>
    <m/>
  </r>
  <r>
    <s v="pro-190"/>
    <x v="19"/>
    <n v="1"/>
    <s v="Und"/>
    <x v="2"/>
    <d v="2026-06-26T00:00:00"/>
    <s v="CURRENT"/>
    <s v="6PD0143"/>
    <x v="1"/>
    <n v="9958"/>
    <m/>
    <n v="2277638"/>
    <n v="8"/>
    <m/>
  </r>
  <r>
    <s v="pro-190"/>
    <x v="19"/>
    <n v="1"/>
    <s v="Und"/>
    <x v="0"/>
    <d v="2026-06-25T00:00:00"/>
    <s v="CURRENT"/>
    <s v="6PD0144"/>
    <x v="1"/>
    <n v="9958"/>
    <s v="cr42b-cl11/13"/>
    <m/>
    <m/>
    <m/>
  </r>
  <r>
    <s v="pro-190"/>
    <x v="19"/>
    <n v="1"/>
    <s v="Und"/>
    <x v="2"/>
    <d v="2026-06-26T00:00:00"/>
    <s v="CURRENT"/>
    <s v="6PD0144"/>
    <x v="1"/>
    <n v="9958"/>
    <m/>
    <n v="2277689"/>
    <n v="12"/>
    <m/>
  </r>
  <r>
    <s v="pro-190"/>
    <x v="19"/>
    <n v="1"/>
    <s v="Und"/>
    <x v="0"/>
    <d v="2026-06-25T00:00:00"/>
    <s v="CURRENT"/>
    <s v="6PD0145"/>
    <x v="1"/>
    <n v="9958"/>
    <s v="cr42b-cl11/13"/>
    <m/>
    <m/>
    <m/>
  </r>
  <r>
    <s v="pro-190"/>
    <x v="19"/>
    <n v="1"/>
    <s v="Und"/>
    <x v="2"/>
    <d v="2026-06-26T00:00:00"/>
    <s v="CURRENT"/>
    <s v="6PD0145"/>
    <x v="1"/>
    <n v="9958"/>
    <m/>
    <n v="2277638"/>
    <n v="5"/>
    <m/>
  </r>
  <r>
    <s v="pro-190"/>
    <x v="19"/>
    <n v="1"/>
    <s v="Und"/>
    <x v="0"/>
    <d v="2026-06-25T00:00:00"/>
    <s v="CURRENT"/>
    <s v="6PD0146"/>
    <x v="1"/>
    <n v="9958"/>
    <s v="cr42b-cl11/13"/>
    <m/>
    <m/>
    <m/>
  </r>
  <r>
    <s v="pro-190"/>
    <x v="19"/>
    <n v="1"/>
    <s v="Und"/>
    <x v="2"/>
    <d v="2026-06-26T00:00:00"/>
    <s v="CURRENT"/>
    <s v="6PD0146"/>
    <x v="1"/>
    <n v="9958"/>
    <m/>
    <n v="2277689"/>
    <n v="13"/>
    <m/>
  </r>
  <r>
    <s v="pro-190"/>
    <x v="19"/>
    <n v="1"/>
    <s v="Und"/>
    <x v="0"/>
    <d v="2026-06-25T00:00:00"/>
    <s v="CURRENT"/>
    <s v="6PD0147"/>
    <x v="1"/>
    <n v="9958"/>
    <s v="cr42b-cl11/13"/>
    <m/>
    <m/>
    <m/>
  </r>
  <r>
    <s v="pro-190"/>
    <x v="19"/>
    <n v="1"/>
    <s v="Und"/>
    <x v="2"/>
    <d v="2026-06-26T00:00:00"/>
    <s v="CURRENT"/>
    <s v="6PD0147"/>
    <x v="1"/>
    <n v="9958"/>
    <m/>
    <n v="2277689"/>
    <n v="14"/>
    <m/>
  </r>
  <r>
    <s v="pro-190"/>
    <x v="19"/>
    <n v="1"/>
    <s v="Und"/>
    <x v="0"/>
    <d v="2026-06-25T00:00:00"/>
    <s v="CURRENT"/>
    <s v="6PD0148"/>
    <x v="1"/>
    <n v="9958"/>
    <s v="cr42b-cl11/13"/>
    <m/>
    <m/>
    <m/>
  </r>
  <r>
    <s v="lum-110"/>
    <x v="20"/>
    <n v="1"/>
    <s v="Und"/>
    <x v="0"/>
    <d v="2026-06-25T00:00:00"/>
    <s v="CURRENT"/>
    <s v="6G00204"/>
    <x v="1"/>
    <n v="9959"/>
    <s v="cr42b-cl11/13"/>
    <m/>
    <m/>
    <m/>
  </r>
  <r>
    <s v="lum-110"/>
    <x v="20"/>
    <n v="1"/>
    <s v="Und"/>
    <x v="0"/>
    <d v="2026-06-25T00:00:00"/>
    <s v="CURRENT"/>
    <s v="6G00209"/>
    <x v="1"/>
    <n v="9959"/>
    <s v="cr42b-cl11/13"/>
    <m/>
    <m/>
    <m/>
  </r>
  <r>
    <s v="lum-110"/>
    <x v="20"/>
    <n v="1"/>
    <s v="Und"/>
    <x v="0"/>
    <d v="2026-06-25T00:00:00"/>
    <s v="CURRENT"/>
    <s v="6G00211"/>
    <x v="1"/>
    <n v="9959"/>
    <s v="cr42b-cl11/13"/>
    <m/>
    <m/>
    <m/>
  </r>
  <r>
    <s v="Foto"/>
    <x v="15"/>
    <n v="17"/>
    <s v="Und"/>
    <x v="0"/>
    <d v="2026-06-25T00:00:00"/>
    <m/>
    <m/>
    <x v="1"/>
    <n v="9959"/>
    <s v="cr42b-cl11/13"/>
    <m/>
    <m/>
    <m/>
  </r>
  <r>
    <s v="brazo1"/>
    <x v="21"/>
    <n v="3"/>
    <s v="Und"/>
    <x v="0"/>
    <d v="2026-06-25T00:00:00"/>
    <m/>
    <m/>
    <x v="1"/>
    <n v="9959"/>
    <s v="cr42b-cl11/13"/>
    <m/>
    <m/>
    <m/>
  </r>
  <r>
    <s v="lum-75"/>
    <x v="16"/>
    <n v="1"/>
    <s v="Und"/>
    <x v="0"/>
    <d v="2026-06-25T00:00:00"/>
    <s v="CURRENT"/>
    <s v="6E00253"/>
    <x v="1"/>
    <n v="9960"/>
    <s v="cr42b-cl11/13"/>
    <m/>
    <m/>
    <m/>
  </r>
  <r>
    <s v="lum-75"/>
    <x v="16"/>
    <n v="1"/>
    <s v="Und"/>
    <x v="0"/>
    <d v="2026-06-25T00:00:00"/>
    <s v="CURRENT"/>
    <s v="6E00247"/>
    <x v="1"/>
    <n v="9960"/>
    <s v="cr42b-cl11/13"/>
    <m/>
    <m/>
    <m/>
  </r>
  <r>
    <s v="lum-75"/>
    <x v="16"/>
    <n v="1"/>
    <s v="Und"/>
    <x v="0"/>
    <d v="2026-06-25T00:00:00"/>
    <s v="CURRENT"/>
    <s v="6E00209"/>
    <x v="1"/>
    <n v="9960"/>
    <s v="cr42b-cl11/13"/>
    <m/>
    <m/>
    <m/>
  </r>
  <r>
    <s v="lum-75"/>
    <x v="16"/>
    <n v="1"/>
    <s v="Und"/>
    <x v="0"/>
    <d v="2026-06-25T00:00:00"/>
    <s v="CURRENT"/>
    <s v="6E00256"/>
    <x v="1"/>
    <n v="9960"/>
    <s v="cr42b-cl11/13"/>
    <m/>
    <m/>
    <m/>
  </r>
  <r>
    <s v="lum-75"/>
    <x v="16"/>
    <n v="1"/>
    <s v="Und"/>
    <x v="0"/>
    <d v="2026-06-25T00:00:00"/>
    <s v="CURRENT"/>
    <s v="6E00282"/>
    <x v="1"/>
    <n v="9960"/>
    <s v="cr42b-cl11/13"/>
    <m/>
    <m/>
    <m/>
  </r>
  <r>
    <s v="lum-75"/>
    <x v="16"/>
    <n v="1"/>
    <s v="Und"/>
    <x v="0"/>
    <d v="2026-06-25T00:00:00"/>
    <s v="CURRENT"/>
    <s v="6E00249"/>
    <x v="1"/>
    <n v="9960"/>
    <s v="cr42b-cl11/13"/>
    <m/>
    <m/>
    <m/>
  </r>
  <r>
    <s v="lum-75"/>
    <x v="16"/>
    <n v="1"/>
    <s v="Und"/>
    <x v="0"/>
    <d v="2026-06-25T00:00:00"/>
    <s v="CURRENT"/>
    <s v="6E00259"/>
    <x v="1"/>
    <n v="9960"/>
    <s v="cr42b-cl11/13"/>
    <m/>
    <m/>
    <m/>
  </r>
  <r>
    <s v="lum-75"/>
    <x v="16"/>
    <n v="1"/>
    <s v="Und"/>
    <x v="0"/>
    <d v="2026-06-25T00:00:00"/>
    <s v="CURRENT"/>
    <s v="6E00251"/>
    <x v="1"/>
    <n v="9960"/>
    <s v="cr42b-cl11/13"/>
    <m/>
    <m/>
    <m/>
  </r>
  <r>
    <s v="lum-75"/>
    <x v="16"/>
    <n v="1"/>
    <s v="Und"/>
    <x v="0"/>
    <d v="2026-06-25T00:00:00"/>
    <s v="CURRENT"/>
    <s v="6E00274"/>
    <x v="1"/>
    <n v="9960"/>
    <s v="cr42b-cl11/13"/>
    <m/>
    <m/>
    <m/>
  </r>
  <r>
    <s v="lum-75"/>
    <x v="16"/>
    <n v="1"/>
    <s v="Und"/>
    <x v="0"/>
    <d v="2026-06-25T00:00:00"/>
    <s v="CURRENT"/>
    <s v="6E00278"/>
    <x v="1"/>
    <n v="9960"/>
    <s v="cr42b-cl11/13"/>
    <m/>
    <m/>
    <m/>
  </r>
  <r>
    <s v="lum-75"/>
    <x v="16"/>
    <n v="1"/>
    <s v="Und"/>
    <x v="0"/>
    <d v="2026-06-25T00:00:00"/>
    <s v="CURRENT"/>
    <s v="6E00237"/>
    <x v="1"/>
    <n v="9960"/>
    <s v="cr42b-cl11/13"/>
    <m/>
    <m/>
    <m/>
  </r>
  <r>
    <s v="lum-75"/>
    <x v="16"/>
    <n v="1"/>
    <s v="Und"/>
    <x v="0"/>
    <d v="2026-06-25T00:00:00"/>
    <s v="CURRENT"/>
    <s v="6E00233"/>
    <x v="1"/>
    <n v="9960"/>
    <s v="cr42b-cl11/13"/>
    <m/>
    <m/>
    <m/>
  </r>
  <r>
    <s v="lum-75"/>
    <x v="16"/>
    <n v="1"/>
    <s v="Und"/>
    <x v="0"/>
    <d v="2026-06-25T00:00:00"/>
    <s v="CURRENT"/>
    <s v="6E00257"/>
    <x v="1"/>
    <n v="9960"/>
    <s v="cr42b-cl11/13"/>
    <m/>
    <m/>
    <m/>
  </r>
  <r>
    <s v="lum-75"/>
    <x v="16"/>
    <n v="1"/>
    <s v="Und"/>
    <x v="0"/>
    <d v="2026-06-25T00:00:00"/>
    <s v="CURRENT"/>
    <s v="6E00255"/>
    <x v="1"/>
    <n v="9960"/>
    <s v="cr42b-cl11/13"/>
    <m/>
    <m/>
    <m/>
  </r>
  <r>
    <s v="lum-75"/>
    <x v="16"/>
    <n v="1"/>
    <s v="Und"/>
    <x v="0"/>
    <d v="2026-06-25T00:00:00"/>
    <s v="CURRENT"/>
    <s v="6E00245"/>
    <x v="1"/>
    <n v="9960"/>
    <s v="cr42b-cl11/13"/>
    <m/>
    <m/>
    <m/>
  </r>
  <r>
    <s v="lum-75"/>
    <x v="16"/>
    <n v="1"/>
    <s v="Und"/>
    <x v="0"/>
    <d v="2026-06-25T00:00:00"/>
    <s v="CURRENT"/>
    <s v="6E00270"/>
    <x v="1"/>
    <n v="9960"/>
    <s v="cr42b-cl11/13"/>
    <m/>
    <m/>
    <m/>
  </r>
  <r>
    <s v="Foto"/>
    <x v="15"/>
    <n v="16"/>
    <s v="Und"/>
    <x v="0"/>
    <d v="2026-06-25T00:00:00"/>
    <m/>
    <m/>
    <x v="1"/>
    <n v="9960"/>
    <s v="cr42b-cl11/13"/>
    <m/>
    <m/>
    <m/>
  </r>
  <r>
    <s v="pro-190"/>
    <x v="19"/>
    <n v="1"/>
    <s v="Und"/>
    <x v="2"/>
    <d v="2026-06-26T00:00:00"/>
    <s v="CURRENT"/>
    <s v="6PD0148"/>
    <x v="1"/>
    <n v="9958"/>
    <m/>
    <n v="2277689"/>
    <n v="11"/>
    <m/>
  </r>
  <r>
    <s v="Foto"/>
    <x v="15"/>
    <n v="1"/>
    <s v="Und"/>
    <x v="0"/>
    <d v="2026-06-27T00:00:00"/>
    <m/>
    <m/>
    <x v="1"/>
    <n v="9959"/>
    <s v="cr42b-cl11/13"/>
    <m/>
    <m/>
    <m/>
  </r>
  <r>
    <s v="lum-75"/>
    <x v="16"/>
    <n v="1"/>
    <s v="Und"/>
    <x v="0"/>
    <d v="2026-06-27T00:00:00"/>
    <s v="CURRENT"/>
    <s v="6E00211"/>
    <x v="1"/>
    <n v="9961"/>
    <s v="cr54cll 2oeste"/>
    <m/>
    <m/>
    <m/>
  </r>
  <r>
    <s v="lum-75"/>
    <x v="16"/>
    <n v="1"/>
    <s v="Und"/>
    <x v="0"/>
    <d v="2026-06-27T00:00:00"/>
    <s v="CURRENT"/>
    <s v="6E00271"/>
    <x v="1"/>
    <n v="9961"/>
    <s v="cr54cll 2oeste"/>
    <m/>
    <m/>
    <m/>
  </r>
  <r>
    <s v="lum-75"/>
    <x v="16"/>
    <n v="1"/>
    <s v="Und"/>
    <x v="0"/>
    <d v="2026-06-27T00:00:00"/>
    <s v="CURRENT"/>
    <s v="6E00224"/>
    <x v="1"/>
    <n v="9961"/>
    <s v="cr54cll 2oeste"/>
    <m/>
    <m/>
    <m/>
  </r>
  <r>
    <s v="lum-75"/>
    <x v="16"/>
    <n v="1"/>
    <s v="Und"/>
    <x v="0"/>
    <d v="2026-06-27T00:00:00"/>
    <s v="CURRENT"/>
    <s v="6E00267"/>
    <x v="1"/>
    <n v="9961"/>
    <s v="cr54cll 2oeste"/>
    <m/>
    <m/>
    <m/>
  </r>
  <r>
    <s v="lum-75"/>
    <x v="16"/>
    <n v="1"/>
    <s v="Und"/>
    <x v="0"/>
    <d v="2026-06-27T00:00:00"/>
    <s v="CURRENT"/>
    <s v="6E00273"/>
    <x v="1"/>
    <n v="9961"/>
    <s v="cr54cll 2oeste"/>
    <m/>
    <m/>
    <m/>
  </r>
  <r>
    <s v="lum-75"/>
    <x v="16"/>
    <n v="1"/>
    <s v="Und"/>
    <x v="0"/>
    <d v="2026-06-27T00:00:00"/>
    <s v="CURRENT"/>
    <s v="6E00297"/>
    <x v="1"/>
    <n v="9961"/>
    <s v="cr54cll 2oeste"/>
    <m/>
    <m/>
    <m/>
  </r>
  <r>
    <s v="lum-75"/>
    <x v="16"/>
    <n v="1"/>
    <s v="Und"/>
    <x v="0"/>
    <d v="2026-06-27T00:00:00"/>
    <s v="CURRENT"/>
    <s v="6E00266"/>
    <x v="1"/>
    <n v="9961"/>
    <s v="cr54cll 2oeste"/>
    <m/>
    <m/>
    <m/>
  </r>
  <r>
    <s v="lum-75"/>
    <x v="16"/>
    <n v="1"/>
    <s v="Und"/>
    <x v="0"/>
    <d v="2026-06-27T00:00:00"/>
    <s v="CURRENT"/>
    <s v="6E00277"/>
    <x v="1"/>
    <n v="9961"/>
    <s v="cr54cll 2oeste"/>
    <m/>
    <m/>
    <m/>
  </r>
  <r>
    <s v="lum-75"/>
    <x v="16"/>
    <n v="1"/>
    <s v="Und"/>
    <x v="0"/>
    <d v="2026-06-27T00:00:00"/>
    <s v="CURRENT"/>
    <s v="6E00223"/>
    <x v="1"/>
    <n v="9961"/>
    <s v="cr54cll 2oeste"/>
    <m/>
    <m/>
    <m/>
  </r>
  <r>
    <s v="lum-75"/>
    <x v="16"/>
    <n v="1"/>
    <s v="Und"/>
    <x v="0"/>
    <d v="2026-06-27T00:00:00"/>
    <s v="CURRENT"/>
    <s v="6E00332"/>
    <x v="1"/>
    <n v="9961"/>
    <s v="cr54cll 2oeste"/>
    <m/>
    <m/>
    <m/>
  </r>
  <r>
    <s v="lum-75"/>
    <x v="16"/>
    <n v="1"/>
    <s v="Und"/>
    <x v="0"/>
    <d v="2026-06-27T00:00:00"/>
    <s v="CURRENT"/>
    <s v="6E00225"/>
    <x v="1"/>
    <n v="9961"/>
    <s v="cr54cll 2oeste"/>
    <m/>
    <m/>
    <m/>
  </r>
  <r>
    <s v="lum-75"/>
    <x v="16"/>
    <n v="1"/>
    <s v="Und"/>
    <x v="0"/>
    <d v="2026-06-27T00:00:00"/>
    <s v="CURRENT"/>
    <s v="6E00299"/>
    <x v="1"/>
    <n v="9961"/>
    <s v="cr54cll 2oeste"/>
    <m/>
    <m/>
    <m/>
  </r>
  <r>
    <s v="lum-75"/>
    <x v="16"/>
    <n v="1"/>
    <s v="Und"/>
    <x v="0"/>
    <d v="2026-06-27T00:00:00"/>
    <s v="CURRENT"/>
    <s v="6E00230"/>
    <x v="1"/>
    <n v="9961"/>
    <s v="cr54cll 2oeste"/>
    <m/>
    <m/>
    <m/>
  </r>
  <r>
    <s v="lum-75"/>
    <x v="16"/>
    <n v="1"/>
    <s v="Und"/>
    <x v="0"/>
    <d v="2026-06-27T00:00:00"/>
    <s v="CURRENT"/>
    <s v="6E00333"/>
    <x v="1"/>
    <n v="9961"/>
    <s v="cr54cll 2oeste"/>
    <m/>
    <m/>
    <m/>
  </r>
  <r>
    <s v="lum-75"/>
    <x v="16"/>
    <n v="1"/>
    <s v="Und"/>
    <x v="0"/>
    <d v="2026-06-27T00:00:00"/>
    <s v="CURRENT"/>
    <s v="6E00279"/>
    <x v="1"/>
    <n v="9961"/>
    <s v="cr54cll 2oeste"/>
    <m/>
    <m/>
    <m/>
  </r>
  <r>
    <s v="pro-190"/>
    <x v="19"/>
    <n v="1"/>
    <s v="Und"/>
    <x v="0"/>
    <d v="2026-06-25T00:00:00"/>
    <s v="CURRENT"/>
    <s v="6PD0149"/>
    <x v="1"/>
    <n v="9958"/>
    <s v="cr42b-cl11/13"/>
    <m/>
    <m/>
    <m/>
  </r>
  <r>
    <s v="pro-190"/>
    <x v="19"/>
    <n v="1"/>
    <s v="Und"/>
    <x v="2"/>
    <d v="2026-06-26T00:00:00"/>
    <s v="CURRENT"/>
    <s v="6PD0149"/>
    <x v="1"/>
    <n v="9958"/>
    <m/>
    <n v="2277638"/>
    <n v="4"/>
    <m/>
  </r>
  <r>
    <s v="pro-190"/>
    <x v="19"/>
    <n v="1"/>
    <s v="Und"/>
    <x v="0"/>
    <d v="2026-06-25T00:00:00"/>
    <s v="CURRENT"/>
    <s v="6PD0150"/>
    <x v="1"/>
    <n v="9958"/>
    <s v="cr42b-cl11/13"/>
    <m/>
    <m/>
    <m/>
  </r>
  <r>
    <s v="pro-190"/>
    <x v="19"/>
    <n v="1"/>
    <s v="Und"/>
    <x v="2"/>
    <d v="2026-06-26T00:00:00"/>
    <s v="CURRENT"/>
    <s v="6PD0150"/>
    <x v="1"/>
    <n v="9958"/>
    <m/>
    <n v="2277638"/>
    <n v="2"/>
    <m/>
  </r>
  <r>
    <s v="pro-190"/>
    <x v="19"/>
    <n v="1"/>
    <s v="Und"/>
    <x v="2"/>
    <m/>
    <s v="CURRENT"/>
    <s v="6PD0154"/>
    <x v="1"/>
    <n v="9959"/>
    <m/>
    <m/>
    <n v="18"/>
    <m/>
  </r>
  <r>
    <s v="pro-190"/>
    <x v="19"/>
    <n v="1"/>
    <s v="Und"/>
    <x v="0"/>
    <d v="2026-06-25T00:00:00"/>
    <s v="CURRENT"/>
    <s v="6PD0151"/>
    <x v="1"/>
    <n v="9958"/>
    <s v="cr42b-cl11/13"/>
    <m/>
    <m/>
    <m/>
  </r>
  <r>
    <s v="lum-75"/>
    <x v="16"/>
    <n v="1"/>
    <s v="Und"/>
    <x v="0"/>
    <d v="2026-06-27T00:00:00"/>
    <s v="CURRENT"/>
    <s v="6E00399"/>
    <x v="1"/>
    <n v="9961"/>
    <s v="cr54cll 2oeste"/>
    <m/>
    <m/>
    <m/>
  </r>
  <r>
    <s v="lum-75"/>
    <x v="16"/>
    <n v="1"/>
    <s v="Und"/>
    <x v="0"/>
    <d v="2026-06-27T00:00:00"/>
    <s v="CURRENT"/>
    <s v="6E00406"/>
    <x v="1"/>
    <n v="9961"/>
    <s v="cr54cll 2oeste"/>
    <m/>
    <m/>
    <m/>
  </r>
  <r>
    <s v="lum-75"/>
    <x v="16"/>
    <n v="1"/>
    <s v="Und"/>
    <x v="0"/>
    <d v="2026-06-27T00:00:00"/>
    <s v="CURRENT"/>
    <s v="6E00232"/>
    <x v="1"/>
    <n v="9961"/>
    <s v="cr54cll 2oeste"/>
    <m/>
    <m/>
    <m/>
  </r>
  <r>
    <s v="lum-75"/>
    <x v="16"/>
    <n v="1"/>
    <s v="Und"/>
    <x v="0"/>
    <d v="2026-06-27T00:00:00"/>
    <s v="CURRENT"/>
    <s v="6E00210"/>
    <x v="1"/>
    <n v="9961"/>
    <s v="cr54cll 2oeste"/>
    <m/>
    <m/>
    <m/>
  </r>
  <r>
    <s v="lum-75"/>
    <x v="16"/>
    <n v="1"/>
    <s v="Und"/>
    <x v="0"/>
    <d v="2026-06-27T00:00:00"/>
    <s v="CURRENT"/>
    <s v="6E00407"/>
    <x v="1"/>
    <n v="9961"/>
    <s v="cr54cll 2oeste"/>
    <m/>
    <m/>
    <m/>
  </r>
  <r>
    <s v="Foto"/>
    <x v="15"/>
    <n v="26"/>
    <s v="Und"/>
    <x v="0"/>
    <d v="2026-06-27T00:00:00"/>
    <m/>
    <m/>
    <x v="1"/>
    <n v="9961"/>
    <s v="cr54cll 2oeste"/>
    <m/>
    <m/>
    <m/>
  </r>
  <r>
    <s v="lum-110"/>
    <x v="20"/>
    <n v="1"/>
    <s v="Und"/>
    <x v="0"/>
    <d v="2026-06-27T00:00:00"/>
    <s v="CURRENT"/>
    <s v="6G00124"/>
    <x v="1"/>
    <n v="9962"/>
    <s v="mirador comuna 20"/>
    <m/>
    <m/>
    <m/>
  </r>
  <r>
    <s v="lum-110"/>
    <x v="20"/>
    <n v="1"/>
    <s v="Und"/>
    <x v="0"/>
    <d v="2026-06-27T00:00:00"/>
    <s v="CURRENT"/>
    <s v="6G00128"/>
    <x v="1"/>
    <n v="9962"/>
    <s v="mirador comuna 20"/>
    <m/>
    <m/>
    <m/>
  </r>
  <r>
    <s v="lum-110"/>
    <x v="20"/>
    <n v="1"/>
    <s v="Und"/>
    <x v="0"/>
    <d v="2026-06-27T00:00:00"/>
    <s v="CURRENT"/>
    <s v="6G00125"/>
    <x v="1"/>
    <n v="9962"/>
    <s v="mirador comuna 20"/>
    <m/>
    <m/>
    <m/>
  </r>
  <r>
    <s v="lum-110"/>
    <x v="20"/>
    <n v="1"/>
    <s v="Und"/>
    <x v="0"/>
    <d v="2026-06-27T00:00:00"/>
    <s v="CURRENT"/>
    <s v="6G00000"/>
    <x v="1"/>
    <n v="9962"/>
    <s v="mirador comuna 20"/>
    <m/>
    <m/>
    <m/>
  </r>
  <r>
    <s v="lum-110"/>
    <x v="20"/>
    <n v="1"/>
    <s v="Und"/>
    <x v="0"/>
    <d v="2026-06-27T00:00:00"/>
    <s v="CURRENT"/>
    <s v="6G00010"/>
    <x v="1"/>
    <n v="9962"/>
    <s v="mirador comuna 20"/>
    <m/>
    <m/>
    <m/>
  </r>
  <r>
    <s v="lum-110"/>
    <x v="20"/>
    <n v="1"/>
    <s v="Und"/>
    <x v="0"/>
    <d v="2026-06-27T00:00:00"/>
    <s v="CURRENT"/>
    <s v="6G00127"/>
    <x v="1"/>
    <n v="9962"/>
    <s v="mirador comuna 20"/>
    <m/>
    <m/>
    <m/>
  </r>
  <r>
    <s v="lum-110"/>
    <x v="20"/>
    <n v="1"/>
    <s v="Und"/>
    <x v="0"/>
    <d v="2026-06-27T00:00:00"/>
    <s v="CURRENT"/>
    <s v="6G00129"/>
    <x v="1"/>
    <n v="9962"/>
    <s v="mirador comuna 20"/>
    <m/>
    <m/>
    <m/>
  </r>
  <r>
    <s v="lum-110"/>
    <x v="20"/>
    <n v="1"/>
    <s v="Und"/>
    <x v="0"/>
    <d v="2026-06-27T00:00:00"/>
    <s v="CURRENT"/>
    <s v="6G00163"/>
    <x v="1"/>
    <n v="9962"/>
    <s v="mirador comuna 20"/>
    <m/>
    <m/>
    <m/>
  </r>
  <r>
    <s v="lum-110"/>
    <x v="20"/>
    <n v="1"/>
    <s v="Und"/>
    <x v="0"/>
    <d v="2026-06-27T00:00:00"/>
    <s v="CURRENT"/>
    <s v="6G00140"/>
    <x v="1"/>
    <n v="9962"/>
    <s v="mirador comuna 20"/>
    <m/>
    <m/>
    <m/>
  </r>
  <r>
    <s v="lum-110"/>
    <x v="20"/>
    <n v="1"/>
    <s v="Und"/>
    <x v="0"/>
    <d v="2026-06-27T00:00:00"/>
    <s v="CURRENT"/>
    <s v="6G00136"/>
    <x v="1"/>
    <n v="9962"/>
    <s v="mirador comuna 20"/>
    <m/>
    <m/>
    <m/>
  </r>
  <r>
    <s v="lum-110"/>
    <x v="20"/>
    <n v="1"/>
    <s v="Und"/>
    <x v="0"/>
    <d v="2026-06-27T00:00:00"/>
    <s v="CURRENT"/>
    <s v="6G00193"/>
    <x v="1"/>
    <n v="9962"/>
    <s v="mirador comuna 20"/>
    <m/>
    <m/>
    <m/>
  </r>
  <r>
    <s v="lum-110"/>
    <x v="20"/>
    <n v="1"/>
    <s v="Und"/>
    <x v="0"/>
    <d v="2026-06-27T00:00:00"/>
    <s v="CURRENT"/>
    <s v="6G00190"/>
    <x v="1"/>
    <n v="9962"/>
    <s v="mirador comuna 20"/>
    <m/>
    <m/>
    <m/>
  </r>
  <r>
    <s v="Foto"/>
    <x v="15"/>
    <n v="12"/>
    <s v="Und"/>
    <x v="0"/>
    <d v="2026-06-27T00:00:00"/>
    <m/>
    <m/>
    <x v="1"/>
    <n v="9962"/>
    <s v="mirador comuna 20"/>
    <m/>
    <m/>
    <m/>
  </r>
  <r>
    <s v="brazo1"/>
    <x v="21"/>
    <n v="12"/>
    <s v="Und"/>
    <x v="0"/>
    <d v="2026-06-27T00:00:00"/>
    <m/>
    <m/>
    <x v="1"/>
    <n v="9962"/>
    <s v="mirador comuna 20"/>
    <m/>
    <m/>
    <m/>
  </r>
  <r>
    <s v="lum-75"/>
    <x v="16"/>
    <n v="1"/>
    <s v="Und"/>
    <x v="0"/>
    <d v="2026-06-27T00:00:00"/>
    <s v="CURRENT"/>
    <s v="6E00193"/>
    <x v="1"/>
    <n v="9963"/>
    <s v="cll18 oeste cr44 oeste"/>
    <m/>
    <m/>
    <m/>
  </r>
  <r>
    <s v="lum-75"/>
    <x v="16"/>
    <n v="1"/>
    <s v="Und"/>
    <x v="0"/>
    <d v="2026-06-27T00:00:00"/>
    <s v="CURRENT"/>
    <s v="6E00234"/>
    <x v="1"/>
    <n v="9963"/>
    <s v="cll18 oeste cr44 oeste"/>
    <m/>
    <m/>
    <m/>
  </r>
  <r>
    <s v="lum-75"/>
    <x v="16"/>
    <n v="1"/>
    <s v="Und"/>
    <x v="0"/>
    <d v="2026-06-27T00:00:00"/>
    <s v="CURRENT"/>
    <s v="6E00228"/>
    <x v="1"/>
    <n v="9963"/>
    <s v="cll18 oeste cr44 oeste"/>
    <m/>
    <m/>
    <m/>
  </r>
  <r>
    <s v="lum-75"/>
    <x v="16"/>
    <n v="1"/>
    <s v="Und"/>
    <x v="0"/>
    <d v="2026-06-27T00:00:00"/>
    <s v="CURRENT"/>
    <s v="6E00207"/>
    <x v="1"/>
    <n v="9963"/>
    <s v="cll18 oeste cr44 oeste"/>
    <m/>
    <m/>
    <m/>
  </r>
  <r>
    <s v="pro-190"/>
    <x v="19"/>
    <n v="1"/>
    <s v="Und"/>
    <x v="2"/>
    <d v="2026-06-26T00:00:00"/>
    <s v="CURRENT"/>
    <s v="6PD0151"/>
    <x v="1"/>
    <n v="9958"/>
    <m/>
    <n v="2277689"/>
    <n v="10"/>
    <m/>
  </r>
  <r>
    <s v="pro-190"/>
    <x v="19"/>
    <n v="1"/>
    <s v="Und"/>
    <x v="0"/>
    <d v="2026-06-25T00:00:00"/>
    <s v="CURRENT"/>
    <s v="6PD0152"/>
    <x v="1"/>
    <n v="9958"/>
    <s v="cr42b-cl11/13"/>
    <m/>
    <m/>
    <m/>
  </r>
  <r>
    <s v="pro-190"/>
    <x v="19"/>
    <n v="1"/>
    <s v="Und"/>
    <x v="2"/>
    <d v="2026-06-26T00:00:00"/>
    <s v="CURRENT"/>
    <s v="6PD0152"/>
    <x v="1"/>
    <n v="9958"/>
    <m/>
    <n v="2277689"/>
    <n v="12"/>
    <m/>
  </r>
  <r>
    <s v="pro-190"/>
    <x v="19"/>
    <n v="1"/>
    <s v="Und"/>
    <x v="0"/>
    <d v="2026-06-25T00:00:00"/>
    <s v="CURRENT"/>
    <s v="6PD0154"/>
    <x v="1"/>
    <n v="9959"/>
    <s v="cr42b-cl11/13"/>
    <m/>
    <m/>
    <m/>
  </r>
  <r>
    <s v="pro-190"/>
    <x v="19"/>
    <n v="1"/>
    <s v="Und"/>
    <x v="0"/>
    <d v="2026-06-25T00:00:00"/>
    <s v="CURRENT"/>
    <s v="6PD0153"/>
    <x v="1"/>
    <n v="9958"/>
    <s v="cr42b-cl11/13"/>
    <m/>
    <m/>
    <m/>
  </r>
  <r>
    <s v="pro-190"/>
    <x v="19"/>
    <n v="1"/>
    <s v="Und"/>
    <x v="2"/>
    <d v="2026-06-26T00:00:00"/>
    <s v="CURRENT"/>
    <s v="6PD0153"/>
    <x v="1"/>
    <n v="9958"/>
    <m/>
    <n v="2277689"/>
    <n v="9"/>
    <m/>
  </r>
  <r>
    <s v="Foto"/>
    <x v="15"/>
    <n v="10"/>
    <s v="Und"/>
    <x v="0"/>
    <d v="2026-06-27T00:00:00"/>
    <m/>
    <m/>
    <x v="1"/>
    <n v="9963"/>
    <s v="cll18 oeste cr44 oeste"/>
    <m/>
    <m/>
    <m/>
  </r>
  <r>
    <s v="banda1"/>
    <x v="22"/>
    <n v="36"/>
    <s v="Und"/>
    <x v="0"/>
    <d v="2026-06-24T00:00:00"/>
    <m/>
    <m/>
    <x v="1"/>
    <n v="9961"/>
    <s v="cr54cll 2oeste"/>
    <m/>
    <m/>
    <m/>
  </r>
  <r>
    <s v="Aislador1"/>
    <x v="1"/>
    <n v="5"/>
    <s v="Und"/>
    <x v="0"/>
    <d v="2026-06-24T00:00:00"/>
    <m/>
    <m/>
    <x v="1"/>
    <n v="9961"/>
    <s v="cr54cll 2oeste"/>
    <m/>
    <m/>
    <m/>
  </r>
  <r>
    <s v="tpx"/>
    <x v="23"/>
    <n v="110"/>
    <s v="Mts"/>
    <x v="0"/>
    <d v="2026-06-24T00:00:00"/>
    <m/>
    <m/>
    <x v="1"/>
    <n v="9961"/>
    <s v="cr54cll 2oeste"/>
    <m/>
    <m/>
    <m/>
  </r>
  <r>
    <s v="3*14"/>
    <x v="3"/>
    <n v="221"/>
    <s v="Mts"/>
    <x v="0"/>
    <d v="2026-06-24T00:00:00"/>
    <m/>
    <m/>
    <x v="1"/>
    <n v="9961"/>
    <s v="cr54cll 2oeste"/>
    <m/>
    <m/>
    <m/>
  </r>
  <r>
    <s v="conec1"/>
    <x v="6"/>
    <n v="39"/>
    <s v="Und"/>
    <x v="0"/>
    <d v="2026-06-24T00:00:00"/>
    <m/>
    <m/>
    <x v="1"/>
    <n v="9961"/>
    <s v="cr54cll 2oeste"/>
    <m/>
    <m/>
    <m/>
  </r>
  <r>
    <s v="conec2"/>
    <x v="7"/>
    <n v="39"/>
    <s v="Und"/>
    <x v="0"/>
    <d v="2026-06-24T00:00:00"/>
    <m/>
    <m/>
    <x v="1"/>
    <n v="9961"/>
    <s v="cr54cll 2oeste"/>
    <m/>
    <m/>
    <m/>
  </r>
  <r>
    <s v="grillete"/>
    <x v="24"/>
    <n v="44"/>
    <s v="Und"/>
    <x v="0"/>
    <d v="2026-06-24T00:00:00"/>
    <m/>
    <m/>
    <x v="1"/>
    <n v="9961"/>
    <s v="cr54cll 2oeste"/>
    <m/>
    <m/>
    <m/>
  </r>
  <r>
    <s v="kit"/>
    <x v="10"/>
    <n v="2"/>
    <s v="Und"/>
    <x v="0"/>
    <d v="2026-06-24T00:00:00"/>
    <m/>
    <m/>
    <x v="1"/>
    <n v="9961"/>
    <s v="cr54cll 2oeste"/>
    <m/>
    <m/>
    <m/>
  </r>
  <r>
    <s v="percha1"/>
    <x v="11"/>
    <n v="5"/>
    <s v="Und"/>
    <x v="0"/>
    <d v="2026-06-24T00:00:00"/>
    <m/>
    <m/>
    <x v="1"/>
    <n v="9961"/>
    <s v="cr54cll 2oeste"/>
    <m/>
    <m/>
    <m/>
  </r>
  <r>
    <s v="Perno1 "/>
    <x v="25"/>
    <n v="5"/>
    <s v="Und"/>
    <x v="0"/>
    <d v="2026-06-24T00:00:00"/>
    <m/>
    <m/>
    <x v="1"/>
    <n v="9961"/>
    <s v="cr54cll 2oeste"/>
    <m/>
    <m/>
    <m/>
  </r>
  <r>
    <s v="tapa2"/>
    <x v="14"/>
    <n v="12"/>
    <s v="Und"/>
    <x v="0"/>
    <d v="2026-06-24T00:00:00"/>
    <m/>
    <m/>
    <x v="1"/>
    <n v="9961"/>
    <s v="cr54cll 2oeste"/>
    <m/>
    <m/>
    <m/>
  </r>
  <r>
    <s v="Maquina"/>
    <x v="26"/>
    <n v="4"/>
    <s v="Und"/>
    <x v="0"/>
    <d v="2026-06-24T00:00:00"/>
    <m/>
    <m/>
    <x v="1"/>
    <n v="9961"/>
    <s v="cr54cll 2oeste"/>
    <m/>
    <m/>
    <m/>
  </r>
  <r>
    <s v="tuerca"/>
    <x v="27"/>
    <n v="5"/>
    <s v="Und"/>
    <x v="0"/>
    <d v="2026-06-24T00:00:00"/>
    <m/>
    <m/>
    <x v="1"/>
    <n v="9961"/>
    <s v="cr54cll 2oeste"/>
    <m/>
    <m/>
    <m/>
  </r>
  <r>
    <s v="cooper"/>
    <x v="28"/>
    <n v="13"/>
    <s v="Und"/>
    <x v="0"/>
    <d v="2026-06-24T00:00:00"/>
    <m/>
    <m/>
    <x v="1"/>
    <n v="9961"/>
    <s v="cr54cll 2oeste"/>
    <m/>
    <m/>
    <m/>
  </r>
  <r>
    <s v="conec3"/>
    <x v="29"/>
    <n v="13"/>
    <s v="Und"/>
    <x v="0"/>
    <d v="2026-06-25T00:00:00"/>
    <m/>
    <m/>
    <x v="1"/>
    <n v="9961"/>
    <s v="cr54cll 2oeste"/>
    <m/>
    <m/>
    <m/>
  </r>
  <r>
    <s v="marco"/>
    <x v="30"/>
    <n v="12"/>
    <s v="Und"/>
    <x v="0"/>
    <d v="2026-06-25T00:00:00"/>
    <m/>
    <m/>
    <x v="1"/>
    <n v="9961"/>
    <s v="cr54cll 2oeste"/>
    <m/>
    <m/>
    <m/>
  </r>
  <r>
    <s v="lum-75"/>
    <x v="16"/>
    <n v="1"/>
    <s v="Und"/>
    <x v="2"/>
    <d v="2026-06-27T00:00:00"/>
    <s v="CURRENT"/>
    <s v="6E00266"/>
    <x v="1"/>
    <n v="9961"/>
    <s v="cr54cll 2oeste"/>
    <n v="2257815"/>
    <n v="1"/>
    <m/>
  </r>
  <r>
    <s v="lum-75"/>
    <x v="16"/>
    <n v="1"/>
    <s v="Und"/>
    <x v="2"/>
    <d v="2026-06-27T00:00:00"/>
    <s v="CURRENT"/>
    <s v="6E00279"/>
    <x v="1"/>
    <n v="9961"/>
    <s v="cr54cll 2oeste"/>
    <n v="2257815"/>
    <n v="2"/>
    <m/>
  </r>
  <r>
    <s v="lum-75"/>
    <x v="16"/>
    <n v="1"/>
    <s v="Und"/>
    <x v="2"/>
    <d v="2026-06-27T00:00:00"/>
    <s v="CURRENT"/>
    <s v="6E00333"/>
    <x v="1"/>
    <n v="9961"/>
    <s v="cr54cll 2oeste"/>
    <n v="2258897"/>
    <n v="3"/>
    <m/>
  </r>
  <r>
    <s v="lum-75"/>
    <x v="16"/>
    <n v="1"/>
    <s v="Und"/>
    <x v="2"/>
    <d v="2026-06-27T00:00:00"/>
    <s v="CURRENT"/>
    <s v="6E00232"/>
    <x v="1"/>
    <n v="9961"/>
    <s v="cr54cll 2oeste"/>
    <n v="2258897"/>
    <n v="4"/>
    <m/>
  </r>
  <r>
    <s v="lum-75"/>
    <x v="16"/>
    <n v="1"/>
    <s v="Und"/>
    <x v="2"/>
    <d v="2026-06-27T00:00:00"/>
    <s v="CURRENT"/>
    <s v="6E00225"/>
    <x v="1"/>
    <n v="9961"/>
    <s v="cr54cll 2oeste"/>
    <n v="6535241"/>
    <n v="5"/>
    <m/>
  </r>
  <r>
    <s v="lum-75"/>
    <x v="16"/>
    <n v="1"/>
    <s v="Und"/>
    <x v="2"/>
    <d v="2026-06-27T00:00:00"/>
    <s v="CURRENT"/>
    <s v="6E00211"/>
    <x v="1"/>
    <n v="9961"/>
    <s v="cr54cll 2oeste"/>
    <n v="6535241"/>
    <n v="6"/>
    <m/>
  </r>
  <r>
    <s v="lum-75"/>
    <x v="16"/>
    <n v="1"/>
    <s v="Und"/>
    <x v="2"/>
    <d v="2026-06-27T00:00:00"/>
    <s v="CURRENT"/>
    <s v="6E00267"/>
    <x v="1"/>
    <n v="9961"/>
    <s v="cr54cll 2oeste"/>
    <n v="6532306"/>
    <n v="7"/>
    <m/>
  </r>
  <r>
    <s v="lum-75"/>
    <x v="16"/>
    <n v="1"/>
    <s v="Und"/>
    <x v="2"/>
    <d v="2026-06-27T00:00:00"/>
    <s v="CURRENT"/>
    <s v="6E00273"/>
    <x v="1"/>
    <n v="9961"/>
    <s v="cr54cll 2oeste"/>
    <n v="6532306"/>
    <n v="8"/>
    <m/>
  </r>
  <r>
    <s v="lum-75"/>
    <x v="16"/>
    <n v="1"/>
    <s v="Und"/>
    <x v="2"/>
    <d v="2026-06-27T00:00:00"/>
    <s v="CURRENT"/>
    <s v="6E00407"/>
    <x v="1"/>
    <n v="9961"/>
    <s v="cr54cll 2oeste"/>
    <n v="6532292"/>
    <n v="12"/>
    <m/>
  </r>
  <r>
    <s v="lum-75"/>
    <x v="16"/>
    <n v="1"/>
    <s v="Und"/>
    <x v="2"/>
    <d v="2026-07-12T00:00:00"/>
    <s v="CURRENT"/>
    <s v="6E00399"/>
    <x v="1"/>
    <n v="9963"/>
    <s v="cr54cll 2oeste"/>
    <n v="2295528"/>
    <m/>
    <m/>
  </r>
  <r>
    <s v="lum-75"/>
    <x v="16"/>
    <n v="1"/>
    <s v="Und"/>
    <x v="2"/>
    <d v="2026-06-27T00:00:00"/>
    <s v="CURRENT"/>
    <s v="6E00277"/>
    <x v="1"/>
    <n v="9961"/>
    <s v="cr54cll 2oeste"/>
    <n v="6532281"/>
    <n v="17"/>
    <m/>
  </r>
  <r>
    <s v="lum-75"/>
    <x v="16"/>
    <n v="1"/>
    <s v="Und"/>
    <x v="2"/>
    <d v="2026-06-27T00:00:00"/>
    <s v="CURRENT"/>
    <s v="6E00224"/>
    <x v="1"/>
    <n v="9961"/>
    <s v="cr54cll 2oeste"/>
    <n v="6532281"/>
    <n v="18"/>
    <m/>
  </r>
  <r>
    <s v="lum-75"/>
    <x v="16"/>
    <n v="1"/>
    <s v="Und"/>
    <x v="2"/>
    <d v="2026-06-27T00:00:00"/>
    <s v="CURRENT"/>
    <s v="6E00297"/>
    <x v="1"/>
    <n v="9961"/>
    <s v="cr54cll 2oeste"/>
    <n v="6522233"/>
    <n v="19"/>
    <m/>
  </r>
  <r>
    <s v="lum-75"/>
    <x v="16"/>
    <n v="1"/>
    <s v="Und"/>
    <x v="2"/>
    <d v="2026-06-27T00:00:00"/>
    <s v="CURRENT"/>
    <s v="6E00210"/>
    <x v="1"/>
    <n v="9961"/>
    <s v="cr54cll 2oeste"/>
    <n v="6522233"/>
    <n v="20"/>
    <m/>
  </r>
  <r>
    <s v="lum-75"/>
    <x v="16"/>
    <n v="1"/>
    <s v="Und"/>
    <x v="2"/>
    <d v="2026-06-27T00:00:00"/>
    <s v="CURRENT"/>
    <s v="6E00332"/>
    <x v="1"/>
    <n v="9961"/>
    <s v="cr54cll 2oeste"/>
    <n v="2258935"/>
    <n v="21"/>
    <m/>
  </r>
  <r>
    <s v="lum-75"/>
    <x v="16"/>
    <n v="1"/>
    <s v="Und"/>
    <x v="2"/>
    <d v="2026-06-27T00:00:00"/>
    <s v="CURRENT"/>
    <s v="6E00271"/>
    <x v="1"/>
    <n v="9961"/>
    <s v="cr54cll 2oeste"/>
    <n v="2258935"/>
    <n v="22"/>
    <m/>
  </r>
  <r>
    <s v="lum-75"/>
    <x v="16"/>
    <n v="1"/>
    <s v="Und"/>
    <x v="2"/>
    <d v="2026-06-27T00:00:00"/>
    <s v="CURRENT"/>
    <s v="6E00223"/>
    <x v="1"/>
    <n v="9961"/>
    <s v="cr54cll 2oeste"/>
    <n v="6532225"/>
    <n v="23"/>
    <m/>
  </r>
  <r>
    <s v="lum-75"/>
    <x v="16"/>
    <n v="1"/>
    <s v="Und"/>
    <x v="2"/>
    <d v="2026-06-27T00:00:00"/>
    <s v="CURRENT"/>
    <s v="6E00406"/>
    <x v="1"/>
    <n v="9961"/>
    <s v="cr54cll 2oeste"/>
    <n v="1588320"/>
    <n v="24"/>
    <m/>
  </r>
  <r>
    <s v="lum-75"/>
    <x v="16"/>
    <n v="1"/>
    <s v="Und"/>
    <x v="2"/>
    <d v="2026-06-27T00:00:00"/>
    <s v="CURRENT"/>
    <s v="6E00230"/>
    <x v="1"/>
    <n v="9961"/>
    <s v="cr54cll 2oeste"/>
    <n v="1588371"/>
    <n v="25"/>
    <m/>
  </r>
  <r>
    <s v="lum-75"/>
    <x v="16"/>
    <n v="1"/>
    <s v="Und"/>
    <x v="2"/>
    <d v="2026-06-27T00:00:00"/>
    <s v="CURRENT"/>
    <s v="6E00299"/>
    <x v="1"/>
    <n v="9961"/>
    <s v="cr54cll 2oeste"/>
    <n v="1588419"/>
    <n v="26"/>
    <m/>
  </r>
  <r>
    <s v="Pro- 90"/>
    <x v="31"/>
    <n v="1"/>
    <s v="Und"/>
    <x v="2"/>
    <d v="2026-06-27T00:00:00"/>
    <s v="CURRENT"/>
    <s v="6PB0285"/>
    <x v="1"/>
    <n v="9961"/>
    <s v="cr54cll 2oeste"/>
    <n v="2173239"/>
    <n v="9"/>
    <m/>
  </r>
  <r>
    <s v="Pro- 90"/>
    <x v="31"/>
    <n v="1"/>
    <s v="Und"/>
    <x v="2"/>
    <d v="2026-06-27T00:00:00"/>
    <s v="CURRENT"/>
    <s v="6PB0313"/>
    <x v="1"/>
    <n v="9961"/>
    <s v="cr54cll 2oeste"/>
    <n v="2173239"/>
    <n v="10"/>
    <m/>
  </r>
  <r>
    <s v="Pro- 90"/>
    <x v="31"/>
    <n v="1"/>
    <s v="Und"/>
    <x v="2"/>
    <d v="2026-06-27T00:00:00"/>
    <s v="CURRENT"/>
    <s v="6PB0292"/>
    <x v="1"/>
    <n v="9961"/>
    <s v="cr54cll 2oeste"/>
    <n v="2173239"/>
    <n v="11"/>
    <m/>
  </r>
  <r>
    <s v="Pro- 90"/>
    <x v="31"/>
    <n v="1"/>
    <s v="Und"/>
    <x v="2"/>
    <d v="2026-06-27T00:00:00"/>
    <s v="CURRENT"/>
    <s v="6PB0291"/>
    <x v="1"/>
    <n v="9961"/>
    <s v="cr54cll 2oeste"/>
    <n v="2173221"/>
    <n v="14"/>
    <m/>
  </r>
  <r>
    <s v="Pro- 90"/>
    <x v="31"/>
    <n v="1"/>
    <s v="Und"/>
    <x v="2"/>
    <d v="2026-06-27T00:00:00"/>
    <s v="CURRENT"/>
    <s v="6PB0296"/>
    <x v="1"/>
    <n v="9961"/>
    <s v="cr54cll 2oeste"/>
    <n v="2173221"/>
    <n v="15"/>
    <m/>
  </r>
  <r>
    <s v="Pro- 90"/>
    <x v="31"/>
    <n v="1"/>
    <s v="Und"/>
    <x v="2"/>
    <d v="2026-06-27T00:00:00"/>
    <s v="CURRENT"/>
    <s v="6PB0306"/>
    <x v="1"/>
    <n v="9961"/>
    <s v="cr54cll 2oeste"/>
    <n v="2173221"/>
    <n v="16"/>
    <m/>
  </r>
  <r>
    <s v="grillete"/>
    <x v="24"/>
    <n v="2"/>
    <s v="Und"/>
    <x v="2"/>
    <d v="2026-06-27T00:00:00"/>
    <m/>
    <m/>
    <x v="1"/>
    <n v="9961"/>
    <s v="cr54cll 2oeste"/>
    <n v="2258897"/>
    <n v="3"/>
    <m/>
  </r>
  <r>
    <s v="grillete"/>
    <x v="24"/>
    <n v="2"/>
    <s v="Und"/>
    <x v="2"/>
    <d v="2026-06-27T00:00:00"/>
    <m/>
    <m/>
    <x v="1"/>
    <n v="9961"/>
    <s v="cr54cll 2oeste"/>
    <n v="2258897"/>
    <n v="4"/>
    <m/>
  </r>
  <r>
    <s v="grillete"/>
    <x v="24"/>
    <n v="2"/>
    <s v="Und"/>
    <x v="2"/>
    <d v="2026-06-27T00:00:00"/>
    <m/>
    <m/>
    <x v="1"/>
    <n v="9961"/>
    <s v="cr54cll 2oeste"/>
    <n v="6532281"/>
    <n v="17"/>
    <m/>
  </r>
  <r>
    <s v="grillete"/>
    <x v="24"/>
    <n v="2"/>
    <s v="Und"/>
    <x v="2"/>
    <d v="2026-06-27T00:00:00"/>
    <m/>
    <m/>
    <x v="1"/>
    <n v="9961"/>
    <s v="cr54cll 2oeste"/>
    <n v="6532281"/>
    <n v="18"/>
    <m/>
  </r>
  <r>
    <s v="grillete"/>
    <x v="24"/>
    <n v="2"/>
    <s v="Und"/>
    <x v="2"/>
    <d v="2026-06-27T00:00:00"/>
    <m/>
    <m/>
    <x v="1"/>
    <n v="9961"/>
    <s v="cr54cll 2oeste"/>
    <n v="6522233"/>
    <n v="19"/>
    <m/>
  </r>
  <r>
    <s v="grillete"/>
    <x v="24"/>
    <n v="2"/>
    <s v="Und"/>
    <x v="2"/>
    <d v="2026-06-27T00:00:00"/>
    <m/>
    <m/>
    <x v="1"/>
    <n v="9961"/>
    <s v="cr54cll 2oeste"/>
    <n v="6522233"/>
    <n v="20"/>
    <m/>
  </r>
  <r>
    <s v="grillete"/>
    <x v="24"/>
    <n v="2"/>
    <s v="Und"/>
    <x v="2"/>
    <d v="2026-06-27T00:00:00"/>
    <m/>
    <m/>
    <x v="1"/>
    <n v="9961"/>
    <s v="cr54cll 2oeste"/>
    <n v="6532225"/>
    <n v="23"/>
    <m/>
  </r>
  <r>
    <s v="conec2"/>
    <x v="7"/>
    <n v="3"/>
    <s v="Und"/>
    <x v="2"/>
    <d v="2026-06-27T00:00:00"/>
    <m/>
    <m/>
    <x v="1"/>
    <n v="9961"/>
    <s v="cr54cll 2oeste"/>
    <n v="6532306"/>
    <n v="7"/>
    <m/>
  </r>
  <r>
    <s v="conec2"/>
    <x v="7"/>
    <n v="3"/>
    <s v="Und"/>
    <x v="2"/>
    <d v="2026-06-27T00:00:00"/>
    <m/>
    <m/>
    <x v="1"/>
    <n v="9961"/>
    <s v="cr54cll 2oeste"/>
    <n v="2173239"/>
    <n v="9"/>
    <m/>
  </r>
  <r>
    <s v="gel1"/>
    <x v="8"/>
    <n v="2"/>
    <s v="Und"/>
    <x v="2"/>
    <d v="2026-06-27T00:00:00"/>
    <m/>
    <m/>
    <x v="1"/>
    <n v="9961"/>
    <s v="cr54cll 2oeste"/>
    <n v="6532306"/>
    <n v="7"/>
    <m/>
  </r>
  <r>
    <s v="gel1"/>
    <x v="8"/>
    <n v="2"/>
    <s v="Und"/>
    <x v="2"/>
    <d v="2026-06-27T00:00:00"/>
    <m/>
    <m/>
    <x v="1"/>
    <n v="9961"/>
    <s v="cr54cll 2oeste"/>
    <n v="2173239"/>
    <n v="9"/>
    <m/>
  </r>
  <r>
    <s v="conec1"/>
    <x v="6"/>
    <n v="6"/>
    <s v="Und"/>
    <x v="2"/>
    <d v="2026-06-27T00:00:00"/>
    <m/>
    <m/>
    <x v="1"/>
    <n v="9961"/>
    <s v="cr54cll 2oeste"/>
    <n v="2258935"/>
    <n v="21"/>
    <m/>
  </r>
  <r>
    <s v="conec1"/>
    <x v="6"/>
    <n v="3"/>
    <s v="Und"/>
    <x v="2"/>
    <d v="2026-06-27T00:00:00"/>
    <m/>
    <m/>
    <x v="1"/>
    <n v="9961"/>
    <s v="cr54cll 2oeste"/>
    <n v="1588320"/>
    <n v="24"/>
    <m/>
  </r>
  <r>
    <s v="conec1"/>
    <x v="6"/>
    <n v="3"/>
    <s v="Und"/>
    <x v="2"/>
    <d v="2026-06-27T00:00:00"/>
    <m/>
    <m/>
    <x v="1"/>
    <n v="9961"/>
    <s v="cr54cll 2oeste"/>
    <n v="1588371"/>
    <n v="25"/>
    <m/>
  </r>
  <r>
    <s v="conec1"/>
    <x v="6"/>
    <n v="6"/>
    <s v="Und"/>
    <x v="2"/>
    <d v="2026-06-27T00:00:00"/>
    <m/>
    <m/>
    <x v="1"/>
    <n v="9961"/>
    <s v="cr54cll 2oeste"/>
    <n v="1588419"/>
    <n v="26"/>
    <m/>
  </r>
  <r>
    <s v="conec1"/>
    <x v="6"/>
    <n v="3"/>
    <s v="Und"/>
    <x v="2"/>
    <d v="2026-06-27T00:00:00"/>
    <m/>
    <m/>
    <x v="1"/>
    <n v="9961"/>
    <s v="cr54cll 2oeste"/>
    <n v="1588281"/>
    <n v="27"/>
    <m/>
  </r>
  <r>
    <s v="banda1"/>
    <x v="22"/>
    <n v="1"/>
    <s v="Und"/>
    <x v="2"/>
    <d v="2026-06-27T00:00:00"/>
    <m/>
    <m/>
    <x v="1"/>
    <n v="9961"/>
    <s v="cr54cll 2oeste"/>
    <n v="2258897"/>
    <n v="3"/>
    <m/>
  </r>
  <r>
    <s v="banda1"/>
    <x v="22"/>
    <n v="1"/>
    <s v="Und"/>
    <x v="2"/>
    <d v="2026-06-27T00:00:00"/>
    <m/>
    <m/>
    <x v="1"/>
    <n v="9961"/>
    <s v="cr54cll 2oeste"/>
    <n v="2258897"/>
    <n v="4"/>
    <m/>
  </r>
  <r>
    <s v="banda1"/>
    <x v="22"/>
    <n v="1"/>
    <s v="Und"/>
    <x v="2"/>
    <d v="2026-06-27T00:00:00"/>
    <m/>
    <m/>
    <x v="1"/>
    <n v="9961"/>
    <s v="cr54cll 2oeste"/>
    <n v="6532281"/>
    <n v="17"/>
    <m/>
  </r>
  <r>
    <s v="banda1"/>
    <x v="22"/>
    <n v="1"/>
    <s v="Und"/>
    <x v="2"/>
    <d v="2026-06-27T00:00:00"/>
    <m/>
    <m/>
    <x v="1"/>
    <n v="9961"/>
    <s v="cr54cll 2oeste"/>
    <n v="6532281"/>
    <n v="18"/>
    <m/>
  </r>
  <r>
    <s v="banda1"/>
    <x v="22"/>
    <n v="1"/>
    <s v="Und"/>
    <x v="2"/>
    <d v="2026-06-27T00:00:00"/>
    <m/>
    <m/>
    <x v="1"/>
    <n v="9961"/>
    <s v="cr54cll 2oeste"/>
    <n v="6522233"/>
    <n v="19"/>
    <m/>
  </r>
  <r>
    <s v="banda1"/>
    <x v="22"/>
    <n v="1"/>
    <s v="Und"/>
    <x v="2"/>
    <d v="2026-06-27T00:00:00"/>
    <m/>
    <m/>
    <x v="1"/>
    <n v="9961"/>
    <s v="cr54cll 2oeste"/>
    <n v="6522233"/>
    <n v="20"/>
    <m/>
  </r>
  <r>
    <s v="banda1"/>
    <x v="22"/>
    <n v="1"/>
    <s v="Und"/>
    <x v="2"/>
    <d v="2026-06-27T00:00:00"/>
    <m/>
    <m/>
    <x v="1"/>
    <n v="9961"/>
    <s v="cr54cll 2oeste"/>
    <n v="2258935"/>
    <n v="21"/>
    <m/>
  </r>
  <r>
    <s v="banda1"/>
    <x v="22"/>
    <n v="1"/>
    <s v="Und"/>
    <x v="2"/>
    <d v="2026-06-27T00:00:00"/>
    <m/>
    <m/>
    <x v="1"/>
    <n v="9961"/>
    <s v="cr54cll 2oeste"/>
    <n v="1588320"/>
    <n v="24"/>
    <m/>
  </r>
  <r>
    <s v="banda1"/>
    <x v="22"/>
    <n v="1"/>
    <s v="Und"/>
    <x v="2"/>
    <d v="2026-06-27T00:00:00"/>
    <m/>
    <m/>
    <x v="1"/>
    <n v="9961"/>
    <s v="cr54cll 2oeste"/>
    <n v="1588371"/>
    <n v="25"/>
    <m/>
  </r>
  <r>
    <s v="banda1"/>
    <x v="22"/>
    <n v="2"/>
    <s v="Und"/>
    <x v="2"/>
    <d v="2026-06-27T00:00:00"/>
    <m/>
    <m/>
    <x v="1"/>
    <n v="9961"/>
    <s v="cr54cll 2oeste"/>
    <n v="1588419"/>
    <n v="26"/>
    <m/>
  </r>
  <r>
    <s v="banda1"/>
    <x v="22"/>
    <n v="1"/>
    <s v="Und"/>
    <x v="2"/>
    <d v="2026-06-27T00:00:00"/>
    <m/>
    <m/>
    <x v="1"/>
    <n v="9961"/>
    <s v="cr54cll 2oeste"/>
    <n v="1588281"/>
    <n v="27"/>
    <m/>
  </r>
  <r>
    <s v="Foto"/>
    <x v="15"/>
    <n v="1"/>
    <s v="Und"/>
    <x v="2"/>
    <d v="2026-06-27T00:00:00"/>
    <m/>
    <m/>
    <x v="1"/>
    <n v="9961"/>
    <s v="cr54cll 2oeste"/>
    <n v="2257815"/>
    <n v="1"/>
    <m/>
  </r>
  <r>
    <s v="Foto"/>
    <x v="15"/>
    <n v="1"/>
    <s v="Und"/>
    <x v="2"/>
    <d v="2026-06-27T00:00:00"/>
    <m/>
    <m/>
    <x v="1"/>
    <n v="9961"/>
    <s v="cr54cll 2oeste"/>
    <n v="2257815"/>
    <n v="2"/>
    <m/>
  </r>
  <r>
    <s v="Foto"/>
    <x v="15"/>
    <n v="1"/>
    <s v="Und"/>
    <x v="2"/>
    <d v="2026-06-27T00:00:00"/>
    <m/>
    <m/>
    <x v="1"/>
    <n v="9961"/>
    <s v="cr54cll 2oeste"/>
    <n v="2258897"/>
    <n v="3"/>
    <m/>
  </r>
  <r>
    <s v="Foto"/>
    <x v="15"/>
    <n v="1"/>
    <s v="Und"/>
    <x v="2"/>
    <d v="2026-06-27T00:00:00"/>
    <m/>
    <m/>
    <x v="1"/>
    <n v="9961"/>
    <s v="cr54cll 2oeste"/>
    <n v="2258897"/>
    <n v="4"/>
    <m/>
  </r>
  <r>
    <s v="Foto"/>
    <x v="15"/>
    <n v="1"/>
    <s v="Und"/>
    <x v="2"/>
    <d v="2026-06-27T00:00:00"/>
    <m/>
    <m/>
    <x v="1"/>
    <n v="9961"/>
    <s v="cr54cll 2oeste"/>
    <n v="6535241"/>
    <n v="5"/>
    <m/>
  </r>
  <r>
    <s v="Foto"/>
    <x v="15"/>
    <n v="1"/>
    <s v="Und"/>
    <x v="2"/>
    <d v="2026-06-27T00:00:00"/>
    <m/>
    <m/>
    <x v="1"/>
    <n v="9961"/>
    <s v="cr54cll 2oeste"/>
    <n v="6535241"/>
    <n v="6"/>
    <m/>
  </r>
  <r>
    <s v="Foto"/>
    <x v="15"/>
    <n v="1"/>
    <s v="Und"/>
    <x v="2"/>
    <d v="2026-06-27T00:00:00"/>
    <m/>
    <m/>
    <x v="1"/>
    <n v="9961"/>
    <s v="cr54cll 2oeste"/>
    <n v="6532306"/>
    <n v="7"/>
    <m/>
  </r>
  <r>
    <s v="Foto"/>
    <x v="15"/>
    <n v="1"/>
    <s v="Und"/>
    <x v="2"/>
    <d v="2026-06-27T00:00:00"/>
    <m/>
    <m/>
    <x v="1"/>
    <n v="9961"/>
    <s v="cr54cll 2oeste"/>
    <n v="6532306"/>
    <n v="8"/>
    <m/>
  </r>
  <r>
    <s v="Foto"/>
    <x v="15"/>
    <n v="1"/>
    <s v="Und"/>
    <x v="2"/>
    <d v="2026-06-27T00:00:00"/>
    <m/>
    <m/>
    <x v="1"/>
    <n v="9961"/>
    <s v="cr54cll 2oeste"/>
    <n v="2173239"/>
    <n v="9"/>
    <m/>
  </r>
  <r>
    <s v="Foto"/>
    <x v="15"/>
    <n v="1"/>
    <s v="Und"/>
    <x v="2"/>
    <d v="2026-06-27T00:00:00"/>
    <m/>
    <m/>
    <x v="1"/>
    <n v="9961"/>
    <s v="cr54cll 2oeste"/>
    <n v="2173239"/>
    <n v="10"/>
    <m/>
  </r>
  <r>
    <s v="Foto"/>
    <x v="15"/>
    <n v="1"/>
    <s v="Und"/>
    <x v="2"/>
    <d v="2026-06-27T00:00:00"/>
    <m/>
    <m/>
    <x v="1"/>
    <n v="9961"/>
    <s v="cr54cll 2oeste"/>
    <n v="2173239"/>
    <n v="11"/>
    <m/>
  </r>
  <r>
    <s v="Foto"/>
    <x v="15"/>
    <n v="1"/>
    <s v="Und"/>
    <x v="2"/>
    <d v="2026-06-27T00:00:00"/>
    <m/>
    <m/>
    <x v="1"/>
    <n v="9961"/>
    <s v="cr54cll 2oeste"/>
    <n v="6532292"/>
    <n v="12"/>
    <m/>
  </r>
  <r>
    <s v="Foto"/>
    <x v="15"/>
    <n v="1"/>
    <s v="Und"/>
    <x v="2"/>
    <d v="2026-06-27T00:00:00"/>
    <m/>
    <m/>
    <x v="1"/>
    <n v="9961"/>
    <s v="cr54cll 2oeste"/>
    <n v="2173221"/>
    <n v="14"/>
    <m/>
  </r>
  <r>
    <s v="Foto"/>
    <x v="15"/>
    <n v="1"/>
    <s v="Und"/>
    <x v="2"/>
    <d v="2026-06-27T00:00:00"/>
    <m/>
    <m/>
    <x v="1"/>
    <n v="9961"/>
    <s v="cr54cll 2oeste"/>
    <n v="2173221"/>
    <n v="15"/>
    <m/>
  </r>
  <r>
    <s v="Foto"/>
    <x v="15"/>
    <n v="1"/>
    <s v="Und"/>
    <x v="2"/>
    <d v="2026-06-27T00:00:00"/>
    <m/>
    <m/>
    <x v="1"/>
    <n v="9961"/>
    <s v="cr54cll 2oeste"/>
    <n v="2173221"/>
    <n v="16"/>
    <m/>
  </r>
  <r>
    <s v="tpx"/>
    <x v="23"/>
    <n v="116"/>
    <s v="Mts"/>
    <x v="2"/>
    <d v="2026-06-27T00:00:00"/>
    <m/>
    <m/>
    <x v="1"/>
    <n v="9961"/>
    <s v="cr54cll 2oeste"/>
    <n v="1588320"/>
    <n v="24"/>
    <m/>
  </r>
  <r>
    <s v="3*14"/>
    <x v="3"/>
    <n v="12"/>
    <s v="Mts"/>
    <x v="2"/>
    <d v="2026-06-27T00:00:00"/>
    <m/>
    <m/>
    <x v="1"/>
    <n v="9961"/>
    <s v="cr54cll 2oeste"/>
    <n v="6532306"/>
    <n v="7"/>
    <m/>
  </r>
  <r>
    <s v="3*14"/>
    <x v="3"/>
    <n v="15"/>
    <s v="Mts"/>
    <x v="2"/>
    <d v="2026-06-27T00:00:00"/>
    <m/>
    <m/>
    <x v="1"/>
    <n v="9961"/>
    <s v="cr54cll 2oeste"/>
    <n v="2173239"/>
    <n v="9"/>
    <m/>
  </r>
  <r>
    <s v="percha1"/>
    <x v="11"/>
    <n v="1"/>
    <s v="Und"/>
    <x v="2"/>
    <d v="2026-06-27T00:00:00"/>
    <m/>
    <m/>
    <x v="1"/>
    <n v="9961"/>
    <s v="cr54cll 2oeste"/>
    <n v="1588320"/>
    <n v="24"/>
    <m/>
  </r>
  <r>
    <s v="percha1"/>
    <x v="11"/>
    <n v="1"/>
    <s v="Und"/>
    <x v="2"/>
    <d v="2026-06-27T00:00:00"/>
    <m/>
    <m/>
    <x v="1"/>
    <n v="9961"/>
    <s v="cr54cll 2oeste"/>
    <n v="1588371"/>
    <n v="25"/>
    <m/>
  </r>
  <r>
    <s v="percha1"/>
    <x v="11"/>
    <n v="1"/>
    <s v="Und"/>
    <x v="2"/>
    <d v="2026-06-27T00:00:00"/>
    <m/>
    <m/>
    <x v="1"/>
    <n v="9961"/>
    <s v="cr54cll 2oeste"/>
    <n v="1588419"/>
    <n v="26"/>
    <m/>
  </r>
  <r>
    <s v="percha1"/>
    <x v="11"/>
    <n v="1"/>
    <s v="Und"/>
    <x v="2"/>
    <d v="2026-06-27T00:00:00"/>
    <m/>
    <m/>
    <x v="1"/>
    <n v="9961"/>
    <s v="cr54cll 2oeste"/>
    <n v="1588281"/>
    <n v="27"/>
    <m/>
  </r>
  <r>
    <s v="Aislador1"/>
    <x v="1"/>
    <n v="1"/>
    <s v="Und"/>
    <x v="2"/>
    <d v="2026-06-27T00:00:00"/>
    <m/>
    <m/>
    <x v="1"/>
    <n v="9961"/>
    <s v="cr54cll 2oeste"/>
    <n v="1588320"/>
    <n v="24"/>
    <m/>
  </r>
  <r>
    <s v="Aislador1"/>
    <x v="1"/>
    <n v="1"/>
    <s v="Und"/>
    <x v="2"/>
    <d v="2026-06-27T00:00:00"/>
    <m/>
    <m/>
    <x v="1"/>
    <n v="9961"/>
    <s v="cr54cll 2oeste"/>
    <n v="1588371"/>
    <n v="25"/>
    <m/>
  </r>
  <r>
    <s v="Aislador1"/>
    <x v="1"/>
    <n v="1"/>
    <s v="Und"/>
    <x v="2"/>
    <d v="2026-06-27T00:00:00"/>
    <m/>
    <m/>
    <x v="1"/>
    <n v="9961"/>
    <s v="cr54cll 2oeste"/>
    <n v="1588419"/>
    <n v="26"/>
    <m/>
  </r>
  <r>
    <s v="Aislador1"/>
    <x v="1"/>
    <n v="1"/>
    <s v="Und"/>
    <x v="2"/>
    <d v="2026-06-27T00:00:00"/>
    <m/>
    <m/>
    <x v="1"/>
    <n v="9961"/>
    <s v="cr54cll 2oeste"/>
    <n v="1588281"/>
    <n v="27"/>
    <m/>
  </r>
  <r>
    <s v="CRUCETA"/>
    <x v="32"/>
    <n v="1"/>
    <s v="Und"/>
    <x v="2"/>
    <d v="2026-06-27T00:00:00"/>
    <m/>
    <m/>
    <x v="1"/>
    <n v="9961"/>
    <s v="cr54cll 2oeste"/>
    <n v="2173239"/>
    <n v="9"/>
    <m/>
  </r>
  <r>
    <s v="CRUCETA"/>
    <x v="32"/>
    <n v="1"/>
    <s v="Und"/>
    <x v="2"/>
    <d v="2026-06-27T00:00:00"/>
    <m/>
    <m/>
    <x v="1"/>
    <n v="9961"/>
    <s v="cr54cll 2oeste"/>
    <n v="2173221"/>
    <n v="14"/>
    <m/>
  </r>
  <r>
    <s v="ANGULAR"/>
    <x v="33"/>
    <n v="1"/>
    <s v="Und"/>
    <x v="2"/>
    <d v="2026-06-27T00:00:00"/>
    <m/>
    <m/>
    <x v="1"/>
    <n v="9961"/>
    <s v="cr54cll 2oeste"/>
    <n v="2173239"/>
    <n v="9"/>
    <m/>
  </r>
  <r>
    <s v="ANGULAR"/>
    <x v="33"/>
    <n v="1"/>
    <s v="Und"/>
    <x v="2"/>
    <d v="2026-06-27T00:00:00"/>
    <m/>
    <m/>
    <x v="1"/>
    <n v="9961"/>
    <s v="cr54cll 2oeste"/>
    <n v="2173221"/>
    <n v="14"/>
    <m/>
  </r>
  <r>
    <s v="CRUCETA"/>
    <x v="32"/>
    <n v="1"/>
    <s v="Und"/>
    <x v="1"/>
    <d v="2026-06-27T00:00:00"/>
    <m/>
    <m/>
    <x v="1"/>
    <n v="9961"/>
    <s v="cr54cll 2oeste"/>
    <n v="2173239"/>
    <n v="9"/>
    <s v="SI"/>
  </r>
  <r>
    <s v="CRUCETA"/>
    <x v="32"/>
    <n v="1"/>
    <s v="Und"/>
    <x v="1"/>
    <d v="2026-06-27T00:00:00"/>
    <m/>
    <m/>
    <x v="1"/>
    <n v="9961"/>
    <s v="cr54cll 2oeste"/>
    <n v="2173221"/>
    <n v="14"/>
    <s v="SI"/>
  </r>
  <r>
    <s v="ANGULAR"/>
    <x v="33"/>
    <n v="1"/>
    <s v="Und"/>
    <x v="1"/>
    <d v="2026-06-27T00:00:00"/>
    <m/>
    <m/>
    <x v="1"/>
    <n v="9961"/>
    <s v="cr54cll 2oeste"/>
    <n v="2173239"/>
    <n v="9"/>
    <s v="SI"/>
  </r>
  <r>
    <s v="ANGULAR"/>
    <x v="33"/>
    <n v="1"/>
    <s v="Und"/>
    <x v="1"/>
    <d v="2026-06-27T00:00:00"/>
    <m/>
    <m/>
    <x v="1"/>
    <n v="9961"/>
    <s v="cr54cll 2oeste"/>
    <n v="2173221"/>
    <n v="14"/>
    <s v="SI"/>
  </r>
  <r>
    <s v="Foto"/>
    <x v="15"/>
    <n v="1"/>
    <s v="Und"/>
    <x v="2"/>
    <d v="2026-06-27T00:00:00"/>
    <m/>
    <m/>
    <x v="1"/>
    <n v="9961"/>
    <s v="cr54cll 2oeste"/>
    <n v="6532281"/>
    <n v="17"/>
    <m/>
  </r>
  <r>
    <s v="Foto"/>
    <x v="15"/>
    <n v="1"/>
    <s v="Und"/>
    <x v="2"/>
    <d v="2026-06-27T00:00:00"/>
    <m/>
    <m/>
    <x v="1"/>
    <n v="9961"/>
    <s v="cr54cll 2oeste"/>
    <n v="6532281"/>
    <n v="18"/>
    <m/>
  </r>
  <r>
    <s v="Foto"/>
    <x v="15"/>
    <n v="1"/>
    <s v="Und"/>
    <x v="2"/>
    <d v="2026-06-27T00:00:00"/>
    <m/>
    <m/>
    <x v="1"/>
    <n v="9961"/>
    <s v="cr54cll 2oeste"/>
    <n v="6522233"/>
    <n v="19"/>
    <m/>
  </r>
  <r>
    <s v="Foto"/>
    <x v="15"/>
    <n v="1"/>
    <s v="Und"/>
    <x v="2"/>
    <d v="2026-06-27T00:00:00"/>
    <m/>
    <m/>
    <x v="1"/>
    <n v="9961"/>
    <s v="cr54cll 2oeste"/>
    <n v="6522233"/>
    <n v="20"/>
    <m/>
  </r>
  <r>
    <s v="Foto"/>
    <x v="15"/>
    <n v="1"/>
    <s v="Und"/>
    <x v="2"/>
    <d v="2026-06-27T00:00:00"/>
    <m/>
    <m/>
    <x v="1"/>
    <n v="9961"/>
    <s v="cr54cll 2oeste"/>
    <n v="2258935"/>
    <n v="21"/>
    <m/>
  </r>
  <r>
    <s v="Foto"/>
    <x v="15"/>
    <n v="1"/>
    <s v="Und"/>
    <x v="2"/>
    <d v="2026-06-27T00:00:00"/>
    <m/>
    <m/>
    <x v="1"/>
    <n v="9961"/>
    <s v="cr54cll 2oeste"/>
    <n v="2258935"/>
    <n v="22"/>
    <m/>
  </r>
  <r>
    <s v="Foto"/>
    <x v="15"/>
    <n v="1"/>
    <s v="Und"/>
    <x v="2"/>
    <d v="2026-06-27T00:00:00"/>
    <m/>
    <m/>
    <x v="1"/>
    <n v="9961"/>
    <s v="cr54cll 2oeste"/>
    <n v="6532225"/>
    <n v="23"/>
    <m/>
  </r>
  <r>
    <s v="Foto"/>
    <x v="15"/>
    <n v="1"/>
    <s v="Und"/>
    <x v="2"/>
    <d v="2026-06-27T00:00:00"/>
    <m/>
    <m/>
    <x v="1"/>
    <n v="9961"/>
    <s v="cr54cll 2oeste"/>
    <n v="1588320"/>
    <n v="24"/>
    <m/>
  </r>
  <r>
    <s v="Foto"/>
    <x v="15"/>
    <n v="1"/>
    <s v="Und"/>
    <x v="2"/>
    <d v="2026-06-27T00:00:00"/>
    <m/>
    <m/>
    <x v="1"/>
    <n v="9961"/>
    <s v="cr54cll 2oeste"/>
    <n v="1588371"/>
    <n v="25"/>
    <m/>
  </r>
  <r>
    <s v="Foto"/>
    <x v="15"/>
    <n v="1"/>
    <s v="Und"/>
    <x v="2"/>
    <d v="2026-06-27T00:00:00"/>
    <m/>
    <m/>
    <x v="1"/>
    <n v="9961"/>
    <s v="cr54cll 2oeste"/>
    <n v="1588419"/>
    <n v="26"/>
    <m/>
  </r>
  <r>
    <s v="brazo2"/>
    <x v="18"/>
    <n v="1"/>
    <s v="Und"/>
    <x v="1"/>
    <d v="2026-06-27T00:00:00"/>
    <m/>
    <m/>
    <x v="1"/>
    <n v="9961"/>
    <s v="cr54cll 2oeste"/>
    <n v="2257815"/>
    <n v="1"/>
    <s v="SI"/>
  </r>
  <r>
    <s v="brazo2"/>
    <x v="18"/>
    <n v="1"/>
    <s v="Und"/>
    <x v="1"/>
    <d v="2026-06-27T00:00:00"/>
    <m/>
    <m/>
    <x v="1"/>
    <n v="9961"/>
    <s v="cr54cll 2oeste"/>
    <n v="2257815"/>
    <n v="2"/>
    <s v="SI"/>
  </r>
  <r>
    <s v="brazo2"/>
    <x v="18"/>
    <n v="1"/>
    <s v="Und"/>
    <x v="1"/>
    <d v="2026-06-27T00:00:00"/>
    <m/>
    <m/>
    <x v="1"/>
    <n v="9961"/>
    <s v="cr54cll 2oeste"/>
    <n v="2258897"/>
    <n v="3"/>
    <s v="SI"/>
  </r>
  <r>
    <s v="brazo2"/>
    <x v="18"/>
    <n v="1"/>
    <s v="Und"/>
    <x v="1"/>
    <d v="2026-06-27T00:00:00"/>
    <m/>
    <m/>
    <x v="1"/>
    <n v="9961"/>
    <s v="cr54cll 2oeste"/>
    <n v="2258897"/>
    <n v="4"/>
    <s v="SI"/>
  </r>
  <r>
    <s v="brazo2"/>
    <x v="18"/>
    <n v="1"/>
    <s v="Und"/>
    <x v="1"/>
    <d v="2026-06-27T00:00:00"/>
    <m/>
    <m/>
    <x v="1"/>
    <n v="9961"/>
    <s v="cr54cll 2oeste"/>
    <n v="6535241"/>
    <n v="5"/>
    <s v="SI"/>
  </r>
  <r>
    <s v="brazo2"/>
    <x v="18"/>
    <n v="1"/>
    <s v="Und"/>
    <x v="1"/>
    <d v="2026-06-27T00:00:00"/>
    <m/>
    <m/>
    <x v="1"/>
    <n v="9961"/>
    <s v="cr54cll 2oeste"/>
    <n v="6535241"/>
    <n v="6"/>
    <s v="SI"/>
  </r>
  <r>
    <s v="brazo2"/>
    <x v="18"/>
    <n v="1"/>
    <s v="Und"/>
    <x v="1"/>
    <d v="2026-06-27T00:00:00"/>
    <m/>
    <m/>
    <x v="1"/>
    <n v="9961"/>
    <s v="cr54cll 2oeste"/>
    <n v="6532306"/>
    <n v="7"/>
    <s v="SI"/>
  </r>
  <r>
    <s v="brazo2"/>
    <x v="18"/>
    <n v="1"/>
    <s v="Und"/>
    <x v="1"/>
    <d v="2026-06-27T00:00:00"/>
    <m/>
    <m/>
    <x v="1"/>
    <n v="9961"/>
    <s v="cr54cll 2oeste"/>
    <n v="6532306"/>
    <n v="8"/>
    <s v="SI"/>
  </r>
  <r>
    <s v="brazo2"/>
    <x v="18"/>
    <n v="1"/>
    <s v="Und"/>
    <x v="1"/>
    <d v="2026-06-27T00:00:00"/>
    <m/>
    <m/>
    <x v="1"/>
    <n v="9961"/>
    <s v="cr54cll 2oeste"/>
    <n v="6532292"/>
    <n v="12"/>
    <s v="SI"/>
  </r>
  <r>
    <s v="brazo2"/>
    <x v="18"/>
    <n v="1"/>
    <s v="Und"/>
    <x v="1"/>
    <d v="2026-06-27T00:00:00"/>
    <m/>
    <m/>
    <x v="1"/>
    <n v="9961"/>
    <s v="cr54cll 2oeste"/>
    <n v="6532292"/>
    <n v="13"/>
    <s v="SI"/>
  </r>
  <r>
    <s v="brazo2"/>
    <x v="18"/>
    <n v="1"/>
    <s v="Und"/>
    <x v="1"/>
    <d v="2026-06-27T00:00:00"/>
    <m/>
    <m/>
    <x v="1"/>
    <n v="9961"/>
    <s v="cr54cll 2oeste"/>
    <n v="6532281"/>
    <n v="17"/>
    <s v="SI"/>
  </r>
  <r>
    <s v="brazo2"/>
    <x v="18"/>
    <n v="1"/>
    <s v="Und"/>
    <x v="1"/>
    <d v="2026-06-27T00:00:00"/>
    <m/>
    <m/>
    <x v="1"/>
    <n v="9961"/>
    <s v="cr54cll 2oeste"/>
    <n v="6532281"/>
    <n v="18"/>
    <s v="SI"/>
  </r>
  <r>
    <s v="brazo2"/>
    <x v="18"/>
    <n v="1"/>
    <s v="Und"/>
    <x v="1"/>
    <d v="2026-06-27T00:00:00"/>
    <m/>
    <m/>
    <x v="1"/>
    <n v="9961"/>
    <s v="cr54cll 2oeste"/>
    <n v="6522233"/>
    <n v="19"/>
    <s v="SI"/>
  </r>
  <r>
    <s v="brazo2"/>
    <x v="18"/>
    <n v="1"/>
    <s v="Und"/>
    <x v="1"/>
    <d v="2026-06-27T00:00:00"/>
    <m/>
    <m/>
    <x v="1"/>
    <n v="9961"/>
    <s v="cr54cll 2oeste"/>
    <n v="6522233"/>
    <n v="20"/>
    <s v="SI"/>
  </r>
  <r>
    <s v="brazo2"/>
    <x v="18"/>
    <n v="1"/>
    <s v="Und"/>
    <x v="1"/>
    <d v="2026-06-27T00:00:00"/>
    <m/>
    <m/>
    <x v="1"/>
    <n v="9961"/>
    <s v="cr54cll 2oeste"/>
    <n v="2258935"/>
    <n v="21"/>
    <s v="SI"/>
  </r>
  <r>
    <s v="brazo2"/>
    <x v="18"/>
    <n v="1"/>
    <s v="Und"/>
    <x v="1"/>
    <d v="2026-06-27T00:00:00"/>
    <m/>
    <m/>
    <x v="1"/>
    <n v="9961"/>
    <s v="cr54cll 2oeste"/>
    <n v="2258935"/>
    <n v="22"/>
    <s v="SI"/>
  </r>
  <r>
    <s v="brazo2"/>
    <x v="18"/>
    <n v="1"/>
    <s v="Und"/>
    <x v="1"/>
    <d v="2026-06-27T00:00:00"/>
    <m/>
    <m/>
    <x v="1"/>
    <n v="9961"/>
    <s v="cr54cll 2oeste"/>
    <n v="6532225"/>
    <n v="23"/>
    <s v="SI"/>
  </r>
  <r>
    <s v="brazo2"/>
    <x v="18"/>
    <n v="1"/>
    <s v="Und"/>
    <x v="1"/>
    <d v="2026-06-27T00:00:00"/>
    <m/>
    <m/>
    <x v="1"/>
    <n v="9961"/>
    <s v="cr54cll 2oeste"/>
    <n v="1588320"/>
    <n v="24"/>
    <s v="SI"/>
  </r>
  <r>
    <s v="brazo2"/>
    <x v="18"/>
    <n v="1"/>
    <s v="Und"/>
    <x v="1"/>
    <d v="2026-06-27T00:00:00"/>
    <m/>
    <m/>
    <x v="1"/>
    <n v="9961"/>
    <s v="cr54cll 2oeste"/>
    <n v="1588371"/>
    <n v="25"/>
    <s v="SI"/>
  </r>
  <r>
    <s v="brazo2"/>
    <x v="18"/>
    <n v="1"/>
    <s v="Und"/>
    <x v="1"/>
    <d v="2026-06-27T00:00:00"/>
    <m/>
    <m/>
    <x v="1"/>
    <n v="9961"/>
    <s v="cr54cll 2oeste"/>
    <n v="1588419"/>
    <n v="26"/>
    <s v="SI"/>
  </r>
  <r>
    <s v="Foto"/>
    <x v="15"/>
    <n v="1"/>
    <s v="Und"/>
    <x v="1"/>
    <d v="2026-06-27T00:00:00"/>
    <m/>
    <m/>
    <x v="1"/>
    <n v="9961"/>
    <s v="cr54cll 2oeste"/>
    <n v="6535241"/>
    <n v="5"/>
    <s v="SI"/>
  </r>
  <r>
    <s v="Foto"/>
    <x v="15"/>
    <n v="1"/>
    <s v="Und"/>
    <x v="1"/>
    <d v="2026-06-27T00:00:00"/>
    <m/>
    <m/>
    <x v="1"/>
    <n v="9961"/>
    <s v="cr54cll 2oeste"/>
    <n v="6535241"/>
    <n v="6"/>
    <s v="SI"/>
  </r>
  <r>
    <s v="Foto"/>
    <x v="15"/>
    <n v="1"/>
    <s v="Und"/>
    <x v="1"/>
    <d v="2026-06-27T00:00:00"/>
    <m/>
    <m/>
    <x v="1"/>
    <n v="9961"/>
    <s v="cr54cll 2oeste"/>
    <n v="6532306"/>
    <n v="7"/>
    <s v="SI"/>
  </r>
  <r>
    <s v="Foto"/>
    <x v="15"/>
    <n v="1"/>
    <s v="Und"/>
    <x v="1"/>
    <d v="2026-06-27T00:00:00"/>
    <m/>
    <m/>
    <x v="1"/>
    <n v="9961"/>
    <s v="cr54cll 2oeste"/>
    <n v="6532306"/>
    <n v="8"/>
    <s v="SI"/>
  </r>
  <r>
    <s v="Foto"/>
    <x v="15"/>
    <n v="1"/>
    <s v="Und"/>
    <x v="1"/>
    <d v="2026-06-27T00:00:00"/>
    <m/>
    <m/>
    <x v="1"/>
    <n v="9961"/>
    <s v="cr54cll 2oeste"/>
    <n v="2173239"/>
    <n v="9"/>
    <s v="SI"/>
  </r>
  <r>
    <s v="Foto"/>
    <x v="15"/>
    <n v="1"/>
    <s v="Und"/>
    <x v="1"/>
    <d v="2026-06-27T00:00:00"/>
    <m/>
    <m/>
    <x v="1"/>
    <n v="9961"/>
    <s v="cr54cll 2oeste"/>
    <n v="2173239"/>
    <n v="10"/>
    <s v="SI"/>
  </r>
  <r>
    <s v="Foto"/>
    <x v="15"/>
    <n v="1"/>
    <s v="Und"/>
    <x v="1"/>
    <d v="2026-06-27T00:00:00"/>
    <m/>
    <m/>
    <x v="1"/>
    <n v="9961"/>
    <s v="cr54cll 2oeste"/>
    <n v="2173239"/>
    <n v="11"/>
    <s v="SI"/>
  </r>
  <r>
    <s v="Foto"/>
    <x v="15"/>
    <n v="1"/>
    <s v="Und"/>
    <x v="1"/>
    <d v="2026-06-27T00:00:00"/>
    <m/>
    <m/>
    <x v="1"/>
    <n v="9961"/>
    <s v="cr54cll 2oeste"/>
    <n v="6532292"/>
    <n v="12"/>
    <s v="SI"/>
  </r>
  <r>
    <s v="Foto"/>
    <x v="15"/>
    <n v="1"/>
    <s v="Und"/>
    <x v="1"/>
    <d v="2026-06-27T00:00:00"/>
    <m/>
    <m/>
    <x v="1"/>
    <n v="9961"/>
    <s v="cr54cll 2oeste"/>
    <n v="6532292"/>
    <n v="13"/>
    <s v="SI"/>
  </r>
  <r>
    <s v="Foto"/>
    <x v="15"/>
    <n v="1"/>
    <s v="Und"/>
    <x v="1"/>
    <d v="2026-06-27T00:00:00"/>
    <m/>
    <m/>
    <x v="1"/>
    <n v="9961"/>
    <s v="cr54cll 2oeste"/>
    <n v="2173221"/>
    <n v="14"/>
    <s v="SI"/>
  </r>
  <r>
    <s v="Foto"/>
    <x v="15"/>
    <n v="1"/>
    <s v="Und"/>
    <x v="1"/>
    <d v="2026-06-27T00:00:00"/>
    <m/>
    <m/>
    <x v="1"/>
    <n v="9961"/>
    <s v="cr54cll 2oeste"/>
    <n v="2173221"/>
    <n v="15"/>
    <s v="SI"/>
  </r>
  <r>
    <s v="Foto"/>
    <x v="15"/>
    <n v="1"/>
    <s v="Und"/>
    <x v="1"/>
    <d v="2026-06-27T00:00:00"/>
    <m/>
    <m/>
    <x v="1"/>
    <n v="9961"/>
    <s v="cr54cll 2oeste"/>
    <n v="2173221"/>
    <n v="16"/>
    <s v="SI"/>
  </r>
  <r>
    <s v="Foto"/>
    <x v="15"/>
    <n v="1"/>
    <s v="Und"/>
    <x v="1"/>
    <d v="2026-06-27T00:00:00"/>
    <m/>
    <m/>
    <x v="1"/>
    <n v="9961"/>
    <s v="cr54cll 2oeste"/>
    <n v="6532281"/>
    <n v="17"/>
    <s v="SI"/>
  </r>
  <r>
    <s v="Foto"/>
    <x v="15"/>
    <n v="1"/>
    <s v="Und"/>
    <x v="1"/>
    <d v="2026-06-27T00:00:00"/>
    <m/>
    <m/>
    <x v="1"/>
    <n v="9961"/>
    <s v="cr54cll 2oeste"/>
    <n v="6532281"/>
    <n v="18"/>
    <s v="SI"/>
  </r>
  <r>
    <s v="Foto"/>
    <x v="15"/>
    <n v="1"/>
    <s v="Und"/>
    <x v="1"/>
    <d v="2026-06-27T00:00:00"/>
    <m/>
    <m/>
    <x v="1"/>
    <n v="9961"/>
    <s v="cr54cll 2oeste"/>
    <n v="6522233"/>
    <n v="19"/>
    <s v="SI"/>
  </r>
  <r>
    <s v="Foto"/>
    <x v="15"/>
    <n v="1"/>
    <s v="Und"/>
    <x v="1"/>
    <d v="2026-06-27T00:00:00"/>
    <m/>
    <m/>
    <x v="1"/>
    <n v="9961"/>
    <s v="cr54cll 2oeste"/>
    <n v="6522233"/>
    <n v="20"/>
    <s v="SI"/>
  </r>
  <r>
    <s v="Foto"/>
    <x v="15"/>
    <n v="1"/>
    <s v="Und"/>
    <x v="1"/>
    <d v="2026-06-27T00:00:00"/>
    <m/>
    <m/>
    <x v="1"/>
    <n v="9961"/>
    <s v="cr54cll 2oeste"/>
    <n v="2258935"/>
    <n v="21"/>
    <s v="SI"/>
  </r>
  <r>
    <s v="Foto"/>
    <x v="15"/>
    <n v="1"/>
    <s v="Und"/>
    <x v="1"/>
    <d v="2026-06-27T00:00:00"/>
    <m/>
    <m/>
    <x v="1"/>
    <n v="9961"/>
    <s v="cr54cll 2oeste"/>
    <n v="2258935"/>
    <n v="22"/>
    <s v="SI"/>
  </r>
  <r>
    <s v="Foto"/>
    <x v="15"/>
    <n v="1"/>
    <s v="Und"/>
    <x v="1"/>
    <d v="2026-06-27T00:00:00"/>
    <m/>
    <m/>
    <x v="1"/>
    <n v="9961"/>
    <s v="cr54cll 2oeste"/>
    <n v="6532225"/>
    <n v="23"/>
    <s v="SI"/>
  </r>
  <r>
    <s v="Foto"/>
    <x v="15"/>
    <n v="1"/>
    <s v="Und"/>
    <x v="1"/>
    <d v="2026-06-27T00:00:00"/>
    <m/>
    <m/>
    <x v="1"/>
    <n v="9961"/>
    <s v="cr54cll 2oeste"/>
    <n v="1588320"/>
    <n v="24"/>
    <s v="SI"/>
  </r>
  <r>
    <s v="Foto"/>
    <x v="15"/>
    <n v="1"/>
    <s v="Und"/>
    <x v="1"/>
    <d v="2026-06-27T00:00:00"/>
    <m/>
    <m/>
    <x v="1"/>
    <n v="9961"/>
    <s v="cr54cll 2oeste"/>
    <n v="1588371"/>
    <n v="25"/>
    <s v="SI"/>
  </r>
  <r>
    <s v="grillete"/>
    <x v="24"/>
    <n v="2"/>
    <s v="Und"/>
    <x v="1"/>
    <d v="2026-06-27T00:00:00"/>
    <m/>
    <m/>
    <x v="1"/>
    <n v="9961"/>
    <s v="cr54cll 2oeste"/>
    <n v="2258897"/>
    <n v="3"/>
    <s v="SI"/>
  </r>
  <r>
    <s v="grillete"/>
    <x v="24"/>
    <n v="2"/>
    <s v="Und"/>
    <x v="1"/>
    <d v="2026-06-27T00:00:00"/>
    <m/>
    <m/>
    <x v="1"/>
    <n v="9961"/>
    <s v="cr54cll 2oeste"/>
    <n v="2258897"/>
    <n v="4"/>
    <s v="SI"/>
  </r>
  <r>
    <s v="grillete"/>
    <x v="24"/>
    <n v="2"/>
    <s v="Und"/>
    <x v="1"/>
    <d v="2026-06-27T00:00:00"/>
    <m/>
    <m/>
    <x v="1"/>
    <n v="9961"/>
    <s v="cr54cll 2oeste"/>
    <n v="6532281"/>
    <n v="17"/>
    <s v="SI"/>
  </r>
  <r>
    <s v="grillete"/>
    <x v="24"/>
    <n v="2"/>
    <s v="Und"/>
    <x v="1"/>
    <d v="2026-06-27T00:00:00"/>
    <m/>
    <m/>
    <x v="1"/>
    <n v="9961"/>
    <s v="cr54cll 2oeste"/>
    <n v="6532281"/>
    <n v="18"/>
    <s v="SI"/>
  </r>
  <r>
    <s v="grillete"/>
    <x v="24"/>
    <n v="2"/>
    <s v="Und"/>
    <x v="1"/>
    <d v="2026-06-27T00:00:00"/>
    <m/>
    <m/>
    <x v="1"/>
    <n v="9961"/>
    <s v="cr54cll 2oeste"/>
    <n v="6522233"/>
    <n v="19"/>
    <s v="SI"/>
  </r>
  <r>
    <s v="grillete"/>
    <x v="24"/>
    <n v="2"/>
    <s v="Und"/>
    <x v="1"/>
    <d v="2026-06-27T00:00:00"/>
    <m/>
    <m/>
    <x v="1"/>
    <n v="9961"/>
    <s v="cr54cll 2oeste"/>
    <n v="6522233"/>
    <n v="20"/>
    <s v="SI"/>
  </r>
  <r>
    <s v="grillete"/>
    <x v="24"/>
    <n v="2"/>
    <s v="Und"/>
    <x v="1"/>
    <d v="2026-06-27T00:00:00"/>
    <m/>
    <m/>
    <x v="1"/>
    <n v="9961"/>
    <s v="cr54cll 2oeste"/>
    <n v="6532225"/>
    <n v="23"/>
    <s v="SI"/>
  </r>
  <r>
    <s v="banda1"/>
    <x v="22"/>
    <n v="1"/>
    <s v="Und"/>
    <x v="1"/>
    <d v="2026-06-27T00:00:00"/>
    <m/>
    <m/>
    <x v="1"/>
    <n v="9961"/>
    <s v="cr54cll 2oeste"/>
    <n v="2257815"/>
    <n v="2"/>
    <s v="SI"/>
  </r>
  <r>
    <s v="banda1"/>
    <x v="22"/>
    <n v="1"/>
    <s v="Und"/>
    <x v="1"/>
    <d v="2026-06-27T00:00:00"/>
    <m/>
    <m/>
    <x v="1"/>
    <n v="9961"/>
    <s v="cr54cll 2oeste"/>
    <n v="2258897"/>
    <n v="3"/>
    <s v="SI"/>
  </r>
  <r>
    <s v="banda1"/>
    <x v="22"/>
    <n v="1"/>
    <s v="Und"/>
    <x v="1"/>
    <d v="2026-06-27T00:00:00"/>
    <m/>
    <m/>
    <x v="1"/>
    <n v="9961"/>
    <s v="cr54cll 2oeste"/>
    <n v="6532281"/>
    <n v="17"/>
    <s v="SI"/>
  </r>
  <r>
    <s v="banda1"/>
    <x v="22"/>
    <n v="1"/>
    <s v="Und"/>
    <x v="1"/>
    <d v="2026-06-27T00:00:00"/>
    <m/>
    <m/>
    <x v="1"/>
    <n v="9961"/>
    <s v="cr54cll 2oeste"/>
    <n v="6532281"/>
    <n v="18"/>
    <s v="SI"/>
  </r>
  <r>
    <s v="banda1"/>
    <x v="22"/>
    <n v="1"/>
    <s v="Und"/>
    <x v="1"/>
    <d v="2026-06-27T00:00:00"/>
    <m/>
    <m/>
    <x v="1"/>
    <n v="9961"/>
    <s v="cr54cll 2oeste"/>
    <n v="6522233"/>
    <n v="19"/>
    <s v="SI"/>
  </r>
  <r>
    <s v="banda1"/>
    <x v="22"/>
    <n v="1"/>
    <s v="Und"/>
    <x v="1"/>
    <d v="2026-06-27T00:00:00"/>
    <m/>
    <m/>
    <x v="1"/>
    <n v="9961"/>
    <s v="cr54cll 2oeste"/>
    <n v="6522233"/>
    <n v="20"/>
    <s v="SI"/>
  </r>
  <r>
    <s v="banda1"/>
    <x v="22"/>
    <n v="1"/>
    <s v="Und"/>
    <x v="1"/>
    <d v="2026-06-27T00:00:00"/>
    <m/>
    <m/>
    <x v="1"/>
    <n v="9961"/>
    <s v="cr54cll 2oeste"/>
    <n v="1588281"/>
    <n v="27"/>
    <s v="SI"/>
  </r>
  <r>
    <s v="cable"/>
    <x v="34"/>
    <n v="232"/>
    <s v="Mts"/>
    <x v="1"/>
    <d v="2026-06-27T00:00:00"/>
    <m/>
    <m/>
    <x v="1"/>
    <n v="9961"/>
    <s v="cr54cll 2oeste"/>
    <n v="1588320"/>
    <n v="24"/>
    <s v="SI"/>
  </r>
  <r>
    <s v="Pror-250"/>
    <x v="35"/>
    <n v="1"/>
    <s v="Und"/>
    <x v="1"/>
    <d v="2026-06-27T00:00:00"/>
    <m/>
    <m/>
    <x v="1"/>
    <n v="9961"/>
    <s v="cr54cll 2oeste"/>
    <n v="2173239"/>
    <n v="9"/>
    <s v="SI"/>
  </r>
  <r>
    <s v="Pror-250"/>
    <x v="35"/>
    <n v="1"/>
    <s v="Und"/>
    <x v="1"/>
    <d v="2026-06-27T00:00:00"/>
    <m/>
    <m/>
    <x v="1"/>
    <n v="9961"/>
    <s v="cr54cll 2oeste"/>
    <n v="2173239"/>
    <n v="10"/>
    <s v="SI"/>
  </r>
  <r>
    <s v="Pror-250"/>
    <x v="35"/>
    <n v="1"/>
    <s v="Und"/>
    <x v="1"/>
    <d v="2026-06-27T00:00:00"/>
    <m/>
    <m/>
    <x v="1"/>
    <n v="9961"/>
    <s v="cr54cll 2oeste"/>
    <n v="2173239"/>
    <n v="11"/>
    <s v="SI"/>
  </r>
  <r>
    <s v="Pror-250"/>
    <x v="35"/>
    <n v="1"/>
    <s v="Und"/>
    <x v="1"/>
    <d v="2026-06-27T00:00:00"/>
    <m/>
    <m/>
    <x v="1"/>
    <n v="9961"/>
    <s v="cr54cll 2oeste"/>
    <n v="2173221"/>
    <n v="14"/>
    <s v="SI"/>
  </r>
  <r>
    <s v="Pror-250"/>
    <x v="35"/>
    <n v="1"/>
    <s v="Und"/>
    <x v="1"/>
    <d v="2026-06-27T00:00:00"/>
    <m/>
    <m/>
    <x v="1"/>
    <n v="9961"/>
    <s v="cr54cll 2oeste"/>
    <n v="2173221"/>
    <n v="15"/>
    <s v="SI"/>
  </r>
  <r>
    <s v="Pror-250"/>
    <x v="35"/>
    <n v="1"/>
    <s v="Und"/>
    <x v="1"/>
    <d v="2026-06-27T00:00:00"/>
    <m/>
    <m/>
    <x v="1"/>
    <n v="9961"/>
    <s v="cr54cll 2oeste"/>
    <n v="2173221"/>
    <n v="16"/>
    <s v="SI"/>
  </r>
  <r>
    <s v="lumr-150"/>
    <x v="17"/>
    <n v="1"/>
    <s v="Und"/>
    <x v="1"/>
    <d v="2026-06-27T00:00:00"/>
    <m/>
    <m/>
    <x v="1"/>
    <n v="9961"/>
    <s v="cr54cll 2oeste"/>
    <n v="6535241"/>
    <n v="5"/>
    <s v="SI"/>
  </r>
  <r>
    <s v="lumr-150"/>
    <x v="17"/>
    <n v="1"/>
    <s v="Und"/>
    <x v="1"/>
    <d v="2026-06-27T00:00:00"/>
    <m/>
    <m/>
    <x v="1"/>
    <n v="9961"/>
    <s v="cr54cll 2oeste"/>
    <n v="6535241"/>
    <n v="6"/>
    <s v="SI"/>
  </r>
  <r>
    <s v="lumr-150"/>
    <x v="17"/>
    <n v="1"/>
    <s v="Und"/>
    <x v="1"/>
    <d v="2026-06-27T00:00:00"/>
    <m/>
    <m/>
    <x v="1"/>
    <n v="9961"/>
    <s v="cr54cll 2oeste"/>
    <n v="6532306"/>
    <n v="7"/>
    <s v="SI"/>
  </r>
  <r>
    <s v="lumr-150"/>
    <x v="17"/>
    <n v="1"/>
    <s v="Und"/>
    <x v="1"/>
    <d v="2026-06-27T00:00:00"/>
    <m/>
    <m/>
    <x v="1"/>
    <n v="9961"/>
    <s v="cr54cll 2oeste"/>
    <n v="6532306"/>
    <n v="8"/>
    <s v="SI"/>
  </r>
  <r>
    <s v="lumr-150"/>
    <x v="17"/>
    <n v="1"/>
    <s v="Und"/>
    <x v="1"/>
    <d v="2026-06-27T00:00:00"/>
    <m/>
    <m/>
    <x v="1"/>
    <n v="9961"/>
    <s v="cr54cll 2oeste"/>
    <n v="6532292"/>
    <n v="12"/>
    <s v="SI"/>
  </r>
  <r>
    <s v="lumr-150"/>
    <x v="17"/>
    <n v="1"/>
    <s v="Und"/>
    <x v="1"/>
    <d v="2026-06-27T00:00:00"/>
    <m/>
    <m/>
    <x v="1"/>
    <n v="9961"/>
    <s v="cr54cll 2oeste"/>
    <n v="6532292"/>
    <n v="13"/>
    <s v="SI"/>
  </r>
  <r>
    <s v="lumr-150"/>
    <x v="17"/>
    <n v="1"/>
    <s v="Und"/>
    <x v="1"/>
    <d v="2026-06-27T00:00:00"/>
    <m/>
    <m/>
    <x v="1"/>
    <n v="9961"/>
    <s v="cr54cll 2oeste"/>
    <n v="6532281"/>
    <n v="17"/>
    <s v="SI"/>
  </r>
  <r>
    <s v="lumr-150"/>
    <x v="17"/>
    <n v="1"/>
    <s v="Und"/>
    <x v="1"/>
    <d v="2026-06-27T00:00:00"/>
    <m/>
    <m/>
    <x v="1"/>
    <n v="9961"/>
    <s v="cr54cll 2oeste"/>
    <n v="6532281"/>
    <n v="18"/>
    <s v="SI"/>
  </r>
  <r>
    <s v="lumr-150"/>
    <x v="17"/>
    <n v="1"/>
    <s v="Und"/>
    <x v="1"/>
    <d v="2026-06-27T00:00:00"/>
    <m/>
    <m/>
    <x v="1"/>
    <n v="9961"/>
    <s v="cr54cll 2oeste"/>
    <n v="6522233"/>
    <n v="19"/>
    <s v="SI"/>
  </r>
  <r>
    <s v="lumr-150"/>
    <x v="17"/>
    <n v="1"/>
    <s v="Und"/>
    <x v="1"/>
    <d v="2026-06-27T00:00:00"/>
    <m/>
    <m/>
    <x v="1"/>
    <n v="9961"/>
    <s v="cr54cll 2oeste"/>
    <n v="6522233"/>
    <n v="20"/>
    <s v="SI"/>
  </r>
  <r>
    <s v="lumr-150"/>
    <x v="17"/>
    <n v="1"/>
    <s v="Und"/>
    <x v="1"/>
    <d v="2026-06-27T00:00:00"/>
    <m/>
    <m/>
    <x v="1"/>
    <n v="9961"/>
    <s v="cr54cll 2oeste"/>
    <n v="2258935"/>
    <n v="21"/>
    <s v="SI"/>
  </r>
  <r>
    <s v="lumr-150"/>
    <x v="17"/>
    <n v="1"/>
    <s v="Und"/>
    <x v="1"/>
    <d v="2026-06-27T00:00:00"/>
    <m/>
    <m/>
    <x v="1"/>
    <n v="9961"/>
    <s v="cr54cll 2oeste"/>
    <n v="2258935"/>
    <n v="22"/>
    <s v="SI"/>
  </r>
  <r>
    <s v="lumr-150"/>
    <x v="17"/>
    <n v="1"/>
    <s v="Und"/>
    <x v="1"/>
    <d v="2026-06-27T00:00:00"/>
    <m/>
    <m/>
    <x v="1"/>
    <n v="9961"/>
    <s v="cr54cll 2oeste"/>
    <n v="6532225"/>
    <n v="23"/>
    <s v="SI"/>
  </r>
  <r>
    <s v="lumr-150"/>
    <x v="17"/>
    <n v="1"/>
    <s v="Und"/>
    <x v="1"/>
    <d v="2026-06-27T00:00:00"/>
    <m/>
    <m/>
    <x v="1"/>
    <n v="9961"/>
    <s v="cr54cll 2oeste"/>
    <n v="1588320"/>
    <n v="24"/>
    <s v="SI"/>
  </r>
  <r>
    <s v="lumr-150"/>
    <x v="17"/>
    <n v="1"/>
    <s v="Und"/>
    <x v="1"/>
    <d v="2026-06-27T00:00:00"/>
    <m/>
    <m/>
    <x v="1"/>
    <n v="9961"/>
    <s v="cr54cll 2oeste"/>
    <n v="1588371"/>
    <n v="25"/>
    <s v="SI"/>
  </r>
  <r>
    <s v="bandit"/>
    <x v="4"/>
    <n v="27"/>
    <s v="Und"/>
    <x v="0"/>
    <d v="2026-07-01T00:00:00"/>
    <m/>
    <m/>
    <x v="1"/>
    <n v="9961"/>
    <s v="cr54cll 2oeste"/>
    <m/>
    <m/>
    <m/>
  </r>
  <r>
    <s v="gel1"/>
    <x v="8"/>
    <n v="48"/>
    <s v="Und"/>
    <x v="0"/>
    <d v="2026-07-01T00:00:00"/>
    <m/>
    <m/>
    <x v="1"/>
    <n v="9961"/>
    <s v="cr54cll 2oeste"/>
    <m/>
    <m/>
    <m/>
  </r>
  <r>
    <s v="hebilla"/>
    <x v="5"/>
    <n v="22"/>
    <s v="Und"/>
    <x v="0"/>
    <d v="2026-07-01T00:00:00"/>
    <m/>
    <m/>
    <x v="1"/>
    <n v="9961"/>
    <s v="cr54cll 2oeste"/>
    <m/>
    <m/>
    <m/>
  </r>
  <r>
    <s v="coraza"/>
    <x v="36"/>
    <n v="10"/>
    <s v="Und"/>
    <x v="0"/>
    <d v="2026-07-01T00:00:00"/>
    <m/>
    <m/>
    <x v="1"/>
    <n v="9961"/>
    <s v="cr54cll 2oeste"/>
    <m/>
    <m/>
    <m/>
  </r>
  <r>
    <s v="conduit"/>
    <x v="37"/>
    <n v="40"/>
    <s v="Und"/>
    <x v="0"/>
    <d v="2026-07-01T00:00:00"/>
    <m/>
    <m/>
    <x v="1"/>
    <n v="9958"/>
    <s v="cra 42b cll 11OE-13"/>
    <m/>
    <m/>
    <m/>
  </r>
  <r>
    <s v="capacete"/>
    <x v="38"/>
    <n v="20"/>
    <s v="Und"/>
    <x v="0"/>
    <d v="2026-07-01T00:00:00"/>
    <m/>
    <m/>
    <x v="1"/>
    <n v="9958"/>
    <s v="cra 42b cll 11OE-13"/>
    <m/>
    <m/>
    <m/>
  </r>
  <r>
    <s v="lum-75"/>
    <x v="16"/>
    <n v="1"/>
    <s v="Und"/>
    <x v="2"/>
    <d v="2026-07-01T00:00:00"/>
    <s v="CURRENT"/>
    <s v="6E00234"/>
    <x v="1"/>
    <n v="9963"/>
    <s v="cll 18oe cra 44"/>
    <n v="6529607"/>
    <n v="1"/>
    <m/>
  </r>
  <r>
    <s v="lum-75"/>
    <x v="16"/>
    <n v="1"/>
    <s v="Und"/>
    <x v="2"/>
    <d v="2026-07-01T00:00:00"/>
    <s v="CURRENT"/>
    <s v="6E00207"/>
    <x v="1"/>
    <n v="9963"/>
    <s v="cll 18oe cra 44"/>
    <n v="6529607"/>
    <n v="2"/>
    <m/>
  </r>
  <r>
    <s v="lum-75"/>
    <x v="16"/>
    <n v="1"/>
    <s v="Und"/>
    <x v="2"/>
    <d v="2026-07-01T00:00:00"/>
    <s v="CURRENT"/>
    <s v="6E00193"/>
    <x v="1"/>
    <n v="9963"/>
    <s v="cll 18oe cra 44"/>
    <n v="2147696"/>
    <n v="3"/>
    <m/>
  </r>
  <r>
    <s v="lum-75"/>
    <x v="16"/>
    <n v="1"/>
    <s v="Und"/>
    <x v="2"/>
    <d v="2026-07-01T00:00:00"/>
    <s v="CURRENT"/>
    <s v="6E00228"/>
    <x v="1"/>
    <n v="9963"/>
    <s v="cll 18oe cra 44"/>
    <n v="2147696"/>
    <n v="4"/>
    <m/>
  </r>
  <r>
    <s v="pro-190"/>
    <x v="19"/>
    <n v="1"/>
    <s v="Und"/>
    <x v="2"/>
    <m/>
    <s v="CURRENT"/>
    <s v="6PD0155"/>
    <x v="1"/>
    <n v="9959"/>
    <m/>
    <m/>
    <n v="8"/>
    <m/>
  </r>
  <r>
    <s v="pro-190"/>
    <x v="19"/>
    <n v="1"/>
    <s v="Und"/>
    <x v="0"/>
    <d v="2026-06-25T00:00:00"/>
    <s v="CURRENT"/>
    <s v="6PD0155"/>
    <x v="1"/>
    <n v="9959"/>
    <s v="cr42b-cl11/13"/>
    <m/>
    <m/>
    <m/>
  </r>
  <r>
    <s v="pro-190"/>
    <x v="19"/>
    <n v="1"/>
    <s v="Und"/>
    <x v="2"/>
    <m/>
    <s v="CURRENT"/>
    <s v="6PD0156"/>
    <x v="1"/>
    <n v="9959"/>
    <m/>
    <m/>
    <n v="14"/>
    <m/>
  </r>
  <r>
    <s v="pro-190"/>
    <x v="19"/>
    <n v="1"/>
    <s v="Und"/>
    <x v="0"/>
    <d v="2026-06-25T00:00:00"/>
    <s v="CURRENT"/>
    <s v="6PD0156"/>
    <x v="1"/>
    <n v="9959"/>
    <s v="cr42b-cl11/13"/>
    <m/>
    <m/>
    <m/>
  </r>
  <r>
    <s v="pro-190"/>
    <x v="19"/>
    <n v="1"/>
    <s v="Und"/>
    <x v="2"/>
    <m/>
    <s v="CURRENT"/>
    <s v="6PD0157"/>
    <x v="1"/>
    <n v="9959"/>
    <m/>
    <m/>
    <n v="16"/>
    <m/>
  </r>
  <r>
    <s v="pro-190"/>
    <x v="19"/>
    <n v="1"/>
    <s v="Und"/>
    <x v="0"/>
    <d v="2026-06-25T00:00:00"/>
    <s v="CURRENT"/>
    <s v="6PD0157"/>
    <x v="1"/>
    <n v="9959"/>
    <s v="cr42b-cl11/13"/>
    <m/>
    <m/>
    <m/>
  </r>
  <r>
    <s v="grillete"/>
    <x v="24"/>
    <n v="2"/>
    <s v="Und"/>
    <x v="2"/>
    <d v="2026-07-01T00:00:00"/>
    <m/>
    <m/>
    <x v="1"/>
    <n v="9963"/>
    <s v="cll 18oe cra 44"/>
    <n v="6529607"/>
    <n v="2"/>
    <m/>
  </r>
  <r>
    <s v="grillete"/>
    <x v="24"/>
    <n v="2"/>
    <s v="Und"/>
    <x v="2"/>
    <d v="2026-07-01T00:00:00"/>
    <m/>
    <m/>
    <x v="1"/>
    <n v="9963"/>
    <s v="cll 18oe cra 44"/>
    <n v="2147696"/>
    <n v="4"/>
    <m/>
  </r>
  <r>
    <s v="conec1"/>
    <x v="6"/>
    <n v="3"/>
    <s v="Und"/>
    <x v="2"/>
    <d v="2026-07-01T00:00:00"/>
    <m/>
    <m/>
    <x v="1"/>
    <n v="9963"/>
    <s v="cll 18oe cra 44"/>
    <n v="6529607"/>
    <n v="1"/>
    <m/>
  </r>
  <r>
    <s v="conec1"/>
    <x v="6"/>
    <n v="4"/>
    <s v="Und"/>
    <x v="2"/>
    <d v="2026-07-01T00:00:00"/>
    <m/>
    <m/>
    <x v="1"/>
    <n v="9963"/>
    <s v="cll 18oe cra 44"/>
    <n v="2147696"/>
    <n v="3"/>
    <m/>
  </r>
  <r>
    <s v="conec1"/>
    <x v="6"/>
    <n v="3"/>
    <s v="Und"/>
    <x v="2"/>
    <d v="2026-07-01T00:00:00"/>
    <m/>
    <m/>
    <x v="1"/>
    <n v="9963"/>
    <s v="cll 18oe cra 44"/>
    <n v="2295580"/>
    <n v="5"/>
    <m/>
  </r>
  <r>
    <s v="conec1"/>
    <x v="6"/>
    <n v="5"/>
    <s v="Und"/>
    <x v="2"/>
    <d v="2026-07-01T00:00:00"/>
    <m/>
    <m/>
    <x v="1"/>
    <n v="9963"/>
    <s v="cll 18oe cra 44"/>
    <n v="2295628"/>
    <n v="8"/>
    <m/>
  </r>
  <r>
    <s v="conec2"/>
    <x v="7"/>
    <n v="3"/>
    <s v="Und"/>
    <x v="2"/>
    <d v="2026-07-01T00:00:00"/>
    <m/>
    <m/>
    <x v="1"/>
    <n v="9963"/>
    <s v="cll 18oe cra 44"/>
    <n v="2295580"/>
    <n v="5"/>
    <m/>
  </r>
  <r>
    <s v="conec2"/>
    <x v="7"/>
    <n v="3"/>
    <s v="Und"/>
    <x v="2"/>
    <d v="2026-07-01T00:00:00"/>
    <m/>
    <m/>
    <x v="1"/>
    <n v="9963"/>
    <s v="cll 18oe cra 44"/>
    <n v="2295628"/>
    <n v="8"/>
    <m/>
  </r>
  <r>
    <s v="banda1"/>
    <x v="22"/>
    <n v="1"/>
    <s v="Und"/>
    <x v="2"/>
    <d v="2026-07-01T00:00:00"/>
    <m/>
    <m/>
    <x v="1"/>
    <n v="9963"/>
    <s v="cll 18oe cra 44"/>
    <n v="2295580"/>
    <n v="5"/>
    <m/>
  </r>
  <r>
    <s v="banda1"/>
    <x v="22"/>
    <n v="1"/>
    <s v="Und"/>
    <x v="2"/>
    <d v="2026-07-01T00:00:00"/>
    <m/>
    <m/>
    <x v="1"/>
    <n v="9963"/>
    <s v="cll 18oe cra 44"/>
    <n v="2295628"/>
    <n v="9"/>
    <m/>
  </r>
  <r>
    <s v="banda3"/>
    <x v="39"/>
    <n v="1"/>
    <s v="Und"/>
    <x v="2"/>
    <d v="2026-07-01T00:00:00"/>
    <m/>
    <m/>
    <x v="1"/>
    <n v="9963"/>
    <s v="cll 18oe cra 44"/>
    <n v="2295628"/>
    <n v="8"/>
    <m/>
  </r>
  <r>
    <s v="tpx"/>
    <x v="23"/>
    <n v="80"/>
    <s v="Mts"/>
    <x v="2"/>
    <d v="2026-07-01T00:00:00"/>
    <m/>
    <m/>
    <x v="1"/>
    <n v="9963"/>
    <s v="cll 18oe cra 44"/>
    <n v="6529607"/>
    <n v="1"/>
    <m/>
  </r>
  <r>
    <s v="3*14"/>
    <x v="3"/>
    <n v="5"/>
    <s v="Mts"/>
    <x v="2"/>
    <d v="2026-07-01T00:00:00"/>
    <m/>
    <m/>
    <x v="1"/>
    <n v="9963"/>
    <s v="cll 18oe cra 44"/>
    <n v="2295580"/>
    <n v="5"/>
    <m/>
  </r>
  <r>
    <s v="3*14"/>
    <x v="3"/>
    <n v="5"/>
    <s v="Mts"/>
    <x v="2"/>
    <d v="2026-07-01T00:00:00"/>
    <m/>
    <m/>
    <x v="1"/>
    <n v="9963"/>
    <s v="cll 18oe cra 44"/>
    <n v="2295628"/>
    <n v="8"/>
    <m/>
  </r>
  <r>
    <s v="kit"/>
    <x v="10"/>
    <n v="1"/>
    <s v="Und"/>
    <x v="2"/>
    <d v="2026-07-01T00:00:00"/>
    <m/>
    <m/>
    <x v="1"/>
    <n v="9963"/>
    <s v="cll 18oe cra 44"/>
    <n v="2295580"/>
    <n v="5"/>
    <m/>
  </r>
  <r>
    <s v="kit"/>
    <x v="10"/>
    <n v="1"/>
    <s v="Und"/>
    <x v="2"/>
    <d v="2026-07-01T00:00:00"/>
    <m/>
    <m/>
    <x v="1"/>
    <n v="9963"/>
    <s v="cll 18oe cra 44"/>
    <n v="2295628"/>
    <n v="8"/>
    <m/>
  </r>
  <r>
    <s v="percha1"/>
    <x v="11"/>
    <n v="1"/>
    <s v="Und"/>
    <x v="2"/>
    <d v="2026-07-01T00:00:00"/>
    <m/>
    <m/>
    <x v="1"/>
    <n v="9963"/>
    <s v="cll 18oe cra 44"/>
    <n v="2147696"/>
    <n v="3"/>
    <m/>
  </r>
  <r>
    <s v="percha1"/>
    <x v="11"/>
    <n v="1"/>
    <s v="Und"/>
    <x v="2"/>
    <d v="2026-07-01T00:00:00"/>
    <m/>
    <m/>
    <x v="1"/>
    <n v="9963"/>
    <s v="cll 18oe cra 44"/>
    <n v="2295580"/>
    <n v="5"/>
    <m/>
  </r>
  <r>
    <s v="percha1"/>
    <x v="11"/>
    <n v="1"/>
    <s v="Und"/>
    <x v="2"/>
    <d v="2026-07-01T00:00:00"/>
    <m/>
    <m/>
    <x v="1"/>
    <n v="9963"/>
    <s v="cll 18oe cra 44"/>
    <n v="2295628"/>
    <n v="9"/>
    <m/>
  </r>
  <r>
    <s v="Aislador1"/>
    <x v="1"/>
    <n v="1"/>
    <s v="Und"/>
    <x v="2"/>
    <d v="2026-07-01T00:00:00"/>
    <m/>
    <m/>
    <x v="1"/>
    <n v="9963"/>
    <s v="cll 18oe cra 44"/>
    <n v="2147696"/>
    <n v="3"/>
    <m/>
  </r>
  <r>
    <s v="Aislador1"/>
    <x v="1"/>
    <n v="1"/>
    <s v="Und"/>
    <x v="2"/>
    <d v="2026-07-01T00:00:00"/>
    <m/>
    <m/>
    <x v="1"/>
    <n v="9963"/>
    <s v="cll 18oe cra 44"/>
    <n v="2295580"/>
    <n v="5"/>
    <m/>
  </r>
  <r>
    <s v="Aislador1"/>
    <x v="1"/>
    <n v="1"/>
    <s v="Und"/>
    <x v="2"/>
    <d v="2026-07-01T00:00:00"/>
    <m/>
    <m/>
    <x v="1"/>
    <n v="9963"/>
    <s v="cll 18oe cra 44"/>
    <n v="2295628"/>
    <n v="9"/>
    <m/>
  </r>
  <r>
    <s v="cruceta"/>
    <x v="32"/>
    <n v="1"/>
    <s v="Und"/>
    <x v="2"/>
    <d v="2026-07-01T00:00:00"/>
    <m/>
    <m/>
    <x v="1"/>
    <n v="9963"/>
    <s v="cll 18oe cra 44"/>
    <n v="2295580"/>
    <n v="5"/>
    <m/>
  </r>
  <r>
    <s v="cruceta"/>
    <x v="32"/>
    <n v="1"/>
    <s v="Und"/>
    <x v="2"/>
    <d v="2026-07-01T00:00:00"/>
    <m/>
    <m/>
    <x v="1"/>
    <n v="9963"/>
    <s v="cll 18oe cra 44"/>
    <n v="2295628"/>
    <n v="8"/>
    <m/>
  </r>
  <r>
    <s v="ANGULAR"/>
    <x v="33"/>
    <n v="1"/>
    <s v="Und"/>
    <x v="2"/>
    <d v="2026-07-01T00:00:00"/>
    <m/>
    <m/>
    <x v="1"/>
    <n v="9963"/>
    <s v="cll 18oe cra 44"/>
    <n v="2295580"/>
    <n v="5"/>
    <m/>
  </r>
  <r>
    <s v="ANGULAR"/>
    <x v="33"/>
    <n v="1"/>
    <s v="Und"/>
    <x v="2"/>
    <d v="2026-07-01T00:00:00"/>
    <m/>
    <m/>
    <x v="1"/>
    <n v="9963"/>
    <s v="cll 18oe cra 44"/>
    <n v="2295628"/>
    <n v="8"/>
    <m/>
  </r>
  <r>
    <s v="lumr-150"/>
    <x v="17"/>
    <n v="1"/>
    <s v="Und"/>
    <x v="1"/>
    <d v="2026-07-01T00:00:00"/>
    <m/>
    <m/>
    <x v="1"/>
    <n v="9963"/>
    <s v="cll 18oe cra 44"/>
    <n v="6529607"/>
    <n v="1"/>
    <s v="SI"/>
  </r>
  <r>
    <s v="lumr-150"/>
    <x v="17"/>
    <n v="1"/>
    <s v="Und"/>
    <x v="1"/>
    <d v="2026-07-01T00:00:00"/>
    <m/>
    <m/>
    <x v="1"/>
    <n v="9963"/>
    <s v="cll 18oe cra 44"/>
    <n v="6529607"/>
    <n v="2"/>
    <s v="SI"/>
  </r>
  <r>
    <s v="lumr-150"/>
    <x v="17"/>
    <n v="1"/>
    <s v="Und"/>
    <x v="1"/>
    <d v="2026-07-01T00:00:00"/>
    <m/>
    <m/>
    <x v="1"/>
    <n v="9963"/>
    <s v="cll 18oe cra 44"/>
    <n v="2147696"/>
    <n v="3"/>
    <s v="SI"/>
  </r>
  <r>
    <s v="lumr-150"/>
    <x v="17"/>
    <n v="1"/>
    <s v="Und"/>
    <x v="1"/>
    <d v="2026-07-01T00:00:00"/>
    <m/>
    <m/>
    <x v="1"/>
    <n v="9963"/>
    <s v="cll 18oe cra 44"/>
    <n v="2147696"/>
    <n v="4"/>
    <s v="SI"/>
  </r>
  <r>
    <s v="pror-250"/>
    <x v="35"/>
    <n v="1"/>
    <s v="Und"/>
    <x v="1"/>
    <d v="2026-07-01T00:00:00"/>
    <m/>
    <m/>
    <x v="1"/>
    <n v="9963"/>
    <s v="cll 18oe cra 44"/>
    <n v="2295580"/>
    <n v="5"/>
    <s v="SI"/>
  </r>
  <r>
    <s v="pror-250"/>
    <x v="35"/>
    <n v="1"/>
    <s v="Und"/>
    <x v="1"/>
    <d v="2026-07-01T00:00:00"/>
    <m/>
    <m/>
    <x v="1"/>
    <n v="9963"/>
    <s v="cll 18oe cra 44"/>
    <n v="2295580"/>
    <n v="6"/>
    <s v="SI"/>
  </r>
  <r>
    <s v="pror-250"/>
    <x v="35"/>
    <n v="1"/>
    <s v="Und"/>
    <x v="1"/>
    <d v="2026-07-01T00:00:00"/>
    <m/>
    <m/>
    <x v="1"/>
    <n v="9963"/>
    <s v="cll 18oe cra 44"/>
    <n v="2295580"/>
    <n v="7"/>
    <s v="SI"/>
  </r>
  <r>
    <s v="pror-250"/>
    <x v="35"/>
    <n v="1"/>
    <s v="Und"/>
    <x v="1"/>
    <d v="2026-07-01T00:00:00"/>
    <m/>
    <m/>
    <x v="1"/>
    <n v="9963"/>
    <s v="cll 18oe cra 44"/>
    <n v="2295628"/>
    <n v="8"/>
    <s v="SI"/>
  </r>
  <r>
    <s v="pror-250"/>
    <x v="35"/>
    <n v="1"/>
    <s v="Und"/>
    <x v="1"/>
    <d v="2026-07-01T00:00:00"/>
    <m/>
    <m/>
    <x v="1"/>
    <n v="9963"/>
    <s v="cll 18oe cra 44"/>
    <n v="2295628"/>
    <n v="9"/>
    <s v="SI"/>
  </r>
  <r>
    <s v="pror-250"/>
    <x v="35"/>
    <n v="1"/>
    <s v="Und"/>
    <x v="1"/>
    <d v="2026-07-01T00:00:00"/>
    <m/>
    <m/>
    <x v="1"/>
    <n v="9963"/>
    <s v="cll 18oe cra 44"/>
    <n v="2295628"/>
    <n v="10"/>
    <s v="SI"/>
  </r>
  <r>
    <s v="brazo2"/>
    <x v="18"/>
    <n v="1"/>
    <s v="Und"/>
    <x v="1"/>
    <d v="2026-07-01T00:00:00"/>
    <m/>
    <m/>
    <x v="1"/>
    <n v="9963"/>
    <s v="cll 18oe cra 44"/>
    <n v="6529607"/>
    <n v="1"/>
    <s v="SI"/>
  </r>
  <r>
    <s v="brazo2"/>
    <x v="18"/>
    <n v="1"/>
    <s v="Und"/>
    <x v="1"/>
    <d v="2026-07-01T00:00:00"/>
    <m/>
    <m/>
    <x v="1"/>
    <n v="9963"/>
    <s v="cll 18oe cra 44"/>
    <n v="6529607"/>
    <n v="2"/>
    <s v="SI"/>
  </r>
  <r>
    <s v="brazo2"/>
    <x v="18"/>
    <n v="1"/>
    <s v="Und"/>
    <x v="1"/>
    <d v="2026-07-01T00:00:00"/>
    <m/>
    <m/>
    <x v="1"/>
    <n v="9963"/>
    <s v="cll 18oe cra 44"/>
    <n v="2147696"/>
    <n v="3"/>
    <s v="SI"/>
  </r>
  <r>
    <s v="brazo2"/>
    <x v="18"/>
    <n v="1"/>
    <s v="Und"/>
    <x v="1"/>
    <d v="2026-07-01T00:00:00"/>
    <m/>
    <m/>
    <x v="1"/>
    <n v="9963"/>
    <s v="cll 18oe cra 44"/>
    <n v="2147696"/>
    <n v="4"/>
    <s v="SI"/>
  </r>
  <r>
    <s v="Foto"/>
    <x v="15"/>
    <n v="1"/>
    <s v="Und"/>
    <x v="1"/>
    <d v="2026-07-01T00:00:00"/>
    <m/>
    <m/>
    <x v="1"/>
    <n v="9963"/>
    <s v="cll 18oe cra 44"/>
    <n v="6529607"/>
    <n v="1"/>
    <s v="SI"/>
  </r>
  <r>
    <s v="Foto"/>
    <x v="15"/>
    <n v="1"/>
    <s v="Und"/>
    <x v="1"/>
    <d v="2026-07-01T00:00:00"/>
    <m/>
    <m/>
    <x v="1"/>
    <n v="9963"/>
    <s v="cll 18oe cra 44"/>
    <n v="6529607"/>
    <n v="2"/>
    <s v="SI"/>
  </r>
  <r>
    <s v="Foto"/>
    <x v="15"/>
    <n v="1"/>
    <s v="Und"/>
    <x v="1"/>
    <d v="2026-07-01T00:00:00"/>
    <m/>
    <m/>
    <x v="1"/>
    <n v="9963"/>
    <s v="cll 18oe cra 44"/>
    <n v="2147696"/>
    <n v="3"/>
    <s v="SI"/>
  </r>
  <r>
    <s v="Foto"/>
    <x v="15"/>
    <n v="1"/>
    <s v="Und"/>
    <x v="1"/>
    <d v="2026-07-01T00:00:00"/>
    <m/>
    <m/>
    <x v="1"/>
    <n v="9963"/>
    <s v="cll 18oe cra 44"/>
    <n v="2147696"/>
    <n v="4"/>
    <s v="SI"/>
  </r>
  <r>
    <s v="Foto"/>
    <x v="15"/>
    <n v="1"/>
    <s v="Und"/>
    <x v="1"/>
    <d v="2026-07-01T00:00:00"/>
    <m/>
    <m/>
    <x v="1"/>
    <n v="9963"/>
    <s v="cll 18oe cra 44"/>
    <n v="2295580"/>
    <n v="5"/>
    <s v="SI"/>
  </r>
  <r>
    <s v="Foto"/>
    <x v="15"/>
    <n v="1"/>
    <s v="Und"/>
    <x v="1"/>
    <d v="2026-07-01T00:00:00"/>
    <m/>
    <m/>
    <x v="1"/>
    <n v="9963"/>
    <s v="cll 18oe cra 44"/>
    <n v="2295580"/>
    <n v="6"/>
    <s v="SI"/>
  </r>
  <r>
    <s v="Foto"/>
    <x v="15"/>
    <n v="1"/>
    <s v="Und"/>
    <x v="1"/>
    <d v="2026-07-01T00:00:00"/>
    <m/>
    <m/>
    <x v="1"/>
    <n v="9963"/>
    <s v="cll 18oe cra 44"/>
    <n v="2295580"/>
    <n v="7"/>
    <s v="SI"/>
  </r>
  <r>
    <s v="Foto"/>
    <x v="15"/>
    <n v="1"/>
    <s v="Und"/>
    <x v="1"/>
    <d v="2026-07-01T00:00:00"/>
    <m/>
    <m/>
    <x v="1"/>
    <n v="9963"/>
    <s v="cll 18oe cra 44"/>
    <n v="2295628"/>
    <n v="8"/>
    <s v="SI"/>
  </r>
  <r>
    <s v="Foto"/>
    <x v="15"/>
    <n v="1"/>
    <s v="Und"/>
    <x v="1"/>
    <d v="2026-07-01T00:00:00"/>
    <m/>
    <m/>
    <x v="1"/>
    <n v="9963"/>
    <s v="cll 18oe cra 44"/>
    <n v="2295628"/>
    <n v="9"/>
    <s v="SI"/>
  </r>
  <r>
    <s v="Foto"/>
    <x v="15"/>
    <n v="1"/>
    <s v="Und"/>
    <x v="1"/>
    <d v="2026-07-01T00:00:00"/>
    <m/>
    <m/>
    <x v="1"/>
    <n v="9963"/>
    <s v="cll 18oe cra 44"/>
    <n v="2295628"/>
    <n v="10"/>
    <s v="SI"/>
  </r>
  <r>
    <s v="grillete"/>
    <x v="24"/>
    <n v="2"/>
    <s v="Und"/>
    <x v="1"/>
    <d v="2026-07-01T00:00:00"/>
    <m/>
    <m/>
    <x v="1"/>
    <n v="9963"/>
    <s v="cll 18oe cra 44"/>
    <n v="6529607"/>
    <n v="1"/>
    <s v="SI"/>
  </r>
  <r>
    <s v="grillete"/>
    <x v="24"/>
    <n v="2"/>
    <s v="Und"/>
    <x v="1"/>
    <d v="2026-07-01T00:00:00"/>
    <m/>
    <m/>
    <x v="1"/>
    <n v="9963"/>
    <s v="cll 18oe cra 44"/>
    <n v="6529607"/>
    <n v="2"/>
    <s v="SI"/>
  </r>
  <r>
    <s v="grillete"/>
    <x v="24"/>
    <n v="2"/>
    <s v="Und"/>
    <x v="1"/>
    <d v="2026-07-01T00:00:00"/>
    <m/>
    <m/>
    <x v="1"/>
    <n v="9963"/>
    <s v="cll 18oe cra 44"/>
    <n v="2147696"/>
    <n v="3"/>
    <s v="SI"/>
  </r>
  <r>
    <s v="grillete"/>
    <x v="24"/>
    <n v="2"/>
    <s v="Und"/>
    <x v="1"/>
    <d v="2026-07-01T00:00:00"/>
    <m/>
    <m/>
    <x v="1"/>
    <n v="9963"/>
    <s v="cll 18oe cra 44"/>
    <n v="2147696"/>
    <n v="4"/>
    <s v="SI"/>
  </r>
  <r>
    <s v="banda1"/>
    <x v="22"/>
    <n v="1"/>
    <s v="Und"/>
    <x v="1"/>
    <d v="2026-07-01T00:00:00"/>
    <m/>
    <m/>
    <x v="1"/>
    <n v="9963"/>
    <s v="cll 18oe cra 44"/>
    <n v="6529607"/>
    <n v="1"/>
    <s v="SI"/>
  </r>
  <r>
    <s v="banda1"/>
    <x v="22"/>
    <n v="1"/>
    <s v="Und"/>
    <x v="1"/>
    <d v="2026-07-01T00:00:00"/>
    <m/>
    <m/>
    <x v="1"/>
    <n v="9963"/>
    <s v="cll 18oe cra 44"/>
    <n v="2147696"/>
    <n v="3"/>
    <s v="SI"/>
  </r>
  <r>
    <s v="banda1"/>
    <x v="22"/>
    <n v="1"/>
    <s v="Und"/>
    <x v="1"/>
    <d v="2026-07-01T00:00:00"/>
    <m/>
    <m/>
    <x v="1"/>
    <n v="9963"/>
    <s v="cll 18oe cra 44"/>
    <n v="2295580"/>
    <n v="5"/>
    <s v="SI"/>
  </r>
  <r>
    <s v="banda1"/>
    <x v="22"/>
    <n v="1"/>
    <s v="Und"/>
    <x v="1"/>
    <d v="2026-07-01T00:00:00"/>
    <m/>
    <m/>
    <x v="1"/>
    <n v="9963"/>
    <s v="cll 18oe cra 44"/>
    <n v="2295628"/>
    <n v="8"/>
    <s v="SI"/>
  </r>
  <r>
    <s v="percha1"/>
    <x v="11"/>
    <n v="1"/>
    <s v="Und"/>
    <x v="1"/>
    <d v="2026-07-01T00:00:00"/>
    <m/>
    <m/>
    <x v="1"/>
    <n v="9963"/>
    <s v="cll 18oe cra 44"/>
    <n v="6529607"/>
    <n v="1"/>
    <s v="SI"/>
  </r>
  <r>
    <s v="percha1"/>
    <x v="11"/>
    <n v="1"/>
    <s v="Und"/>
    <x v="1"/>
    <d v="2026-07-01T00:00:00"/>
    <m/>
    <m/>
    <x v="1"/>
    <n v="9963"/>
    <s v="cll 18oe cra 44"/>
    <n v="2147696"/>
    <n v="3"/>
    <s v="SI"/>
  </r>
  <r>
    <s v="percha1"/>
    <x v="11"/>
    <n v="1"/>
    <s v="Und"/>
    <x v="1"/>
    <d v="2026-07-01T00:00:00"/>
    <m/>
    <m/>
    <x v="1"/>
    <n v="9963"/>
    <s v="cll 18oe cra 44"/>
    <n v="2295580"/>
    <n v="5"/>
    <s v="SI"/>
  </r>
  <r>
    <s v="percha1"/>
    <x v="11"/>
    <n v="1"/>
    <s v="Und"/>
    <x v="1"/>
    <d v="2026-07-01T00:00:00"/>
    <m/>
    <m/>
    <x v="1"/>
    <n v="9963"/>
    <s v="cll 18oe cra 44"/>
    <n v="2295628"/>
    <n v="8"/>
    <s v="SI"/>
  </r>
  <r>
    <s v="Aislador1"/>
    <x v="1"/>
    <n v="1"/>
    <s v="Und"/>
    <x v="1"/>
    <d v="2026-07-01T00:00:00"/>
    <m/>
    <m/>
    <x v="1"/>
    <n v="9963"/>
    <s v="cll 18oe cra 44"/>
    <n v="6529607"/>
    <n v="1"/>
    <s v="SI"/>
  </r>
  <r>
    <s v="Aislador1"/>
    <x v="1"/>
    <n v="1"/>
    <s v="Und"/>
    <x v="1"/>
    <d v="2026-07-01T00:00:00"/>
    <m/>
    <m/>
    <x v="1"/>
    <n v="9963"/>
    <s v="cll 18oe cra 44"/>
    <n v="2147696"/>
    <n v="3"/>
    <s v="SI"/>
  </r>
  <r>
    <s v="Aislador1"/>
    <x v="1"/>
    <n v="1"/>
    <s v="Und"/>
    <x v="1"/>
    <d v="2026-07-01T00:00:00"/>
    <m/>
    <m/>
    <x v="1"/>
    <n v="9963"/>
    <s v="cll 18oe cra 44"/>
    <n v="2295580"/>
    <n v="5"/>
    <s v="SI"/>
  </r>
  <r>
    <s v="Aislador1"/>
    <x v="1"/>
    <n v="1"/>
    <s v="Und"/>
    <x v="1"/>
    <d v="2026-07-01T00:00:00"/>
    <m/>
    <m/>
    <x v="1"/>
    <n v="9963"/>
    <s v="cll 18oe cra 44"/>
    <n v="2295628"/>
    <n v="8"/>
    <s v="SI"/>
  </r>
  <r>
    <s v="tpx"/>
    <x v="23"/>
    <n v="160"/>
    <s v="Mts"/>
    <x v="1"/>
    <d v="2026-07-01T00:00:00"/>
    <m/>
    <m/>
    <x v="1"/>
    <n v="9963"/>
    <s v="cll 18oe cra 44"/>
    <m/>
    <m/>
    <s v="SI"/>
  </r>
  <r>
    <s v="Banda2"/>
    <x v="0"/>
    <n v="2"/>
    <s v="Und"/>
    <x v="2"/>
    <d v="2026-06-26T00:00:00"/>
    <m/>
    <m/>
    <x v="1"/>
    <n v="9958"/>
    <m/>
    <n v="2277638"/>
    <n v="3"/>
    <m/>
  </r>
  <r>
    <s v="Banda2"/>
    <x v="0"/>
    <n v="2"/>
    <s v="Und"/>
    <x v="2"/>
    <d v="2026-06-26T00:00:00"/>
    <m/>
    <m/>
    <x v="1"/>
    <n v="9958"/>
    <m/>
    <n v="2277689"/>
    <n v="7"/>
    <m/>
  </r>
  <r>
    <s v="Banda2"/>
    <x v="0"/>
    <n v="2"/>
    <s v="Und"/>
    <x v="2"/>
    <d v="2026-06-26T00:00:00"/>
    <m/>
    <m/>
    <x v="1"/>
    <n v="9958"/>
    <m/>
    <n v="2277689"/>
    <n v="9"/>
    <m/>
  </r>
  <r>
    <s v="Banda2"/>
    <x v="0"/>
    <n v="2"/>
    <s v="Und"/>
    <x v="2"/>
    <d v="2026-06-26T00:00:00"/>
    <m/>
    <m/>
    <x v="1"/>
    <n v="9958"/>
    <m/>
    <n v="2277689"/>
    <n v="11"/>
    <m/>
  </r>
  <r>
    <s v="Banda2"/>
    <x v="0"/>
    <n v="2"/>
    <s v="Und"/>
    <x v="2"/>
    <d v="2026-06-26T00:00:00"/>
    <m/>
    <m/>
    <x v="1"/>
    <n v="9958"/>
    <m/>
    <n v="2277689"/>
    <n v="13"/>
    <m/>
  </r>
  <r>
    <s v="Banda2"/>
    <x v="0"/>
    <n v="2"/>
    <s v="Und"/>
    <x v="2"/>
    <d v="2026-06-26T00:00:00"/>
    <m/>
    <m/>
    <x v="1"/>
    <n v="9958"/>
    <m/>
    <n v="2277689"/>
    <n v="15"/>
    <m/>
  </r>
  <r>
    <s v="Aislador1"/>
    <x v="1"/>
    <n v="1"/>
    <s v="Und"/>
    <x v="2"/>
    <d v="2026-06-26T00:00:00"/>
    <m/>
    <m/>
    <x v="1"/>
    <n v="9958"/>
    <m/>
    <n v="2277638"/>
    <n v="5"/>
    <m/>
  </r>
  <r>
    <s v="alambre 14"/>
    <x v="40"/>
    <n v="16"/>
    <s v="Mts"/>
    <x v="2"/>
    <d v="2026-06-26T00:00:00"/>
    <m/>
    <m/>
    <x v="1"/>
    <n v="9958"/>
    <m/>
    <n v="2277638"/>
    <n v="9"/>
    <m/>
  </r>
  <r>
    <s v="alambre 14"/>
    <x v="40"/>
    <n v="1"/>
    <s v="Mts"/>
    <x v="2"/>
    <d v="2026-06-26T00:00:00"/>
    <m/>
    <m/>
    <x v="1"/>
    <n v="9958"/>
    <m/>
    <n v="2277689"/>
    <n v="10"/>
    <m/>
  </r>
  <r>
    <s v="alambre 14"/>
    <x v="40"/>
    <n v="14"/>
    <s v="Mts"/>
    <x v="2"/>
    <d v="2026-06-26T00:00:00"/>
    <m/>
    <m/>
    <x v="1"/>
    <n v="9958"/>
    <m/>
    <n v="2277689"/>
    <n v="13"/>
    <m/>
  </r>
  <r>
    <s v="angular"/>
    <x v="33"/>
    <n v="2"/>
    <s v="Und"/>
    <x v="2"/>
    <d v="2026-06-26T00:00:00"/>
    <m/>
    <m/>
    <x v="1"/>
    <n v="9958"/>
    <m/>
    <n v="2277638"/>
    <n v="2"/>
    <m/>
  </r>
  <r>
    <s v="angular"/>
    <x v="33"/>
    <n v="2"/>
    <s v="Und"/>
    <x v="2"/>
    <d v="2026-06-26T00:00:00"/>
    <m/>
    <m/>
    <x v="1"/>
    <n v="9958"/>
    <m/>
    <n v="2277689"/>
    <n v="8"/>
    <m/>
  </r>
  <r>
    <s v="#4"/>
    <x v="41"/>
    <n v="38"/>
    <s v="Und"/>
    <x v="2"/>
    <d v="2026-06-26T00:00:00"/>
    <m/>
    <m/>
    <x v="1"/>
    <n v="9958"/>
    <m/>
    <n v="2277638"/>
    <n v="8"/>
    <m/>
  </r>
  <r>
    <s v="#4"/>
    <x v="41"/>
    <n v="32"/>
    <s v="Und"/>
    <x v="2"/>
    <d v="2026-06-26T00:00:00"/>
    <m/>
    <m/>
    <x v="1"/>
    <n v="9958"/>
    <m/>
    <n v="2277638"/>
    <n v="9"/>
    <m/>
  </r>
  <r>
    <s v="#4"/>
    <x v="41"/>
    <n v="54"/>
    <s v="Und"/>
    <x v="2"/>
    <d v="2026-06-26T00:00:00"/>
    <m/>
    <m/>
    <x v="1"/>
    <n v="9958"/>
    <m/>
    <n v="2277689"/>
    <n v="14"/>
    <m/>
  </r>
  <r>
    <s v="3*14"/>
    <x v="3"/>
    <n v="10"/>
    <s v="Mts"/>
    <x v="2"/>
    <d v="2026-06-26T00:00:00"/>
    <m/>
    <m/>
    <x v="1"/>
    <n v="9958"/>
    <m/>
    <n v="2277689"/>
    <n v="11"/>
    <m/>
  </r>
  <r>
    <s v="3*14"/>
    <x v="3"/>
    <n v="10"/>
    <s v="Mts"/>
    <x v="2"/>
    <d v="2026-06-26T00:00:00"/>
    <m/>
    <m/>
    <x v="1"/>
    <n v="9958"/>
    <m/>
    <n v="2277689"/>
    <n v="13"/>
    <m/>
  </r>
  <r>
    <s v="3*14"/>
    <x v="3"/>
    <n v="10"/>
    <s v="Und"/>
    <x v="2"/>
    <d v="2026-06-26T00:00:00"/>
    <m/>
    <m/>
    <x v="1"/>
    <n v="9958"/>
    <m/>
    <n v="2277689"/>
    <n v="15"/>
    <m/>
  </r>
  <r>
    <s v="bandit"/>
    <x v="4"/>
    <n v="3"/>
    <s v="Und"/>
    <x v="2"/>
    <d v="2026-06-26T00:00:00"/>
    <m/>
    <m/>
    <x v="1"/>
    <n v="9958"/>
    <m/>
    <n v="2277638"/>
    <n v="7"/>
    <m/>
  </r>
  <r>
    <s v="bandit"/>
    <x v="4"/>
    <n v="3"/>
    <s v="Und"/>
    <x v="2"/>
    <d v="2026-06-26T00:00:00"/>
    <m/>
    <m/>
    <x v="1"/>
    <n v="9958"/>
    <m/>
    <n v="2277638"/>
    <n v="9"/>
    <m/>
  </r>
  <r>
    <s v="conec1"/>
    <x v="6"/>
    <n v="8"/>
    <s v="Und"/>
    <x v="2"/>
    <d v="2026-06-26T00:00:00"/>
    <m/>
    <m/>
    <x v="1"/>
    <n v="9958"/>
    <m/>
    <n v="2277638"/>
    <n v="7"/>
    <m/>
  </r>
  <r>
    <s v="conec1"/>
    <x v="6"/>
    <n v="6"/>
    <s v="Und"/>
    <x v="2"/>
    <d v="2026-06-26T00:00:00"/>
    <m/>
    <m/>
    <x v="1"/>
    <n v="9958"/>
    <m/>
    <n v="2277689"/>
    <n v="10"/>
    <m/>
  </r>
  <r>
    <s v="conec1"/>
    <x v="6"/>
    <n v="2"/>
    <s v="Und"/>
    <x v="2"/>
    <d v="2026-06-26T00:00:00"/>
    <m/>
    <m/>
    <x v="1"/>
    <n v="9958"/>
    <m/>
    <n v="2277689"/>
    <n v="11"/>
    <m/>
  </r>
  <r>
    <s v="conec1"/>
    <x v="6"/>
    <n v="2"/>
    <s v="Und"/>
    <x v="2"/>
    <d v="2026-06-26T00:00:00"/>
    <m/>
    <m/>
    <x v="1"/>
    <n v="9958"/>
    <m/>
    <n v="2277689"/>
    <n v="13"/>
    <m/>
  </r>
  <r>
    <s v="conec1"/>
    <x v="6"/>
    <n v="3"/>
    <s v="Und"/>
    <x v="2"/>
    <d v="2026-06-26T00:00:00"/>
    <m/>
    <m/>
    <x v="1"/>
    <n v="9958"/>
    <m/>
    <n v="2277689"/>
    <n v="15"/>
    <m/>
  </r>
  <r>
    <s v="conec2"/>
    <x v="7"/>
    <n v="2"/>
    <s v="Und"/>
    <x v="2"/>
    <d v="2026-06-26T00:00:00"/>
    <m/>
    <m/>
    <x v="1"/>
    <n v="9958"/>
    <m/>
    <n v="2277638"/>
    <n v="7"/>
    <m/>
  </r>
  <r>
    <s v="conec2"/>
    <x v="7"/>
    <n v="3"/>
    <s v="Und"/>
    <x v="2"/>
    <d v="2026-06-26T00:00:00"/>
    <m/>
    <m/>
    <x v="1"/>
    <n v="9958"/>
    <m/>
    <n v="2277689"/>
    <n v="9"/>
    <m/>
  </r>
  <r>
    <s v="conec2"/>
    <x v="7"/>
    <n v="3"/>
    <s v="Und"/>
    <x v="2"/>
    <d v="2026-06-26T00:00:00"/>
    <m/>
    <m/>
    <x v="1"/>
    <n v="9958"/>
    <m/>
    <n v="2277689"/>
    <n v="10"/>
    <m/>
  </r>
  <r>
    <s v="conec2"/>
    <x v="7"/>
    <n v="3"/>
    <s v="Und"/>
    <x v="2"/>
    <d v="2026-06-26T00:00:00"/>
    <m/>
    <m/>
    <x v="1"/>
    <n v="9958"/>
    <m/>
    <n v="2277689"/>
    <n v="11"/>
    <m/>
  </r>
  <r>
    <s v="conec3"/>
    <x v="29"/>
    <n v="1"/>
    <s v="Und"/>
    <x v="2"/>
    <d v="2026-06-26T00:00:00"/>
    <m/>
    <m/>
    <x v="1"/>
    <n v="9958"/>
    <m/>
    <n v="2277638"/>
    <n v="1"/>
    <m/>
  </r>
  <r>
    <s v="conec3"/>
    <x v="29"/>
    <n v="1"/>
    <s v="Und"/>
    <x v="2"/>
    <d v="2026-06-26T00:00:00"/>
    <m/>
    <m/>
    <x v="1"/>
    <n v="9958"/>
    <m/>
    <n v="2277689"/>
    <n v="7"/>
    <m/>
  </r>
  <r>
    <s v="cruceta"/>
    <x v="32"/>
    <n v="2"/>
    <s v="Und"/>
    <x v="2"/>
    <d v="2026-06-26T00:00:00"/>
    <m/>
    <m/>
    <x v="1"/>
    <n v="9958"/>
    <m/>
    <n v="2277638"/>
    <n v="2"/>
    <m/>
  </r>
  <r>
    <s v="cruceta"/>
    <x v="32"/>
    <n v="2"/>
    <s v="Und"/>
    <x v="2"/>
    <d v="2026-06-26T00:00:00"/>
    <m/>
    <m/>
    <x v="1"/>
    <n v="9958"/>
    <m/>
    <n v="2277689"/>
    <n v="10"/>
    <m/>
  </r>
  <r>
    <s v="gel1"/>
    <x v="8"/>
    <n v="4"/>
    <s v="Und"/>
    <x v="2"/>
    <d v="2026-06-26T00:00:00"/>
    <m/>
    <m/>
    <x v="1"/>
    <n v="9958"/>
    <m/>
    <n v="2277638"/>
    <n v="1"/>
    <m/>
  </r>
  <r>
    <s v="gel1"/>
    <x v="8"/>
    <n v="2"/>
    <s v="Und"/>
    <x v="2"/>
    <d v="2026-06-26T00:00:00"/>
    <m/>
    <m/>
    <x v="1"/>
    <n v="9958"/>
    <m/>
    <n v="2277689"/>
    <n v="7"/>
    <m/>
  </r>
  <r>
    <s v="lumr-150"/>
    <x v="17"/>
    <n v="1"/>
    <s v="Und"/>
    <x v="1"/>
    <d v="2026-06-26T00:00:00"/>
    <m/>
    <m/>
    <x v="1"/>
    <n v="9958"/>
    <m/>
    <n v="2277638"/>
    <n v="1"/>
    <s v="SI"/>
  </r>
  <r>
    <s v="lumr-150"/>
    <x v="17"/>
    <n v="1"/>
    <s v="Und"/>
    <x v="1"/>
    <d v="2026-06-26T00:00:00"/>
    <m/>
    <m/>
    <x v="1"/>
    <n v="9958"/>
    <m/>
    <n v="2277689"/>
    <n v="7"/>
    <s v="SI"/>
  </r>
  <r>
    <s v="pror-400"/>
    <x v="42"/>
    <n v="1"/>
    <s v="Und"/>
    <x v="1"/>
    <d v="2026-06-26T00:00:00"/>
    <m/>
    <m/>
    <x v="1"/>
    <n v="9958"/>
    <m/>
    <n v="2277638"/>
    <n v="2"/>
    <s v="SI"/>
  </r>
  <r>
    <s v="pror-400"/>
    <x v="42"/>
    <n v="1"/>
    <s v="Und"/>
    <x v="1"/>
    <d v="2026-06-26T00:00:00"/>
    <m/>
    <m/>
    <x v="1"/>
    <n v="9958"/>
    <m/>
    <n v="2277638"/>
    <n v="3"/>
    <s v="SI"/>
  </r>
  <r>
    <s v="pror-400"/>
    <x v="42"/>
    <n v="1"/>
    <s v="Und"/>
    <x v="1"/>
    <d v="2026-06-26T00:00:00"/>
    <m/>
    <m/>
    <x v="1"/>
    <n v="9958"/>
    <m/>
    <n v="2277638"/>
    <n v="4"/>
    <s v="SI"/>
  </r>
  <r>
    <s v="pror-400"/>
    <x v="42"/>
    <n v="1"/>
    <s v="Und"/>
    <x v="1"/>
    <d v="2026-06-26T00:00:00"/>
    <m/>
    <m/>
    <x v="1"/>
    <n v="9958"/>
    <m/>
    <n v="2277638"/>
    <n v="5"/>
    <s v="SI"/>
  </r>
  <r>
    <s v="pror-400"/>
    <x v="42"/>
    <n v="1"/>
    <s v="Und"/>
    <x v="1"/>
    <d v="2026-06-26T00:00:00"/>
    <m/>
    <m/>
    <x v="1"/>
    <n v="9958"/>
    <m/>
    <n v="2277638"/>
    <n v="6"/>
    <s v="SI"/>
  </r>
  <r>
    <s v="pror-400"/>
    <x v="42"/>
    <n v="1"/>
    <s v="Und"/>
    <x v="1"/>
    <d v="2026-06-26T00:00:00"/>
    <m/>
    <m/>
    <x v="1"/>
    <n v="9958"/>
    <m/>
    <n v="2277689"/>
    <n v="8"/>
    <s v="SI"/>
  </r>
  <r>
    <s v="pror-400"/>
    <x v="42"/>
    <n v="1"/>
    <s v="Und"/>
    <x v="1"/>
    <d v="2026-06-26T00:00:00"/>
    <m/>
    <m/>
    <x v="1"/>
    <n v="9958"/>
    <m/>
    <n v="2277689"/>
    <n v="9"/>
    <s v="SI"/>
  </r>
  <r>
    <s v="pror-400"/>
    <x v="42"/>
    <n v="1"/>
    <s v="Und"/>
    <x v="1"/>
    <d v="2026-06-26T00:00:00"/>
    <m/>
    <m/>
    <x v="1"/>
    <n v="9958"/>
    <m/>
    <n v="2277689"/>
    <n v="10"/>
    <s v="SI"/>
  </r>
  <r>
    <s v="pror-400"/>
    <x v="42"/>
    <n v="1"/>
    <s v="Und"/>
    <x v="1"/>
    <d v="2026-06-26T00:00:00"/>
    <m/>
    <m/>
    <x v="1"/>
    <n v="9958"/>
    <m/>
    <n v="2277689"/>
    <n v="11"/>
    <s v="SI"/>
  </r>
  <r>
    <s v="pror-400"/>
    <x v="42"/>
    <n v="1"/>
    <s v="Und"/>
    <x v="1"/>
    <d v="2026-06-26T00:00:00"/>
    <m/>
    <m/>
    <x v="1"/>
    <n v="9958"/>
    <m/>
    <n v="2277689"/>
    <n v="12"/>
    <s v="SI"/>
  </r>
  <r>
    <s v="Foto"/>
    <x v="15"/>
    <n v="1"/>
    <s v="Und"/>
    <x v="1"/>
    <d v="2026-06-26T00:00:00"/>
    <m/>
    <m/>
    <x v="1"/>
    <n v="9958"/>
    <m/>
    <n v="2277638"/>
    <n v="1"/>
    <s v="SI"/>
  </r>
  <r>
    <s v="Foto"/>
    <x v="15"/>
    <n v="1"/>
    <s v="Und"/>
    <x v="1"/>
    <d v="2026-06-26T00:00:00"/>
    <m/>
    <m/>
    <x v="1"/>
    <n v="9958"/>
    <m/>
    <n v="2277689"/>
    <n v="7"/>
    <s v="SI"/>
  </r>
  <r>
    <s v="Foto"/>
    <x v="15"/>
    <n v="1"/>
    <s v="Und"/>
    <x v="1"/>
    <d v="2026-06-26T00:00:00"/>
    <m/>
    <m/>
    <x v="1"/>
    <n v="9958"/>
    <m/>
    <n v="2277638"/>
    <n v="2"/>
    <s v="SI"/>
  </r>
  <r>
    <s v="Foto"/>
    <x v="15"/>
    <n v="1"/>
    <s v="Und"/>
    <x v="1"/>
    <d v="2026-06-26T00:00:00"/>
    <m/>
    <m/>
    <x v="1"/>
    <n v="9958"/>
    <m/>
    <n v="2277638"/>
    <n v="3"/>
    <s v="SI"/>
  </r>
  <r>
    <s v="Foto"/>
    <x v="15"/>
    <n v="1"/>
    <s v="Und"/>
    <x v="1"/>
    <d v="2026-06-26T00:00:00"/>
    <m/>
    <m/>
    <x v="1"/>
    <n v="9958"/>
    <m/>
    <n v="2277638"/>
    <n v="4"/>
    <s v="SI"/>
  </r>
  <r>
    <s v="Foto"/>
    <x v="15"/>
    <n v="1"/>
    <s v="Und"/>
    <x v="1"/>
    <d v="2026-06-26T00:00:00"/>
    <m/>
    <m/>
    <x v="1"/>
    <n v="9958"/>
    <m/>
    <n v="2277638"/>
    <n v="5"/>
    <s v="SI"/>
  </r>
  <r>
    <s v="Foto"/>
    <x v="15"/>
    <n v="1"/>
    <s v="Und"/>
    <x v="1"/>
    <d v="2026-06-26T00:00:00"/>
    <m/>
    <m/>
    <x v="1"/>
    <n v="9958"/>
    <m/>
    <n v="2277638"/>
    <n v="6"/>
    <s v="SI"/>
  </r>
  <r>
    <s v="Foto"/>
    <x v="15"/>
    <n v="1"/>
    <s v="Und"/>
    <x v="1"/>
    <d v="2026-06-26T00:00:00"/>
    <m/>
    <m/>
    <x v="1"/>
    <n v="9958"/>
    <m/>
    <n v="2277689"/>
    <n v="8"/>
    <s v="SI"/>
  </r>
  <r>
    <s v="Foto"/>
    <x v="15"/>
    <n v="1"/>
    <s v="Und"/>
    <x v="1"/>
    <d v="2026-06-26T00:00:00"/>
    <m/>
    <m/>
    <x v="1"/>
    <n v="9958"/>
    <m/>
    <n v="2277689"/>
    <n v="9"/>
    <s v="SI"/>
  </r>
  <r>
    <s v="Foto"/>
    <x v="15"/>
    <n v="1"/>
    <s v="Und"/>
    <x v="1"/>
    <d v="2026-06-26T00:00:00"/>
    <m/>
    <m/>
    <x v="1"/>
    <n v="9958"/>
    <m/>
    <n v="2277689"/>
    <n v="10"/>
    <s v="SI"/>
  </r>
  <r>
    <s v="Foto"/>
    <x v="15"/>
    <n v="1"/>
    <s v="Und"/>
    <x v="1"/>
    <d v="2026-06-26T00:00:00"/>
    <m/>
    <m/>
    <x v="1"/>
    <n v="9958"/>
    <m/>
    <n v="2277689"/>
    <n v="11"/>
    <s v="SI"/>
  </r>
  <r>
    <s v="Foto"/>
    <x v="15"/>
    <n v="1"/>
    <s v="Und"/>
    <x v="1"/>
    <d v="2026-06-26T00:00:00"/>
    <m/>
    <m/>
    <x v="1"/>
    <n v="9958"/>
    <m/>
    <n v="2277689"/>
    <n v="12"/>
    <s v="SI"/>
  </r>
  <r>
    <s v="grillete"/>
    <x v="24"/>
    <n v="2"/>
    <s v="Und"/>
    <x v="1"/>
    <d v="2026-06-26T00:00:00"/>
    <m/>
    <m/>
    <x v="1"/>
    <n v="9958"/>
    <m/>
    <n v="2277638"/>
    <n v="1"/>
    <s v="SI"/>
  </r>
  <r>
    <s v="grillete"/>
    <x v="24"/>
    <n v="2"/>
    <s v="Und"/>
    <x v="1"/>
    <d v="2026-06-26T00:00:00"/>
    <m/>
    <m/>
    <x v="1"/>
    <n v="9958"/>
    <m/>
    <n v="2277689"/>
    <n v="7"/>
    <s v="SI"/>
  </r>
  <r>
    <s v="brazo2"/>
    <x v="18"/>
    <n v="1"/>
    <s v="Und"/>
    <x v="1"/>
    <d v="2026-06-26T00:00:00"/>
    <m/>
    <m/>
    <x v="1"/>
    <n v="9958"/>
    <m/>
    <n v="2277638"/>
    <n v="1"/>
    <s v="SI"/>
  </r>
  <r>
    <s v="brazo2"/>
    <x v="18"/>
    <n v="1"/>
    <s v="Und"/>
    <x v="1"/>
    <d v="2026-06-26T00:00:00"/>
    <m/>
    <m/>
    <x v="1"/>
    <n v="9958"/>
    <m/>
    <n v="2277689"/>
    <n v="7"/>
    <s v="SI"/>
  </r>
  <r>
    <s v="grillete"/>
    <x v="24"/>
    <n v="24"/>
    <s v="Und"/>
    <x v="0"/>
    <d v="2026-07-08T00:00:00"/>
    <m/>
    <m/>
    <x v="1"/>
    <n v="9962"/>
    <s v="mirador comuna 20"/>
    <m/>
    <m/>
    <m/>
  </r>
  <r>
    <s v="poste 10"/>
    <x v="43"/>
    <n v="12"/>
    <s v="Und"/>
    <x v="0"/>
    <d v="2026-07-06T00:00:00"/>
    <m/>
    <m/>
    <x v="1"/>
    <n v="9962"/>
    <s v="mirador comuna 20"/>
    <m/>
    <m/>
    <m/>
  </r>
  <r>
    <s v="ciega1"/>
    <x v="44"/>
    <n v="13"/>
    <s v="Und"/>
    <x v="0"/>
    <d v="2026-06-24T00:00:00"/>
    <m/>
    <m/>
    <x v="1"/>
    <n v="9962"/>
    <s v="mirador comuna 20"/>
    <m/>
    <m/>
    <m/>
  </r>
  <r>
    <s v="banda1"/>
    <x v="22"/>
    <n v="13"/>
    <s v="Und"/>
    <x v="0"/>
    <d v="2026-06-24T00:00:00"/>
    <m/>
    <m/>
    <x v="1"/>
    <n v="9962"/>
    <s v="mirador comuna 20"/>
    <m/>
    <m/>
    <m/>
  </r>
  <r>
    <s v="Aislador1"/>
    <x v="1"/>
    <n v="14"/>
    <s v="Und"/>
    <x v="0"/>
    <d v="2026-06-24T00:00:00"/>
    <m/>
    <m/>
    <x v="1"/>
    <n v="9962"/>
    <s v="mirador comuna 20"/>
    <m/>
    <m/>
    <m/>
  </r>
  <r>
    <s v="tpx"/>
    <x v="23"/>
    <n v="276"/>
    <s v="Mts"/>
    <x v="0"/>
    <d v="2026-06-24T00:00:00"/>
    <m/>
    <m/>
    <x v="1"/>
    <n v="9962"/>
    <s v="mirador comuna 20"/>
    <m/>
    <m/>
    <m/>
  </r>
  <r>
    <s v="3*14"/>
    <x v="3"/>
    <n v="48"/>
    <s v="Mts"/>
    <x v="0"/>
    <d v="2026-06-24T00:00:00"/>
    <m/>
    <m/>
    <x v="1"/>
    <n v="9962"/>
    <s v="mirador comuna 20"/>
    <m/>
    <m/>
    <m/>
  </r>
  <r>
    <s v="super23"/>
    <x v="45"/>
    <n v="1"/>
    <s v="Und"/>
    <x v="0"/>
    <d v="2026-06-24T00:00:00"/>
    <m/>
    <m/>
    <x v="1"/>
    <n v="9962"/>
    <s v="mirador comuna 20"/>
    <m/>
    <m/>
    <m/>
  </r>
  <r>
    <s v="conec1"/>
    <x v="6"/>
    <n v="39"/>
    <s v="Und"/>
    <x v="0"/>
    <d v="2026-06-24T00:00:00"/>
    <m/>
    <m/>
    <x v="1"/>
    <n v="9962"/>
    <s v="mirador comuna 20"/>
    <m/>
    <m/>
    <m/>
  </r>
  <r>
    <s v="grillete"/>
    <x v="24"/>
    <n v="26"/>
    <s v="Und"/>
    <x v="0"/>
    <d v="2026-06-24T00:00:00"/>
    <m/>
    <m/>
    <x v="1"/>
    <n v="9962"/>
    <s v="mirador comuna 20"/>
    <m/>
    <m/>
    <m/>
  </r>
  <r>
    <s v="kit"/>
    <x v="10"/>
    <n v="4"/>
    <s v="Und"/>
    <x v="0"/>
    <d v="2026-06-24T00:00:00"/>
    <m/>
    <m/>
    <x v="1"/>
    <n v="9962"/>
    <s v="mirador comuna 20"/>
    <m/>
    <m/>
    <m/>
  </r>
  <r>
    <s v="percha1"/>
    <x v="11"/>
    <n v="14"/>
    <s v="Und"/>
    <x v="0"/>
    <d v="2026-06-24T00:00:00"/>
    <m/>
    <m/>
    <x v="1"/>
    <n v="9962"/>
    <s v="mirador comuna 20"/>
    <m/>
    <m/>
    <m/>
  </r>
  <r>
    <s v="Perno1 "/>
    <x v="25"/>
    <n v="14"/>
    <s v="Und"/>
    <x v="0"/>
    <d v="2026-06-24T00:00:00"/>
    <m/>
    <m/>
    <x v="1"/>
    <n v="9962"/>
    <s v="mirador comuna 20"/>
    <m/>
    <m/>
    <m/>
  </r>
  <r>
    <s v="tuerca"/>
    <x v="27"/>
    <n v="14"/>
    <s v="Und"/>
    <x v="0"/>
    <d v="2026-06-24T00:00:00"/>
    <m/>
    <m/>
    <x v="1"/>
    <n v="9962"/>
    <s v="mirador comuna 20"/>
    <m/>
    <m/>
    <m/>
  </r>
  <r>
    <s v="banda1"/>
    <x v="22"/>
    <n v="12"/>
    <s v="Und"/>
    <x v="0"/>
    <d v="2026-06-24T00:00:00"/>
    <m/>
    <m/>
    <x v="1"/>
    <n v="9963"/>
    <s v="parque y cancha cl 18 oe kra 44"/>
    <m/>
    <m/>
    <m/>
  </r>
  <r>
    <s v="Aislador1"/>
    <x v="1"/>
    <n v="5"/>
    <s v="Und"/>
    <x v="0"/>
    <d v="2026-06-24T00:00:00"/>
    <m/>
    <m/>
    <x v="1"/>
    <n v="9963"/>
    <s v="parque y cancha cl 18 oe kra 44"/>
    <m/>
    <m/>
    <m/>
  </r>
  <r>
    <s v="tpx"/>
    <x v="23"/>
    <n v="100"/>
    <s v="Mts"/>
    <x v="0"/>
    <d v="2026-06-24T00:00:00"/>
    <m/>
    <m/>
    <x v="1"/>
    <n v="9963"/>
    <s v="parque y cancha cl 18 oe kra 44"/>
    <m/>
    <m/>
    <m/>
  </r>
  <r>
    <s v="conec1"/>
    <x v="6"/>
    <n v="12"/>
    <s v="Und"/>
    <x v="0"/>
    <d v="2026-06-24T00:00:00"/>
    <m/>
    <m/>
    <x v="1"/>
    <n v="9963"/>
    <s v="parque y cancha cl 18 oe kra 44"/>
    <m/>
    <m/>
    <m/>
  </r>
  <r>
    <s v="conec2"/>
    <x v="7"/>
    <n v="12"/>
    <s v="Und"/>
    <x v="0"/>
    <d v="2026-06-24T00:00:00"/>
    <m/>
    <m/>
    <x v="1"/>
    <n v="9963"/>
    <s v="parque y cancha cl 18 oe kra 44"/>
    <m/>
    <m/>
    <m/>
  </r>
  <r>
    <s v="grillete"/>
    <x v="24"/>
    <n v="8"/>
    <s v="Und"/>
    <x v="0"/>
    <d v="2026-06-24T00:00:00"/>
    <m/>
    <m/>
    <x v="1"/>
    <n v="9963"/>
    <s v="parque y cancha cl 18 oe kra 44"/>
    <m/>
    <m/>
    <m/>
  </r>
  <r>
    <s v="kit"/>
    <x v="10"/>
    <n v="4"/>
    <s v="Und"/>
    <x v="0"/>
    <d v="2026-06-24T00:00:00"/>
    <m/>
    <m/>
    <x v="1"/>
    <n v="9963"/>
    <s v="parque y cancha cl 18 oe kra 44"/>
    <m/>
    <m/>
    <m/>
  </r>
  <r>
    <s v="percha1"/>
    <x v="11"/>
    <n v="5"/>
    <s v="Und"/>
    <x v="0"/>
    <d v="2026-06-24T00:00:00"/>
    <m/>
    <m/>
    <x v="1"/>
    <n v="9963"/>
    <s v="parque y cancha cl 18 oe kra 44"/>
    <m/>
    <m/>
    <m/>
  </r>
  <r>
    <s v="Perno1 "/>
    <x v="25"/>
    <n v="5"/>
    <s v="Und"/>
    <x v="0"/>
    <d v="2026-06-24T00:00:00"/>
    <m/>
    <m/>
    <x v="1"/>
    <n v="9963"/>
    <s v="parque y cancha cl 18 oe kra 44"/>
    <m/>
    <m/>
    <m/>
  </r>
  <r>
    <s v="Maquina"/>
    <x v="26"/>
    <n v="4"/>
    <s v="Und"/>
    <x v="0"/>
    <d v="2026-06-24T00:00:00"/>
    <m/>
    <m/>
    <x v="1"/>
    <n v="9963"/>
    <s v="parque y cancha cl 18 oe kra 44"/>
    <m/>
    <m/>
    <m/>
  </r>
  <r>
    <s v="tuerca"/>
    <x v="27"/>
    <n v="5"/>
    <s v="Und"/>
    <x v="0"/>
    <d v="2026-06-24T00:00:00"/>
    <m/>
    <m/>
    <x v="1"/>
    <n v="9963"/>
    <s v="parque y cancha cl 18 oe kra 44"/>
    <m/>
    <m/>
    <m/>
  </r>
  <r>
    <s v="brazo1"/>
    <x v="21"/>
    <n v="16"/>
    <s v="Und"/>
    <x v="0"/>
    <d v="2026-06-25T00:00:00"/>
    <m/>
    <m/>
    <x v="1"/>
    <n v="9960"/>
    <s v="cr42b-cl11/13"/>
    <m/>
    <m/>
    <m/>
  </r>
  <r>
    <s v="brazo1"/>
    <x v="21"/>
    <n v="3"/>
    <s v="Und"/>
    <x v="2"/>
    <d v="2026-06-26T00:00:00"/>
    <m/>
    <m/>
    <x v="1"/>
    <n v="9958"/>
    <s v="cra 42b cll 11OE-13"/>
    <m/>
    <m/>
    <m/>
  </r>
  <r>
    <s v="ciega1"/>
    <x v="44"/>
    <n v="16"/>
    <s v="Und"/>
    <x v="0"/>
    <d v="2026-06-24T00:00:00"/>
    <m/>
    <m/>
    <x v="1"/>
    <n v="9958"/>
    <s v="cra 42b cll 11OE-13"/>
    <m/>
    <m/>
    <m/>
  </r>
  <r>
    <s v="CIEGA2"/>
    <x v="46"/>
    <n v="12"/>
    <s v="Und"/>
    <x v="0"/>
    <d v="2026-06-24T00:00:00"/>
    <m/>
    <m/>
    <x v="1"/>
    <n v="9958"/>
    <s v="cra 42b cll 11OE-13"/>
    <m/>
    <m/>
    <m/>
  </r>
  <r>
    <s v="corona"/>
    <x v="47"/>
    <n v="6"/>
    <s v="Und"/>
    <x v="0"/>
    <d v="2026-06-24T00:00:00"/>
    <m/>
    <m/>
    <x v="1"/>
    <n v="9958"/>
    <s v="cra 42b cll 11OE-13"/>
    <m/>
    <m/>
    <m/>
  </r>
  <r>
    <s v="banda1"/>
    <x v="22"/>
    <n v="16"/>
    <s v="Und"/>
    <x v="0"/>
    <d v="2026-06-24T00:00:00"/>
    <m/>
    <m/>
    <x v="1"/>
    <n v="9958"/>
    <s v="cra 42b cll 11OE-13"/>
    <m/>
    <m/>
    <m/>
  </r>
  <r>
    <s v="tpx"/>
    <x v="23"/>
    <n v="75"/>
    <s v="Mts"/>
    <x v="0"/>
    <d v="2026-06-24T00:00:00"/>
    <m/>
    <m/>
    <x v="1"/>
    <n v="9958"/>
    <s v="cra 42b cll 11OE-13"/>
    <m/>
    <m/>
    <m/>
  </r>
  <r>
    <s v="3*14"/>
    <x v="3"/>
    <n v="200"/>
    <s v="Mts"/>
    <x v="0"/>
    <d v="2026-06-24T00:00:00"/>
    <m/>
    <m/>
    <x v="1"/>
    <n v="9958"/>
    <s v="cra 42b cll 11OE-13"/>
    <m/>
    <m/>
    <m/>
  </r>
  <r>
    <s v="super33"/>
    <x v="48"/>
    <n v="3"/>
    <s v="Und"/>
    <x v="0"/>
    <d v="2026-06-24T00:00:00"/>
    <m/>
    <m/>
    <x v="1"/>
    <n v="9958"/>
    <s v="cra 42b cll 11OE-13"/>
    <m/>
    <m/>
    <m/>
  </r>
  <r>
    <s v="conec1"/>
    <x v="6"/>
    <n v="18"/>
    <s v="Und"/>
    <x v="0"/>
    <d v="2026-06-24T00:00:00"/>
    <m/>
    <m/>
    <x v="1"/>
    <n v="9958"/>
    <s v="cra 42b cll 11OE-13"/>
    <m/>
    <m/>
    <m/>
  </r>
  <r>
    <s v="conec2"/>
    <x v="7"/>
    <n v="72"/>
    <s v="Und"/>
    <x v="0"/>
    <d v="2026-06-24T00:00:00"/>
    <m/>
    <m/>
    <x v="1"/>
    <n v="9958"/>
    <s v="cra 42b cll 11OE-13"/>
    <m/>
    <m/>
    <m/>
  </r>
  <r>
    <s v="grillete"/>
    <x v="24"/>
    <n v="44"/>
    <s v="Und"/>
    <x v="0"/>
    <d v="2026-06-24T00:00:00"/>
    <m/>
    <m/>
    <x v="1"/>
    <n v="9958"/>
    <s v="cra 42b cll 11OE-13"/>
    <m/>
    <m/>
    <m/>
  </r>
  <r>
    <s v="kit"/>
    <x v="10"/>
    <n v="2"/>
    <s v="Und"/>
    <x v="0"/>
    <d v="2026-06-24T00:00:00"/>
    <m/>
    <m/>
    <x v="1"/>
    <n v="9958"/>
    <s v="cra 42b cll 11OE-13"/>
    <m/>
    <m/>
    <m/>
  </r>
  <r>
    <s v="percha1"/>
    <x v="11"/>
    <n v="5"/>
    <s v="Und"/>
    <x v="0"/>
    <d v="2026-06-24T00:00:00"/>
    <m/>
    <m/>
    <x v="1"/>
    <n v="9958"/>
    <s v="cra 42b cll 11OE-13"/>
    <m/>
    <m/>
    <m/>
  </r>
  <r>
    <s v="Perno1 "/>
    <x v="25"/>
    <n v="5"/>
    <s v="Und"/>
    <x v="0"/>
    <d v="2026-06-24T00:00:00"/>
    <m/>
    <m/>
    <x v="1"/>
    <n v="9958"/>
    <s v="cra 42b cll 11OE-13"/>
    <m/>
    <m/>
    <m/>
  </r>
  <r>
    <s v="tapa2"/>
    <x v="14"/>
    <n v="12"/>
    <s v="Und"/>
    <x v="0"/>
    <d v="2026-06-24T00:00:00"/>
    <m/>
    <m/>
    <x v="1"/>
    <n v="9958"/>
    <s v="cra 42b cll 11OE-13"/>
    <m/>
    <m/>
    <m/>
  </r>
  <r>
    <s v="Maquina"/>
    <x v="26"/>
    <n v="90"/>
    <s v="Und"/>
    <x v="0"/>
    <d v="2026-06-24T00:00:00"/>
    <m/>
    <m/>
    <x v="1"/>
    <n v="9958"/>
    <s v="cra 42b cll 11OE-13"/>
    <m/>
    <m/>
    <m/>
  </r>
  <r>
    <s v="tuerca"/>
    <x v="27"/>
    <n v="95"/>
    <s v="Und"/>
    <x v="0"/>
    <d v="2026-06-24T00:00:00"/>
    <m/>
    <m/>
    <x v="1"/>
    <n v="9958"/>
    <s v="cra 42b cll 11OE-13"/>
    <m/>
    <m/>
    <m/>
  </r>
  <r>
    <s v="cooper"/>
    <x v="28"/>
    <n v="10"/>
    <s v="Und"/>
    <x v="0"/>
    <d v="2026-06-24T00:00:00"/>
    <m/>
    <m/>
    <x v="1"/>
    <n v="9958"/>
    <s v="cra 42b cll 11OE-13"/>
    <m/>
    <m/>
    <m/>
  </r>
  <r>
    <s v="conec3"/>
    <x v="29"/>
    <n v="10"/>
    <s v="Und"/>
    <x v="0"/>
    <d v="2026-06-25T00:00:00"/>
    <m/>
    <m/>
    <x v="1"/>
    <n v="9958"/>
    <s v="cra 42b cll 11OE-13"/>
    <m/>
    <m/>
    <m/>
  </r>
  <r>
    <s v="marco"/>
    <x v="30"/>
    <n v="12"/>
    <s v="Und"/>
    <x v="0"/>
    <d v="2026-06-25T00:00:00"/>
    <m/>
    <m/>
    <x v="1"/>
    <n v="9958"/>
    <s v="cra 42b cll 11OE-13"/>
    <m/>
    <m/>
    <m/>
  </r>
  <r>
    <s v="lum-110"/>
    <x v="20"/>
    <n v="1"/>
    <s v="Und"/>
    <x v="2"/>
    <d v="2026-07-08T00:00:00"/>
    <s v="CURRENT"/>
    <s v="6G00136"/>
    <x v="1"/>
    <n v="9962"/>
    <s v="Mirador 360"/>
    <n v="3018792"/>
    <n v="1"/>
    <m/>
  </r>
  <r>
    <s v="lum-110"/>
    <x v="20"/>
    <n v="1"/>
    <s v="Und"/>
    <x v="2"/>
    <d v="2026-07-08T00:00:00"/>
    <s v="CURRENT"/>
    <s v="6G00129"/>
    <x v="1"/>
    <n v="9962"/>
    <s v="Mirador 360"/>
    <n v="3018784"/>
    <n v="2"/>
    <m/>
  </r>
  <r>
    <s v="lum-110"/>
    <x v="20"/>
    <n v="1"/>
    <s v="Und"/>
    <x v="2"/>
    <d v="2026-07-08T00:00:00"/>
    <s v="CURRENT"/>
    <s v="6G00000"/>
    <x v="1"/>
    <n v="9962"/>
    <s v="Mirador 360"/>
    <n v="3018776"/>
    <n v="3"/>
    <m/>
  </r>
  <r>
    <s v="lum-110"/>
    <x v="20"/>
    <n v="1"/>
    <s v="Und"/>
    <x v="2"/>
    <d v="2026-07-08T00:00:00"/>
    <s v="CURRENT"/>
    <s v="6G00193"/>
    <x v="1"/>
    <n v="9962"/>
    <s v="Mirador 360"/>
    <n v="3018750"/>
    <n v="4"/>
    <m/>
  </r>
  <r>
    <s v="lum-110"/>
    <x v="20"/>
    <n v="1"/>
    <s v="Und"/>
    <x v="2"/>
    <d v="2026-07-08T00:00:00"/>
    <s v="CURRENT"/>
    <s v="6G00140"/>
    <x v="1"/>
    <n v="9962"/>
    <s v="Mirador 360"/>
    <n v="3018741"/>
    <n v="5"/>
    <m/>
  </r>
  <r>
    <s v="lum-110"/>
    <x v="20"/>
    <n v="1"/>
    <s v="Und"/>
    <x v="2"/>
    <d v="2026-07-08T00:00:00"/>
    <s v="CURRENT"/>
    <s v="6G00190"/>
    <x v="1"/>
    <n v="9962"/>
    <s v="Mirador 360"/>
    <n v="3018733"/>
    <n v="6"/>
    <m/>
  </r>
  <r>
    <s v="lum-110"/>
    <x v="20"/>
    <n v="1"/>
    <s v="Und"/>
    <x v="2"/>
    <d v="2026-07-08T00:00:00"/>
    <s v="CURRENT"/>
    <s v="6G00128"/>
    <x v="1"/>
    <n v="9962"/>
    <s v="Mirador 360"/>
    <n v="3018679"/>
    <n v="7"/>
    <m/>
  </r>
  <r>
    <s v="lum-110"/>
    <x v="20"/>
    <n v="1"/>
    <s v="Und"/>
    <x v="2"/>
    <d v="2026-07-08T00:00:00"/>
    <s v="CURRENT"/>
    <s v="6G00163"/>
    <x v="1"/>
    <n v="9962"/>
    <s v="Mirador 360"/>
    <n v="3018687"/>
    <n v="8"/>
    <m/>
  </r>
  <r>
    <s v="lum-110"/>
    <x v="20"/>
    <n v="1"/>
    <s v="Und"/>
    <x v="2"/>
    <d v="2026-07-08T00:00:00"/>
    <s v="CURRENT"/>
    <s v="6G00124"/>
    <x v="1"/>
    <n v="9962"/>
    <s v="Mirador 360"/>
    <n v="3018695"/>
    <n v="9"/>
    <m/>
  </r>
  <r>
    <s v="lum-110"/>
    <x v="20"/>
    <n v="1"/>
    <s v="Und"/>
    <x v="2"/>
    <d v="2026-07-08T00:00:00"/>
    <s v="CURRENT"/>
    <s v="6G00010"/>
    <x v="1"/>
    <n v="9962"/>
    <s v="Mirador 360"/>
    <n v="3018709"/>
    <n v="10"/>
    <m/>
  </r>
  <r>
    <s v="lum-110"/>
    <x v="20"/>
    <n v="1"/>
    <s v="Und"/>
    <x v="2"/>
    <d v="2026-07-08T00:00:00"/>
    <s v="CURRENT"/>
    <s v="6G00125"/>
    <x v="1"/>
    <n v="9962"/>
    <s v="Mirador 360"/>
    <n v="3018717"/>
    <n v="11"/>
    <m/>
  </r>
  <r>
    <s v="lum-110"/>
    <x v="20"/>
    <n v="1"/>
    <s v="Und"/>
    <x v="2"/>
    <d v="2026-07-08T00:00:00"/>
    <s v="CURRENT"/>
    <s v="6G00127"/>
    <x v="1"/>
    <n v="9962"/>
    <s v="Mirador 360"/>
    <n v="3018725"/>
    <n v="12"/>
    <m/>
  </r>
  <r>
    <s v="brazo1"/>
    <x v="21"/>
    <n v="1"/>
    <s v="Und"/>
    <x v="2"/>
    <d v="2026-07-08T00:00:00"/>
    <m/>
    <m/>
    <x v="1"/>
    <n v="9962"/>
    <s v="Mirador 360"/>
    <n v="3018792"/>
    <n v="1"/>
    <m/>
  </r>
  <r>
    <s v="brazo1"/>
    <x v="21"/>
    <n v="1"/>
    <s v="Und"/>
    <x v="2"/>
    <d v="2026-07-08T00:00:00"/>
    <m/>
    <m/>
    <x v="1"/>
    <n v="9962"/>
    <s v="Mirador 360"/>
    <n v="3018784"/>
    <n v="2"/>
    <m/>
  </r>
  <r>
    <s v="brazo1"/>
    <x v="21"/>
    <n v="1"/>
    <s v="Und"/>
    <x v="2"/>
    <d v="2026-07-08T00:00:00"/>
    <m/>
    <m/>
    <x v="1"/>
    <n v="9962"/>
    <s v="Mirador 360"/>
    <n v="3018776"/>
    <n v="3"/>
    <m/>
  </r>
  <r>
    <s v="brazo1"/>
    <x v="21"/>
    <n v="1"/>
    <s v="Und"/>
    <x v="2"/>
    <d v="2026-07-08T00:00:00"/>
    <m/>
    <m/>
    <x v="1"/>
    <n v="9962"/>
    <s v="Mirador 360"/>
    <n v="3018750"/>
    <n v="4"/>
    <m/>
  </r>
  <r>
    <s v="brazo1"/>
    <x v="21"/>
    <n v="1"/>
    <s v="Und"/>
    <x v="2"/>
    <d v="2026-07-08T00:00:00"/>
    <m/>
    <m/>
    <x v="1"/>
    <n v="9962"/>
    <s v="Mirador 360"/>
    <n v="3018741"/>
    <n v="5"/>
    <m/>
  </r>
  <r>
    <s v="brazo1"/>
    <x v="21"/>
    <n v="1"/>
    <s v="Und"/>
    <x v="2"/>
    <d v="2026-07-08T00:00:00"/>
    <m/>
    <m/>
    <x v="1"/>
    <n v="9962"/>
    <s v="Mirador 360"/>
    <n v="3018733"/>
    <n v="6"/>
    <m/>
  </r>
  <r>
    <s v="brazo1"/>
    <x v="21"/>
    <n v="1"/>
    <s v="Und"/>
    <x v="2"/>
    <d v="2026-07-08T00:00:00"/>
    <m/>
    <m/>
    <x v="1"/>
    <n v="9962"/>
    <s v="Mirador 360"/>
    <n v="3018679"/>
    <n v="7"/>
    <m/>
  </r>
  <r>
    <s v="brazo1"/>
    <x v="21"/>
    <n v="1"/>
    <s v="Und"/>
    <x v="2"/>
    <d v="2026-07-08T00:00:00"/>
    <m/>
    <m/>
    <x v="1"/>
    <n v="9962"/>
    <s v="Mirador 360"/>
    <n v="3018687"/>
    <n v="8"/>
    <m/>
  </r>
  <r>
    <s v="brazo1"/>
    <x v="21"/>
    <n v="1"/>
    <s v="Und"/>
    <x v="2"/>
    <d v="2026-07-08T00:00:00"/>
    <m/>
    <m/>
    <x v="1"/>
    <n v="9962"/>
    <s v="Mirador 360"/>
    <n v="3018695"/>
    <n v="9"/>
    <m/>
  </r>
  <r>
    <s v="brazo1"/>
    <x v="21"/>
    <n v="1"/>
    <s v="Und"/>
    <x v="2"/>
    <d v="2026-07-08T00:00:00"/>
    <m/>
    <m/>
    <x v="1"/>
    <n v="9962"/>
    <s v="Mirador 360"/>
    <n v="3018709"/>
    <n v="10"/>
    <m/>
  </r>
  <r>
    <s v="brazo1"/>
    <x v="21"/>
    <n v="1"/>
    <s v="Und"/>
    <x v="2"/>
    <d v="2026-07-08T00:00:00"/>
    <m/>
    <m/>
    <x v="1"/>
    <n v="9962"/>
    <s v="Mirador 360"/>
    <n v="3018717"/>
    <n v="11"/>
    <m/>
  </r>
  <r>
    <s v="brazo1"/>
    <x v="21"/>
    <n v="1"/>
    <s v="Und"/>
    <x v="2"/>
    <d v="2026-07-08T00:00:00"/>
    <m/>
    <m/>
    <x v="1"/>
    <n v="9962"/>
    <s v="Mirador 360"/>
    <n v="3018725"/>
    <n v="12"/>
    <m/>
  </r>
  <r>
    <s v="grillete"/>
    <x v="24"/>
    <n v="2"/>
    <s v="Und"/>
    <x v="2"/>
    <d v="2026-07-08T00:00:00"/>
    <m/>
    <m/>
    <x v="1"/>
    <n v="9962"/>
    <s v="Mirador 360"/>
    <n v="3018792"/>
    <n v="1"/>
    <m/>
  </r>
  <r>
    <s v="grillete"/>
    <x v="24"/>
    <n v="2"/>
    <s v="Und"/>
    <x v="2"/>
    <d v="2026-07-08T00:00:00"/>
    <m/>
    <m/>
    <x v="1"/>
    <n v="9962"/>
    <s v="Mirador 360"/>
    <n v="3018784"/>
    <n v="2"/>
    <m/>
  </r>
  <r>
    <s v="grillete"/>
    <x v="24"/>
    <n v="2"/>
    <s v="Und"/>
    <x v="2"/>
    <d v="2026-07-08T00:00:00"/>
    <m/>
    <m/>
    <x v="1"/>
    <n v="9962"/>
    <s v="Mirador 360"/>
    <n v="3018776"/>
    <n v="3"/>
    <m/>
  </r>
  <r>
    <s v="grillete"/>
    <x v="24"/>
    <n v="2"/>
    <s v="Und"/>
    <x v="2"/>
    <d v="2026-07-08T00:00:00"/>
    <m/>
    <m/>
    <x v="1"/>
    <n v="9962"/>
    <s v="Mirador 360"/>
    <n v="3018750"/>
    <n v="4"/>
    <m/>
  </r>
  <r>
    <s v="grillete"/>
    <x v="24"/>
    <n v="2"/>
    <s v="Und"/>
    <x v="2"/>
    <d v="2026-07-08T00:00:00"/>
    <m/>
    <m/>
    <x v="1"/>
    <n v="9962"/>
    <s v="Mirador 360"/>
    <n v="3018741"/>
    <n v="5"/>
    <m/>
  </r>
  <r>
    <s v="grillete"/>
    <x v="24"/>
    <n v="2"/>
    <s v="Und"/>
    <x v="2"/>
    <d v="2026-07-08T00:00:00"/>
    <m/>
    <m/>
    <x v="1"/>
    <n v="9962"/>
    <s v="Mirador 360"/>
    <n v="3018733"/>
    <n v="6"/>
    <m/>
  </r>
  <r>
    <s v="grillete"/>
    <x v="24"/>
    <n v="2"/>
    <s v="Und"/>
    <x v="2"/>
    <d v="2026-07-08T00:00:00"/>
    <m/>
    <m/>
    <x v="1"/>
    <n v="9962"/>
    <s v="Mirador 360"/>
    <n v="3018679"/>
    <n v="7"/>
    <m/>
  </r>
  <r>
    <s v="grillete"/>
    <x v="24"/>
    <n v="2"/>
    <s v="Und"/>
    <x v="2"/>
    <d v="2026-07-08T00:00:00"/>
    <m/>
    <m/>
    <x v="1"/>
    <n v="9962"/>
    <s v="Mirador 360"/>
    <n v="3018687"/>
    <n v="8"/>
    <m/>
  </r>
  <r>
    <s v="grillete"/>
    <x v="24"/>
    <n v="2"/>
    <s v="Und"/>
    <x v="2"/>
    <d v="2026-07-08T00:00:00"/>
    <m/>
    <m/>
    <x v="1"/>
    <n v="9962"/>
    <s v="Mirador 360"/>
    <n v="3018695"/>
    <n v="9"/>
    <m/>
  </r>
  <r>
    <s v="grillete"/>
    <x v="24"/>
    <n v="2"/>
    <s v="Und"/>
    <x v="2"/>
    <d v="2026-07-08T00:00:00"/>
    <m/>
    <m/>
    <x v="1"/>
    <n v="9962"/>
    <s v="Mirador 360"/>
    <n v="3018709"/>
    <n v="10"/>
    <m/>
  </r>
  <r>
    <s v="grillete"/>
    <x v="24"/>
    <n v="2"/>
    <s v="Und"/>
    <x v="2"/>
    <d v="2026-07-08T00:00:00"/>
    <m/>
    <m/>
    <x v="1"/>
    <n v="9962"/>
    <s v="Mirador 360"/>
    <n v="3018717"/>
    <n v="11"/>
    <m/>
  </r>
  <r>
    <s v="grillete"/>
    <x v="24"/>
    <n v="2"/>
    <s v="Und"/>
    <x v="2"/>
    <d v="2026-07-08T00:00:00"/>
    <m/>
    <m/>
    <x v="1"/>
    <n v="9962"/>
    <s v="Mirador 360"/>
    <n v="3018725"/>
    <n v="12"/>
    <m/>
  </r>
  <r>
    <s v="conec1"/>
    <x v="6"/>
    <n v="6"/>
    <s v="Und"/>
    <x v="2"/>
    <d v="2026-07-08T00:00:00"/>
    <m/>
    <m/>
    <x v="1"/>
    <n v="9962"/>
    <s v="Mirador 360"/>
    <n v="3018792"/>
    <n v="1"/>
    <m/>
  </r>
  <r>
    <s v="conec1"/>
    <x v="6"/>
    <n v="3"/>
    <s v="Und"/>
    <x v="2"/>
    <d v="2026-07-08T00:00:00"/>
    <m/>
    <m/>
    <x v="1"/>
    <n v="9962"/>
    <s v="Mirador 360"/>
    <n v="3018784"/>
    <n v="2"/>
    <m/>
  </r>
  <r>
    <s v="conec1"/>
    <x v="6"/>
    <n v="6"/>
    <s v="Und"/>
    <x v="2"/>
    <d v="2026-07-08T00:00:00"/>
    <m/>
    <m/>
    <x v="1"/>
    <n v="9962"/>
    <s v="Mirador 360"/>
    <n v="3018776"/>
    <n v="3"/>
    <m/>
  </r>
  <r>
    <s v="conec1"/>
    <x v="6"/>
    <n v="3"/>
    <s v="Und"/>
    <x v="2"/>
    <d v="2026-07-08T00:00:00"/>
    <m/>
    <m/>
    <x v="1"/>
    <n v="9962"/>
    <s v="Mirador 360"/>
    <n v="3018750"/>
    <n v="4"/>
    <m/>
  </r>
  <r>
    <s v="conec1"/>
    <x v="6"/>
    <n v="4"/>
    <s v="Und"/>
    <x v="2"/>
    <d v="2026-07-08T00:00:00"/>
    <m/>
    <m/>
    <x v="1"/>
    <n v="9962"/>
    <s v="Mirador 360"/>
    <n v="3018741"/>
    <n v="5"/>
    <m/>
  </r>
  <r>
    <s v="conec1"/>
    <x v="6"/>
    <n v="7"/>
    <s v="Und"/>
    <x v="2"/>
    <d v="2026-07-08T00:00:00"/>
    <m/>
    <m/>
    <x v="1"/>
    <n v="9962"/>
    <s v="Mirador 360"/>
    <n v="3018733"/>
    <n v="6"/>
    <m/>
  </r>
  <r>
    <s v="conec1"/>
    <x v="6"/>
    <n v="3"/>
    <s v="Und"/>
    <x v="2"/>
    <d v="2026-07-08T00:00:00"/>
    <m/>
    <m/>
    <x v="1"/>
    <n v="9962"/>
    <s v="Mirador 360"/>
    <n v="3018679"/>
    <n v="7"/>
    <m/>
  </r>
  <r>
    <s v="conec1"/>
    <x v="6"/>
    <n v="5"/>
    <s v="Und"/>
    <x v="2"/>
    <d v="2026-07-08T00:00:00"/>
    <m/>
    <m/>
    <x v="1"/>
    <n v="9962"/>
    <s v="Mirador 360"/>
    <n v="3018687"/>
    <n v="8"/>
    <m/>
  </r>
  <r>
    <s v="conec1"/>
    <x v="6"/>
    <n v="3"/>
    <s v="Und"/>
    <x v="2"/>
    <d v="2026-07-08T00:00:00"/>
    <m/>
    <m/>
    <x v="1"/>
    <n v="9962"/>
    <s v="Mirador 360"/>
    <n v="3018695"/>
    <n v="9"/>
    <m/>
  </r>
  <r>
    <s v="conec1"/>
    <x v="6"/>
    <n v="3"/>
    <s v="Und"/>
    <x v="2"/>
    <d v="2026-07-08T00:00:00"/>
    <m/>
    <m/>
    <x v="1"/>
    <n v="9962"/>
    <s v="Mirador 360"/>
    <n v="3018709"/>
    <n v="10"/>
    <m/>
  </r>
  <r>
    <s v="conec1"/>
    <x v="6"/>
    <n v="3"/>
    <s v="Und"/>
    <x v="2"/>
    <d v="2026-07-08T00:00:00"/>
    <m/>
    <m/>
    <x v="1"/>
    <n v="9962"/>
    <s v="Mirador 360"/>
    <n v="3018717"/>
    <n v="11"/>
    <m/>
  </r>
  <r>
    <s v="conec1"/>
    <x v="6"/>
    <n v="4"/>
    <s v="Und"/>
    <x v="2"/>
    <d v="2026-07-08T00:00:00"/>
    <m/>
    <m/>
    <x v="1"/>
    <n v="9962"/>
    <s v="Mirador 360"/>
    <n v="3018725"/>
    <n v="12"/>
    <m/>
  </r>
  <r>
    <s v="Foto"/>
    <x v="15"/>
    <n v="1"/>
    <s v="Und"/>
    <x v="2"/>
    <d v="2026-07-08T00:00:00"/>
    <m/>
    <m/>
    <x v="1"/>
    <n v="9962"/>
    <s v="Mirador 360"/>
    <n v="3018792"/>
    <n v="1"/>
    <m/>
  </r>
  <r>
    <s v="Foto"/>
    <x v="15"/>
    <n v="1"/>
    <s v="Und"/>
    <x v="2"/>
    <d v="2026-07-08T00:00:00"/>
    <m/>
    <m/>
    <x v="1"/>
    <n v="9962"/>
    <s v="Mirador 360"/>
    <n v="3018784"/>
    <n v="2"/>
    <m/>
  </r>
  <r>
    <s v="Foto"/>
    <x v="15"/>
    <n v="1"/>
    <s v="Und"/>
    <x v="2"/>
    <d v="2026-07-08T00:00:00"/>
    <m/>
    <m/>
    <x v="1"/>
    <n v="9962"/>
    <s v="Mirador 360"/>
    <n v="3018776"/>
    <n v="3"/>
    <m/>
  </r>
  <r>
    <s v="Foto"/>
    <x v="15"/>
    <n v="1"/>
    <s v="Und"/>
    <x v="2"/>
    <d v="2026-07-08T00:00:00"/>
    <m/>
    <m/>
    <x v="1"/>
    <n v="9962"/>
    <s v="Mirador 360"/>
    <n v="3018750"/>
    <n v="4"/>
    <m/>
  </r>
  <r>
    <s v="Foto"/>
    <x v="15"/>
    <n v="1"/>
    <s v="Und"/>
    <x v="2"/>
    <d v="2026-07-08T00:00:00"/>
    <m/>
    <m/>
    <x v="1"/>
    <n v="9962"/>
    <s v="Mirador 360"/>
    <n v="3018741"/>
    <n v="5"/>
    <m/>
  </r>
  <r>
    <s v="Foto"/>
    <x v="15"/>
    <n v="1"/>
    <s v="Und"/>
    <x v="2"/>
    <d v="2026-07-08T00:00:00"/>
    <m/>
    <m/>
    <x v="1"/>
    <n v="9962"/>
    <s v="Mirador 360"/>
    <n v="3018733"/>
    <n v="6"/>
    <m/>
  </r>
  <r>
    <s v="Foto"/>
    <x v="15"/>
    <n v="1"/>
    <s v="Und"/>
    <x v="2"/>
    <d v="2026-07-08T00:00:00"/>
    <m/>
    <m/>
    <x v="1"/>
    <n v="9962"/>
    <s v="Mirador 360"/>
    <n v="3018679"/>
    <n v="7"/>
    <m/>
  </r>
  <r>
    <s v="Foto"/>
    <x v="15"/>
    <n v="1"/>
    <s v="Und"/>
    <x v="2"/>
    <d v="2026-07-08T00:00:00"/>
    <m/>
    <m/>
    <x v="1"/>
    <n v="9962"/>
    <s v="Mirador 360"/>
    <n v="3018687"/>
    <n v="8"/>
    <m/>
  </r>
  <r>
    <s v="Foto"/>
    <x v="15"/>
    <n v="1"/>
    <s v="Und"/>
    <x v="2"/>
    <d v="2026-07-08T00:00:00"/>
    <m/>
    <m/>
    <x v="1"/>
    <n v="9962"/>
    <s v="Mirador 360"/>
    <n v="3018695"/>
    <n v="9"/>
    <m/>
  </r>
  <r>
    <s v="Foto"/>
    <x v="15"/>
    <n v="1"/>
    <s v="Und"/>
    <x v="2"/>
    <d v="2026-07-08T00:00:00"/>
    <m/>
    <m/>
    <x v="1"/>
    <n v="9962"/>
    <s v="Mirador 360"/>
    <n v="3018709"/>
    <n v="10"/>
    <m/>
  </r>
  <r>
    <s v="Foto"/>
    <x v="15"/>
    <n v="1"/>
    <s v="Und"/>
    <x v="2"/>
    <d v="2026-07-08T00:00:00"/>
    <m/>
    <m/>
    <x v="1"/>
    <n v="9962"/>
    <s v="Mirador 360"/>
    <n v="3018717"/>
    <n v="11"/>
    <m/>
  </r>
  <r>
    <s v="Foto"/>
    <x v="15"/>
    <n v="1"/>
    <s v="Und"/>
    <x v="2"/>
    <d v="2026-07-08T00:00:00"/>
    <m/>
    <m/>
    <x v="1"/>
    <n v="9962"/>
    <s v="Mirador 360"/>
    <n v="3018725"/>
    <n v="12"/>
    <m/>
  </r>
  <r>
    <s v="tpx"/>
    <x v="23"/>
    <n v="130"/>
    <s v="Mts"/>
    <x v="2"/>
    <d v="2026-07-08T00:00:00"/>
    <m/>
    <m/>
    <x v="1"/>
    <n v="9962"/>
    <s v="Mirador 360"/>
    <s v="S.N"/>
    <m/>
    <m/>
  </r>
  <r>
    <s v="tpx"/>
    <x v="23"/>
    <n v="9"/>
    <s v="Mts"/>
    <x v="2"/>
    <d v="2026-07-08T00:00:00"/>
    <m/>
    <m/>
    <x v="1"/>
    <n v="9962"/>
    <s v="Mirador 360"/>
    <s v="S.N"/>
    <m/>
    <m/>
  </r>
  <r>
    <s v="tpx"/>
    <x v="23"/>
    <n v="56"/>
    <s v="Mts"/>
    <x v="2"/>
    <d v="2026-07-08T00:00:00"/>
    <m/>
    <m/>
    <x v="1"/>
    <n v="9962"/>
    <s v="Mirador 360"/>
    <s v="S.N"/>
    <m/>
    <m/>
  </r>
  <r>
    <s v="tpx"/>
    <x v="23"/>
    <n v="62"/>
    <s v="Mts"/>
    <x v="2"/>
    <d v="2026-07-08T00:00:00"/>
    <m/>
    <m/>
    <x v="1"/>
    <n v="9962"/>
    <s v="Mirador 360"/>
    <s v="S.N"/>
    <m/>
    <m/>
  </r>
  <r>
    <s v="kit"/>
    <x v="10"/>
    <n v="1"/>
    <s v="Und"/>
    <x v="2"/>
    <d v="2026-07-08T00:00:00"/>
    <m/>
    <m/>
    <x v="1"/>
    <n v="9962"/>
    <s v="Mirador 360"/>
    <n v="3018792"/>
    <n v="1"/>
    <m/>
  </r>
  <r>
    <s v="kit"/>
    <x v="10"/>
    <n v="1"/>
    <s v="Und"/>
    <x v="2"/>
    <d v="2026-07-08T00:00:00"/>
    <m/>
    <m/>
    <x v="1"/>
    <n v="9962"/>
    <s v="Mirador 360"/>
    <n v="3018741"/>
    <n v="5"/>
    <m/>
  </r>
  <r>
    <s v="kit"/>
    <x v="10"/>
    <n v="1"/>
    <s v="Und"/>
    <x v="2"/>
    <d v="2026-07-08T00:00:00"/>
    <m/>
    <m/>
    <x v="1"/>
    <n v="9962"/>
    <s v="Mirador 360"/>
    <n v="3018733"/>
    <n v="6"/>
    <m/>
  </r>
  <r>
    <s v="kit"/>
    <x v="10"/>
    <n v="1"/>
    <s v="Und"/>
    <x v="2"/>
    <d v="2026-07-08T00:00:00"/>
    <m/>
    <m/>
    <x v="1"/>
    <n v="9962"/>
    <s v="Mirador 360"/>
    <n v="3018687"/>
    <n v="8"/>
    <m/>
  </r>
  <r>
    <s v="kit"/>
    <x v="10"/>
    <n v="1"/>
    <s v="Und"/>
    <x v="2"/>
    <d v="2026-07-08T00:00:00"/>
    <m/>
    <m/>
    <x v="1"/>
    <n v="9962"/>
    <s v="Mirador 360"/>
    <n v="3018725"/>
    <n v="12"/>
    <m/>
  </r>
  <r>
    <s v="percha1"/>
    <x v="11"/>
    <n v="1"/>
    <s v="Und"/>
    <x v="2"/>
    <d v="2026-07-08T00:00:00"/>
    <m/>
    <m/>
    <x v="1"/>
    <n v="9962"/>
    <s v="Mirador 360"/>
    <n v="3018792"/>
    <n v="1"/>
    <m/>
  </r>
  <r>
    <s v="percha1"/>
    <x v="11"/>
    <n v="1"/>
    <s v="Und"/>
    <x v="2"/>
    <d v="2026-07-08T00:00:00"/>
    <m/>
    <m/>
    <x v="1"/>
    <n v="9962"/>
    <s v="Mirador 360"/>
    <n v="3018784"/>
    <n v="2"/>
    <m/>
  </r>
  <r>
    <s v="percha1"/>
    <x v="11"/>
    <n v="2"/>
    <s v="Und"/>
    <x v="2"/>
    <d v="2026-07-08T00:00:00"/>
    <m/>
    <m/>
    <x v="1"/>
    <n v="9962"/>
    <s v="Mirador 360"/>
    <n v="3018776"/>
    <n v="3"/>
    <m/>
  </r>
  <r>
    <s v="percha1"/>
    <x v="11"/>
    <n v="1"/>
    <s v="Und"/>
    <x v="2"/>
    <d v="2026-07-08T00:00:00"/>
    <m/>
    <m/>
    <x v="1"/>
    <n v="9962"/>
    <s v="Mirador 360"/>
    <n v="3018750"/>
    <n v="4"/>
    <m/>
  </r>
  <r>
    <s v="percha1"/>
    <x v="11"/>
    <n v="1"/>
    <s v="Und"/>
    <x v="2"/>
    <d v="2026-07-08T00:00:00"/>
    <m/>
    <m/>
    <x v="1"/>
    <n v="9962"/>
    <s v="Mirador 360"/>
    <n v="3018741"/>
    <n v="5"/>
    <m/>
  </r>
  <r>
    <s v="percha1"/>
    <x v="11"/>
    <n v="2"/>
    <s v="Und"/>
    <x v="2"/>
    <d v="2026-07-08T00:00:00"/>
    <m/>
    <m/>
    <x v="1"/>
    <n v="9962"/>
    <s v="Mirador 360"/>
    <n v="3018733"/>
    <n v="6"/>
    <m/>
  </r>
  <r>
    <s v="percha1"/>
    <x v="11"/>
    <n v="1"/>
    <s v="Und"/>
    <x v="2"/>
    <d v="2026-07-08T00:00:00"/>
    <m/>
    <m/>
    <x v="1"/>
    <n v="9962"/>
    <s v="Mirador 360"/>
    <n v="3018679"/>
    <n v="7"/>
    <m/>
  </r>
  <r>
    <s v="percha1"/>
    <x v="11"/>
    <n v="1"/>
    <s v="Und"/>
    <x v="2"/>
    <d v="2026-07-08T00:00:00"/>
    <m/>
    <m/>
    <x v="1"/>
    <n v="9962"/>
    <s v="Mirador 360"/>
    <n v="3018687"/>
    <n v="8"/>
    <m/>
  </r>
  <r>
    <s v="percha1"/>
    <x v="11"/>
    <n v="1"/>
    <s v="Und"/>
    <x v="2"/>
    <d v="2026-07-08T00:00:00"/>
    <m/>
    <m/>
    <x v="1"/>
    <n v="9962"/>
    <s v="Mirador 360"/>
    <n v="3018695"/>
    <n v="9"/>
    <m/>
  </r>
  <r>
    <s v="percha1"/>
    <x v="11"/>
    <n v="1"/>
    <s v="Und"/>
    <x v="2"/>
    <d v="2026-07-08T00:00:00"/>
    <m/>
    <m/>
    <x v="1"/>
    <n v="9962"/>
    <s v="Mirador 360"/>
    <n v="3018709"/>
    <n v="10"/>
    <m/>
  </r>
  <r>
    <s v="percha1"/>
    <x v="11"/>
    <n v="1"/>
    <s v="Und"/>
    <x v="2"/>
    <d v="2026-07-08T00:00:00"/>
    <m/>
    <m/>
    <x v="1"/>
    <n v="9962"/>
    <s v="Mirador 360"/>
    <n v="3018717"/>
    <n v="11"/>
    <m/>
  </r>
  <r>
    <s v="percha1"/>
    <x v="11"/>
    <n v="1"/>
    <s v="Und"/>
    <x v="2"/>
    <d v="2026-07-08T00:00:00"/>
    <m/>
    <m/>
    <x v="1"/>
    <n v="9962"/>
    <s v="Mirador 360"/>
    <n v="3018725"/>
    <n v="12"/>
    <m/>
  </r>
  <r>
    <s v="Aislador1"/>
    <x v="1"/>
    <n v="1"/>
    <s v="Und"/>
    <x v="2"/>
    <d v="2026-07-08T00:00:00"/>
    <m/>
    <m/>
    <x v="1"/>
    <n v="9962"/>
    <s v="Mirador 360"/>
    <n v="3018792"/>
    <n v="1"/>
    <m/>
  </r>
  <r>
    <s v="Aislador1"/>
    <x v="1"/>
    <n v="1"/>
    <s v="Und"/>
    <x v="2"/>
    <d v="2026-07-08T00:00:00"/>
    <m/>
    <m/>
    <x v="1"/>
    <n v="9962"/>
    <s v="Mirador 360"/>
    <n v="3018784"/>
    <n v="2"/>
    <m/>
  </r>
  <r>
    <s v="Aislador1"/>
    <x v="1"/>
    <n v="2"/>
    <s v="Und"/>
    <x v="2"/>
    <d v="2026-07-08T00:00:00"/>
    <m/>
    <m/>
    <x v="1"/>
    <n v="9962"/>
    <s v="Mirador 360"/>
    <n v="3018776"/>
    <n v="3"/>
    <m/>
  </r>
  <r>
    <s v="Aislador1"/>
    <x v="1"/>
    <n v="1"/>
    <s v="Und"/>
    <x v="2"/>
    <d v="2026-07-08T00:00:00"/>
    <m/>
    <m/>
    <x v="1"/>
    <n v="9962"/>
    <s v="Mirador 360"/>
    <n v="3018750"/>
    <n v="4"/>
    <m/>
  </r>
  <r>
    <s v="Aislador1"/>
    <x v="1"/>
    <n v="1"/>
    <s v="Und"/>
    <x v="2"/>
    <d v="2026-07-08T00:00:00"/>
    <m/>
    <m/>
    <x v="1"/>
    <n v="9962"/>
    <s v="Mirador 360"/>
    <n v="3018741"/>
    <n v="5"/>
    <m/>
  </r>
  <r>
    <s v="Aislador1"/>
    <x v="1"/>
    <n v="2"/>
    <s v="Und"/>
    <x v="2"/>
    <d v="2026-07-08T00:00:00"/>
    <m/>
    <m/>
    <x v="1"/>
    <n v="9962"/>
    <s v="Mirador 360"/>
    <n v="3018733"/>
    <n v="6"/>
    <m/>
  </r>
  <r>
    <s v="Aislador1"/>
    <x v="1"/>
    <n v="1"/>
    <s v="Und"/>
    <x v="2"/>
    <d v="2026-07-08T00:00:00"/>
    <m/>
    <m/>
    <x v="1"/>
    <n v="9962"/>
    <s v="Mirador 360"/>
    <n v="3018679"/>
    <n v="7"/>
    <m/>
  </r>
  <r>
    <s v="Aislador1"/>
    <x v="1"/>
    <n v="1"/>
    <s v="Und"/>
    <x v="2"/>
    <d v="2026-07-08T00:00:00"/>
    <m/>
    <m/>
    <x v="1"/>
    <n v="9962"/>
    <s v="Mirador 360"/>
    <n v="3018687"/>
    <n v="8"/>
    <m/>
  </r>
  <r>
    <s v="Aislador1"/>
    <x v="1"/>
    <n v="1"/>
    <s v="Und"/>
    <x v="2"/>
    <d v="2026-07-08T00:00:00"/>
    <m/>
    <m/>
    <x v="1"/>
    <n v="9962"/>
    <s v="Mirador 360"/>
    <n v="3018695"/>
    <n v="9"/>
    <m/>
  </r>
  <r>
    <s v="Aislador1"/>
    <x v="1"/>
    <n v="1"/>
    <s v="Und"/>
    <x v="2"/>
    <d v="2026-07-08T00:00:00"/>
    <m/>
    <m/>
    <x v="1"/>
    <n v="9962"/>
    <s v="Mirador 360"/>
    <n v="3018709"/>
    <n v="10"/>
    <m/>
  </r>
  <r>
    <s v="Aislador1"/>
    <x v="1"/>
    <n v="1"/>
    <s v="Und"/>
    <x v="2"/>
    <d v="2026-07-08T00:00:00"/>
    <m/>
    <m/>
    <x v="1"/>
    <n v="9962"/>
    <s v="Mirador 360"/>
    <n v="3018717"/>
    <n v="11"/>
    <m/>
  </r>
  <r>
    <s v="Aislador1"/>
    <x v="1"/>
    <n v="1"/>
    <s v="Und"/>
    <x v="2"/>
    <d v="2026-07-08T00:00:00"/>
    <m/>
    <m/>
    <x v="1"/>
    <n v="9962"/>
    <s v="Mirador 360"/>
    <n v="3018725"/>
    <n v="12"/>
    <m/>
  </r>
  <r>
    <s v="corona"/>
    <x v="47"/>
    <n v="1"/>
    <s v="Und"/>
    <x v="2"/>
    <d v="2026-07-08T00:00:00"/>
    <m/>
    <m/>
    <x v="1"/>
    <n v="9962"/>
    <s v="Mirador 360"/>
    <n v="3018687"/>
    <n v="8"/>
    <m/>
  </r>
  <r>
    <s v="corona"/>
    <x v="47"/>
    <n v="1"/>
    <s v="Und"/>
    <x v="2"/>
    <d v="2026-07-08T00:00:00"/>
    <m/>
    <m/>
    <x v="1"/>
    <n v="9962"/>
    <s v="Mirador 360"/>
    <n v="3018725"/>
    <n v="12"/>
    <m/>
  </r>
  <r>
    <s v="CIEGA1"/>
    <x v="44"/>
    <n v="1"/>
    <s v="Und"/>
    <x v="2"/>
    <d v="2026-07-08T00:00:00"/>
    <m/>
    <m/>
    <x v="1"/>
    <n v="9962"/>
    <s v="Mirador 360"/>
    <n v="3018792"/>
    <n v="1"/>
    <m/>
  </r>
  <r>
    <s v="CIEGA1"/>
    <x v="44"/>
    <n v="1"/>
    <s v="Und"/>
    <x v="2"/>
    <d v="2026-07-08T00:00:00"/>
    <m/>
    <m/>
    <x v="1"/>
    <n v="9962"/>
    <s v="Mirador 360"/>
    <n v="3018784"/>
    <n v="2"/>
    <m/>
  </r>
  <r>
    <s v="CIEGA1"/>
    <x v="44"/>
    <n v="1"/>
    <s v="Und"/>
    <x v="2"/>
    <d v="2026-07-08T00:00:00"/>
    <m/>
    <m/>
    <x v="1"/>
    <n v="9962"/>
    <s v="Mirador 360"/>
    <n v="3018776"/>
    <n v="3"/>
    <m/>
  </r>
  <r>
    <s v="CIEGA1"/>
    <x v="44"/>
    <n v="1"/>
    <s v="Und"/>
    <x v="2"/>
    <d v="2026-07-08T00:00:00"/>
    <m/>
    <m/>
    <x v="1"/>
    <n v="9962"/>
    <s v="Mirador 360"/>
    <n v="3018750"/>
    <n v="4"/>
    <m/>
  </r>
  <r>
    <s v="CIEGA1"/>
    <x v="44"/>
    <n v="1"/>
    <s v="Und"/>
    <x v="2"/>
    <d v="2026-07-08T00:00:00"/>
    <m/>
    <m/>
    <x v="1"/>
    <n v="9962"/>
    <s v="Mirador 360"/>
    <n v="3018741"/>
    <n v="5"/>
    <m/>
  </r>
  <r>
    <s v="CIEGA1"/>
    <x v="44"/>
    <n v="1"/>
    <s v="Und"/>
    <x v="2"/>
    <d v="2026-07-08T00:00:00"/>
    <m/>
    <m/>
    <x v="1"/>
    <n v="9962"/>
    <s v="Mirador 360"/>
    <n v="3018733"/>
    <n v="6"/>
    <m/>
  </r>
  <r>
    <s v="CIEGA1"/>
    <x v="44"/>
    <n v="1"/>
    <s v="Und"/>
    <x v="2"/>
    <d v="2026-07-08T00:00:00"/>
    <m/>
    <m/>
    <x v="1"/>
    <n v="9962"/>
    <s v="Mirador 360"/>
    <n v="3018679"/>
    <n v="7"/>
    <m/>
  </r>
  <r>
    <s v="CIEGA1"/>
    <x v="44"/>
    <n v="1"/>
    <s v="Und"/>
    <x v="2"/>
    <d v="2026-07-08T00:00:00"/>
    <m/>
    <m/>
    <x v="1"/>
    <n v="9962"/>
    <s v="Mirador 360"/>
    <n v="3018687"/>
    <n v="8"/>
    <m/>
  </r>
  <r>
    <s v="CIEGA1"/>
    <x v="44"/>
    <n v="1"/>
    <s v="Und"/>
    <x v="2"/>
    <d v="2026-07-08T00:00:00"/>
    <m/>
    <m/>
    <x v="1"/>
    <n v="9962"/>
    <s v="Mirador 360"/>
    <n v="3018695"/>
    <n v="9"/>
    <m/>
  </r>
  <r>
    <s v="CIEGA1"/>
    <x v="44"/>
    <n v="1"/>
    <s v="Und"/>
    <x v="2"/>
    <d v="2026-07-08T00:00:00"/>
    <m/>
    <m/>
    <x v="1"/>
    <n v="9962"/>
    <s v="Mirador 360"/>
    <n v="3018709"/>
    <n v="10"/>
    <m/>
  </r>
  <r>
    <s v="CIEGA1"/>
    <x v="44"/>
    <n v="1"/>
    <s v="Und"/>
    <x v="2"/>
    <d v="2026-07-08T00:00:00"/>
    <m/>
    <m/>
    <x v="1"/>
    <n v="9962"/>
    <s v="Mirador 360"/>
    <n v="3018717"/>
    <n v="11"/>
    <m/>
  </r>
  <r>
    <s v="CIEGA1"/>
    <x v="44"/>
    <n v="1"/>
    <s v="Und"/>
    <x v="2"/>
    <d v="2026-07-08T00:00:00"/>
    <m/>
    <m/>
    <x v="1"/>
    <n v="9962"/>
    <s v="Mirador 360"/>
    <n v="3018725"/>
    <n v="12"/>
    <m/>
  </r>
  <r>
    <s v="banda1"/>
    <x v="22"/>
    <n v="1"/>
    <s v="Und"/>
    <x v="2"/>
    <d v="2026-07-08T00:00:00"/>
    <m/>
    <m/>
    <x v="1"/>
    <n v="9962"/>
    <s v="Mirador 360"/>
    <n v="3018792"/>
    <n v="1"/>
    <m/>
  </r>
  <r>
    <s v="banda1"/>
    <x v="22"/>
    <n v="1"/>
    <s v="Und"/>
    <x v="2"/>
    <d v="2026-07-08T00:00:00"/>
    <m/>
    <m/>
    <x v="1"/>
    <n v="9962"/>
    <s v="Mirador 360"/>
    <n v="3018784"/>
    <n v="2"/>
    <m/>
  </r>
  <r>
    <s v="banda1"/>
    <x v="22"/>
    <n v="2"/>
    <s v="Und"/>
    <x v="2"/>
    <d v="2026-07-08T00:00:00"/>
    <m/>
    <m/>
    <x v="1"/>
    <n v="9962"/>
    <s v="Mirador 360"/>
    <n v="3018776"/>
    <n v="3"/>
    <m/>
  </r>
  <r>
    <s v="banda1"/>
    <x v="22"/>
    <n v="1"/>
    <s v="Und"/>
    <x v="2"/>
    <d v="2026-07-08T00:00:00"/>
    <m/>
    <m/>
    <x v="1"/>
    <n v="9962"/>
    <s v="Mirador 360"/>
    <n v="3018750"/>
    <n v="4"/>
    <m/>
  </r>
  <r>
    <s v="banda1"/>
    <x v="22"/>
    <n v="1"/>
    <s v="Und"/>
    <x v="2"/>
    <d v="2026-07-08T00:00:00"/>
    <m/>
    <m/>
    <x v="1"/>
    <n v="9962"/>
    <s v="Mirador 360"/>
    <n v="3018741"/>
    <n v="5"/>
    <m/>
  </r>
  <r>
    <s v="banda1"/>
    <x v="22"/>
    <n v="2"/>
    <s v="Und"/>
    <x v="2"/>
    <d v="2026-07-08T00:00:00"/>
    <m/>
    <m/>
    <x v="1"/>
    <n v="9962"/>
    <s v="Mirador 360"/>
    <n v="3018733"/>
    <n v="6"/>
    <m/>
  </r>
  <r>
    <s v="banda1"/>
    <x v="22"/>
    <n v="1"/>
    <s v="Und"/>
    <x v="2"/>
    <d v="2026-07-08T00:00:00"/>
    <m/>
    <m/>
    <x v="1"/>
    <n v="9962"/>
    <s v="Mirador 360"/>
    <n v="3018679"/>
    <n v="7"/>
    <m/>
  </r>
  <r>
    <s v="banda1"/>
    <x v="22"/>
    <n v="1"/>
    <s v="Und"/>
    <x v="2"/>
    <d v="2026-07-08T00:00:00"/>
    <m/>
    <m/>
    <x v="1"/>
    <n v="9962"/>
    <s v="Mirador 360"/>
    <n v="3018687"/>
    <n v="8"/>
    <m/>
  </r>
  <r>
    <s v="banda1"/>
    <x v="22"/>
    <n v="1"/>
    <s v="Und"/>
    <x v="2"/>
    <d v="2026-07-08T00:00:00"/>
    <m/>
    <m/>
    <x v="1"/>
    <n v="9962"/>
    <s v="Mirador 360"/>
    <n v="3018695"/>
    <n v="9"/>
    <m/>
  </r>
  <r>
    <s v="banda1"/>
    <x v="22"/>
    <n v="1"/>
    <s v="Und"/>
    <x v="2"/>
    <d v="2026-07-08T00:00:00"/>
    <m/>
    <m/>
    <x v="1"/>
    <n v="9962"/>
    <s v="Mirador 360"/>
    <n v="3018709"/>
    <n v="10"/>
    <m/>
  </r>
  <r>
    <s v="banda1"/>
    <x v="22"/>
    <n v="1"/>
    <s v="Und"/>
    <x v="2"/>
    <d v="2026-07-08T00:00:00"/>
    <m/>
    <m/>
    <x v="1"/>
    <n v="9962"/>
    <s v="Mirador 360"/>
    <n v="3018717"/>
    <n v="11"/>
    <m/>
  </r>
  <r>
    <s v="banda1"/>
    <x v="22"/>
    <n v="1"/>
    <s v="Und"/>
    <x v="2"/>
    <d v="2026-07-08T00:00:00"/>
    <m/>
    <m/>
    <x v="1"/>
    <n v="9962"/>
    <s v="Mirador 360"/>
    <n v="3018725"/>
    <n v="12"/>
    <m/>
  </r>
  <r>
    <s v="marco"/>
    <x v="30"/>
    <n v="1"/>
    <s v="Und"/>
    <x v="0"/>
    <d v="2026-07-15T00:00:00"/>
    <m/>
    <m/>
    <x v="2"/>
    <n v="9966"/>
    <m/>
    <m/>
    <m/>
    <m/>
  </r>
  <r>
    <s v="tapa2"/>
    <x v="14"/>
    <n v="1"/>
    <s v="Und"/>
    <x v="0"/>
    <d v="2026-07-15T00:00:00"/>
    <m/>
    <m/>
    <x v="2"/>
    <n v="9966"/>
    <m/>
    <m/>
    <m/>
    <m/>
  </r>
  <r>
    <s v="marco"/>
    <x v="30"/>
    <n v="7"/>
    <s v="Und"/>
    <x v="0"/>
    <d v="2026-07-15T00:00:00"/>
    <m/>
    <m/>
    <x v="2"/>
    <n v="9967"/>
    <m/>
    <m/>
    <m/>
    <m/>
  </r>
  <r>
    <s v="tapa2"/>
    <x v="14"/>
    <n v="7"/>
    <s v="Und"/>
    <x v="0"/>
    <d v="2026-07-15T00:00:00"/>
    <m/>
    <m/>
    <x v="2"/>
    <n v="9967"/>
    <m/>
    <m/>
    <m/>
    <m/>
  </r>
  <r>
    <s v="marco"/>
    <x v="30"/>
    <n v="1"/>
    <s v="Und"/>
    <x v="0"/>
    <d v="2026-07-15T00:00:00"/>
    <m/>
    <m/>
    <x v="2"/>
    <n v="9968"/>
    <m/>
    <m/>
    <m/>
    <m/>
  </r>
  <r>
    <s v="tapa2"/>
    <x v="14"/>
    <n v="1"/>
    <s v="Und"/>
    <x v="0"/>
    <d v="2026-07-15T00:00:00"/>
    <m/>
    <m/>
    <x v="2"/>
    <n v="9968"/>
    <m/>
    <m/>
    <m/>
    <m/>
  </r>
  <r>
    <s v="marco"/>
    <x v="30"/>
    <n v="7"/>
    <s v="Und"/>
    <x v="0"/>
    <d v="2026-07-15T00:00:00"/>
    <m/>
    <m/>
    <x v="2"/>
    <n v="9971"/>
    <m/>
    <m/>
    <m/>
    <m/>
  </r>
  <r>
    <s v="tapa2"/>
    <x v="14"/>
    <n v="7"/>
    <s v="Und"/>
    <x v="0"/>
    <d v="2026-07-15T00:00:00"/>
    <m/>
    <m/>
    <x v="2"/>
    <n v="9971"/>
    <m/>
    <m/>
    <m/>
    <m/>
  </r>
  <r>
    <s v="marco"/>
    <x v="30"/>
    <n v="8"/>
    <s v="Und"/>
    <x v="0"/>
    <d v="2026-07-15T00:00:00"/>
    <m/>
    <m/>
    <x v="2"/>
    <n v="9972"/>
    <m/>
    <m/>
    <m/>
    <m/>
  </r>
  <r>
    <s v="tapa2"/>
    <x v="14"/>
    <n v="8"/>
    <s v="Und"/>
    <x v="0"/>
    <d v="2026-07-15T00:00:00"/>
    <m/>
    <m/>
    <x v="2"/>
    <n v="9972"/>
    <m/>
    <m/>
    <m/>
    <m/>
  </r>
  <r>
    <s v="marco"/>
    <x v="30"/>
    <n v="1"/>
    <s v="Und"/>
    <x v="0"/>
    <d v="2026-07-15T00:00:00"/>
    <m/>
    <m/>
    <x v="2"/>
    <n v="9973"/>
    <m/>
    <m/>
    <m/>
    <m/>
  </r>
  <r>
    <s v="tapa2"/>
    <x v="14"/>
    <n v="1"/>
    <s v="Und"/>
    <x v="0"/>
    <d v="2026-07-15T00:00:00"/>
    <m/>
    <m/>
    <x v="2"/>
    <n v="9973"/>
    <m/>
    <m/>
    <m/>
    <m/>
  </r>
  <r>
    <s v="marco"/>
    <x v="30"/>
    <n v="2"/>
    <s v="Und"/>
    <x v="0"/>
    <d v="2026-07-15T00:00:00"/>
    <m/>
    <m/>
    <x v="2"/>
    <n v="9974"/>
    <m/>
    <m/>
    <m/>
    <m/>
  </r>
  <r>
    <s v="tapa2"/>
    <x v="14"/>
    <n v="2"/>
    <s v="Und"/>
    <x v="0"/>
    <d v="2026-07-15T00:00:00"/>
    <m/>
    <m/>
    <x v="2"/>
    <n v="9974"/>
    <m/>
    <m/>
    <m/>
    <m/>
  </r>
  <r>
    <s v="pro- 90"/>
    <x v="31"/>
    <n v="1"/>
    <s v="Und"/>
    <x v="0"/>
    <d v="2026-07-15T00:00:00"/>
    <s v="CURRENT"/>
    <s v="6PB0296"/>
    <x v="1"/>
    <n v="9961"/>
    <s v="cr54cll 2oeste"/>
    <m/>
    <m/>
    <m/>
  </r>
  <r>
    <s v="pro- 90"/>
    <x v="31"/>
    <n v="1"/>
    <s v="Und"/>
    <x v="0"/>
    <d v="2026-07-15T00:00:00"/>
    <s v="CURRENT"/>
    <s v="6PB0285"/>
    <x v="1"/>
    <n v="9961"/>
    <s v="cr54cll 2oeste"/>
    <m/>
    <m/>
    <m/>
  </r>
  <r>
    <s v="pro- 90"/>
    <x v="31"/>
    <n v="1"/>
    <s v="Und"/>
    <x v="0"/>
    <d v="2026-07-15T00:00:00"/>
    <s v="CURRENT"/>
    <s v="6PB0313"/>
    <x v="1"/>
    <n v="9961"/>
    <s v="cr54cll 2oeste"/>
    <m/>
    <m/>
    <m/>
  </r>
  <r>
    <s v="pro- 90"/>
    <x v="31"/>
    <n v="1"/>
    <s v="Und"/>
    <x v="0"/>
    <d v="2026-07-15T00:00:00"/>
    <s v="CURRENT"/>
    <s v="6PB0292"/>
    <x v="1"/>
    <n v="9961"/>
    <s v="cr54cll 2oeste"/>
    <m/>
    <m/>
    <m/>
  </r>
  <r>
    <s v="pro- 90"/>
    <x v="31"/>
    <n v="1"/>
    <s v="Und"/>
    <x v="0"/>
    <d v="2026-07-15T00:00:00"/>
    <s v="CURRENT"/>
    <s v="6PB0306"/>
    <x v="1"/>
    <n v="9961"/>
    <s v="cr54cll 2oeste"/>
    <m/>
    <m/>
    <m/>
  </r>
  <r>
    <s v="pro- 90"/>
    <x v="31"/>
    <n v="1"/>
    <s v="Und"/>
    <x v="0"/>
    <d v="2026-07-15T00:00:00"/>
    <s v="CURRENT"/>
    <s v="6PB0291"/>
    <x v="1"/>
    <n v="9961"/>
    <s v="cr54cll 2oeste"/>
    <m/>
    <m/>
    <m/>
  </r>
  <r>
    <s v="CRUCETA"/>
    <x v="32"/>
    <n v="6"/>
    <s v="Und"/>
    <x v="0"/>
    <d v="2026-07-15T00:00:00"/>
    <m/>
    <m/>
    <x v="1"/>
    <n v="9958"/>
    <m/>
    <m/>
    <m/>
    <m/>
  </r>
  <r>
    <s v="ANGULAR"/>
    <x v="33"/>
    <n v="6"/>
    <s v="Und"/>
    <x v="0"/>
    <d v="2026-07-15T00:00:00"/>
    <m/>
    <m/>
    <x v="1"/>
    <n v="9958"/>
    <m/>
    <m/>
    <m/>
    <m/>
  </r>
  <r>
    <s v="ANGULAR"/>
    <x v="33"/>
    <n v="6"/>
    <s v="Und"/>
    <x v="0"/>
    <d v="2026-07-15T00:00:00"/>
    <m/>
    <m/>
    <x v="1"/>
    <n v="9959"/>
    <s v="cr42b-cl11/13"/>
    <m/>
    <m/>
    <m/>
  </r>
  <r>
    <s v="CRUCETA"/>
    <x v="32"/>
    <n v="2"/>
    <s v="Und"/>
    <x v="0"/>
    <d v="2026-07-15T00:00:00"/>
    <m/>
    <m/>
    <x v="1"/>
    <n v="9961"/>
    <m/>
    <m/>
    <m/>
    <m/>
  </r>
  <r>
    <s v="ANGULAR"/>
    <x v="33"/>
    <n v="2"/>
    <s v="Und"/>
    <x v="0"/>
    <d v="2026-07-15T00:00:00"/>
    <m/>
    <m/>
    <x v="1"/>
    <n v="9961"/>
    <m/>
    <m/>
    <m/>
    <m/>
  </r>
  <r>
    <s v="CRUCETA"/>
    <x v="32"/>
    <n v="2"/>
    <s v="Und"/>
    <x v="0"/>
    <d v="2026-07-15T00:00:00"/>
    <m/>
    <m/>
    <x v="1"/>
    <n v="9963"/>
    <s v="parque y cancha cl 18 oe kra 44"/>
    <m/>
    <m/>
    <m/>
  </r>
  <r>
    <s v="ANGULAR"/>
    <x v="33"/>
    <n v="2"/>
    <s v="Und"/>
    <x v="0"/>
    <d v="2026-07-15T00:00:00"/>
    <m/>
    <m/>
    <x v="1"/>
    <n v="9963"/>
    <s v="parque y cancha cl 18 oe kra 44"/>
    <m/>
    <m/>
    <m/>
  </r>
  <r>
    <s v="marco"/>
    <x v="30"/>
    <n v="1"/>
    <s v="Und"/>
    <x v="2"/>
    <d v="2026-06-27T00:00:00"/>
    <m/>
    <m/>
    <x v="1"/>
    <n v="9961"/>
    <s v="cr54cll 2oeste"/>
    <n v="6532281"/>
    <n v="17"/>
    <m/>
  </r>
  <r>
    <s v="marco"/>
    <x v="30"/>
    <n v="1"/>
    <s v="Und"/>
    <x v="2"/>
    <d v="2026-06-27T00:00:00"/>
    <m/>
    <m/>
    <x v="1"/>
    <n v="9961"/>
    <s v="cr54cll 2oeste"/>
    <n v="6532306"/>
    <n v="7"/>
    <m/>
  </r>
  <r>
    <s v="marco"/>
    <x v="30"/>
    <n v="1"/>
    <s v="Und"/>
    <x v="2"/>
    <d v="2026-06-27T00:00:00"/>
    <m/>
    <m/>
    <x v="1"/>
    <n v="9961"/>
    <s v="cr54cll 2oeste"/>
    <n v="6522233"/>
    <n v="19"/>
    <m/>
  </r>
  <r>
    <s v="marco"/>
    <x v="30"/>
    <n v="1"/>
    <s v="Und"/>
    <x v="2"/>
    <d v="2026-06-27T00:00:00"/>
    <m/>
    <m/>
    <x v="1"/>
    <n v="9961"/>
    <s v="cr54cll 2oeste"/>
    <n v="6535241"/>
    <n v="5"/>
    <m/>
  </r>
  <r>
    <s v="tapa2"/>
    <x v="14"/>
    <n v="1"/>
    <s v="Und"/>
    <x v="2"/>
    <d v="2026-06-27T00:00:00"/>
    <m/>
    <m/>
    <x v="1"/>
    <n v="9961"/>
    <s v="cr54cll 2oeste"/>
    <n v="6532281"/>
    <n v="17"/>
    <m/>
  </r>
  <r>
    <s v="tapa2"/>
    <x v="14"/>
    <n v="1"/>
    <s v="Und"/>
    <x v="2"/>
    <d v="2026-06-27T00:00:00"/>
    <m/>
    <m/>
    <x v="1"/>
    <n v="9961"/>
    <s v="cr54cll 2oeste"/>
    <n v="6532306"/>
    <n v="7"/>
    <m/>
  </r>
  <r>
    <s v="tapa2"/>
    <x v="14"/>
    <n v="1"/>
    <s v="Und"/>
    <x v="2"/>
    <d v="2026-06-27T00:00:00"/>
    <m/>
    <m/>
    <x v="1"/>
    <n v="9961"/>
    <s v="cr54cll 2oeste"/>
    <n v="6522233"/>
    <n v="19"/>
    <m/>
  </r>
  <r>
    <s v="tapa2"/>
    <x v="14"/>
    <n v="1"/>
    <s v="Und"/>
    <x v="2"/>
    <d v="2026-06-27T00:00:00"/>
    <m/>
    <m/>
    <x v="1"/>
    <n v="9961"/>
    <s v="cr54cll 2oeste"/>
    <n v="6535241"/>
    <n v="5"/>
    <m/>
  </r>
  <r>
    <s v="Banda2"/>
    <x v="0"/>
    <n v="2"/>
    <s v="Und"/>
    <x v="0"/>
    <d v="2026-07-17T00:00:00"/>
    <m/>
    <m/>
    <x v="2"/>
    <n v="9966"/>
    <m/>
    <m/>
    <m/>
    <m/>
  </r>
  <r>
    <s v="Aislador1"/>
    <x v="1"/>
    <n v="2"/>
    <s v="Und"/>
    <x v="0"/>
    <d v="2026-07-17T00:00:00"/>
    <m/>
    <m/>
    <x v="2"/>
    <n v="9966"/>
    <m/>
    <m/>
    <m/>
    <m/>
  </r>
  <r>
    <s v="brazo1"/>
    <x v="21"/>
    <n v="18"/>
    <s v="Und"/>
    <x v="0"/>
    <d v="2026-07-17T00:00:00"/>
    <m/>
    <m/>
    <x v="2"/>
    <n v="9966"/>
    <m/>
    <m/>
    <m/>
    <m/>
  </r>
  <r>
    <s v="tpx"/>
    <x v="23"/>
    <n v="25"/>
    <s v="Mts"/>
    <x v="0"/>
    <d v="2026-07-17T00:00:00"/>
    <m/>
    <m/>
    <x v="2"/>
    <n v="9966"/>
    <m/>
    <m/>
    <m/>
    <m/>
  </r>
  <r>
    <s v="3*14"/>
    <x v="3"/>
    <n v="90"/>
    <s v="Mts"/>
    <x v="0"/>
    <d v="2026-07-17T00:00:00"/>
    <m/>
    <m/>
    <x v="2"/>
    <n v="9966"/>
    <m/>
    <m/>
    <m/>
    <m/>
  </r>
  <r>
    <s v="capacete"/>
    <x v="38"/>
    <n v="2"/>
    <s v="Und"/>
    <x v="0"/>
    <d v="2026-07-17T00:00:00"/>
    <m/>
    <m/>
    <x v="2"/>
    <n v="9966"/>
    <m/>
    <m/>
    <m/>
    <m/>
  </r>
  <r>
    <s v="super23"/>
    <x v="45"/>
    <n v="1"/>
    <s v="Und"/>
    <x v="0"/>
    <d v="2026-07-17T00:00:00"/>
    <m/>
    <m/>
    <x v="2"/>
    <n v="9966"/>
    <m/>
    <m/>
    <m/>
    <m/>
  </r>
  <r>
    <s v="bandit"/>
    <x v="4"/>
    <n v="11"/>
    <s v="Und"/>
    <x v="0"/>
    <d v="2026-07-17T00:00:00"/>
    <m/>
    <m/>
    <x v="2"/>
    <n v="9966"/>
    <m/>
    <m/>
    <m/>
    <m/>
  </r>
  <r>
    <s v="conec1"/>
    <x v="6"/>
    <n v="24"/>
    <s v="Und"/>
    <x v="0"/>
    <d v="2026-07-17T00:00:00"/>
    <m/>
    <m/>
    <x v="2"/>
    <n v="9966"/>
    <m/>
    <m/>
    <m/>
    <m/>
  </r>
  <r>
    <s v="conec2"/>
    <x v="7"/>
    <n v="30"/>
    <s v="Und"/>
    <x v="0"/>
    <d v="2026-07-17T00:00:00"/>
    <m/>
    <m/>
    <x v="2"/>
    <n v="9966"/>
    <m/>
    <m/>
    <m/>
    <m/>
  </r>
  <r>
    <s v="conec3"/>
    <x v="29"/>
    <n v="2"/>
    <s v="Und"/>
    <x v="0"/>
    <d v="2026-07-17T00:00:00"/>
    <m/>
    <m/>
    <x v="2"/>
    <n v="9966"/>
    <m/>
    <m/>
    <m/>
    <m/>
  </r>
  <r>
    <s v="gel1"/>
    <x v="8"/>
    <n v="24"/>
    <s v="Und"/>
    <x v="0"/>
    <d v="2026-07-17T00:00:00"/>
    <m/>
    <m/>
    <x v="2"/>
    <n v="9966"/>
    <m/>
    <m/>
    <m/>
    <m/>
  </r>
  <r>
    <s v="Foto"/>
    <x v="15"/>
    <n v="24"/>
    <s v="Und"/>
    <x v="0"/>
    <d v="2026-07-17T00:00:00"/>
    <m/>
    <m/>
    <x v="2"/>
    <n v="9966"/>
    <m/>
    <m/>
    <m/>
    <m/>
  </r>
  <r>
    <s v="grillete"/>
    <x v="24"/>
    <n v="10"/>
    <s v="Und"/>
    <x v="0"/>
    <d v="2026-07-17T00:00:00"/>
    <m/>
    <m/>
    <x v="2"/>
    <n v="9966"/>
    <m/>
    <m/>
    <m/>
    <m/>
  </r>
  <r>
    <s v="hebilla"/>
    <x v="5"/>
    <n v="15"/>
    <s v="Und"/>
    <x v="0"/>
    <d v="2026-07-17T00:00:00"/>
    <m/>
    <m/>
    <x v="2"/>
    <n v="9966"/>
    <m/>
    <m/>
    <m/>
    <m/>
  </r>
  <r>
    <s v="percha1"/>
    <x v="11"/>
    <n v="2"/>
    <s v="Und"/>
    <x v="0"/>
    <d v="2026-07-17T00:00:00"/>
    <m/>
    <m/>
    <x v="2"/>
    <n v="9966"/>
    <m/>
    <m/>
    <m/>
    <m/>
  </r>
  <r>
    <s v="Maquina"/>
    <x v="26"/>
    <n v="4"/>
    <s v="Und"/>
    <x v="0"/>
    <d v="2026-07-17T00:00:00"/>
    <m/>
    <m/>
    <x v="2"/>
    <n v="9966"/>
    <m/>
    <m/>
    <m/>
    <m/>
  </r>
  <r>
    <s v="tubo 3"/>
    <x v="12"/>
    <n v="4"/>
    <s v="Und"/>
    <x v="0"/>
    <d v="2026-07-17T00:00:00"/>
    <m/>
    <m/>
    <x v="2"/>
    <n v="9966"/>
    <m/>
    <m/>
    <m/>
    <m/>
  </r>
  <r>
    <s v="tuerca"/>
    <x v="27"/>
    <n v="4"/>
    <s v="Und"/>
    <x v="0"/>
    <d v="2026-07-17T00:00:00"/>
    <m/>
    <m/>
    <x v="2"/>
    <n v="9966"/>
    <m/>
    <m/>
    <m/>
    <m/>
  </r>
  <r>
    <s v="cooper"/>
    <x v="28"/>
    <n v="2"/>
    <s v="Und"/>
    <x v="0"/>
    <d v="2026-07-17T00:00:00"/>
    <m/>
    <m/>
    <x v="2"/>
    <n v="9966"/>
    <m/>
    <m/>
    <m/>
    <m/>
  </r>
  <r>
    <s v="lum-110"/>
    <x v="20"/>
    <n v="1"/>
    <s v="Und"/>
    <x v="0"/>
    <d v="2026-07-17T00:00:00"/>
    <s v="CURRENT"/>
    <s v="6G00133"/>
    <x v="2"/>
    <n v="9966"/>
    <m/>
    <m/>
    <m/>
    <m/>
  </r>
  <r>
    <s v="lum-110"/>
    <x v="20"/>
    <n v="1"/>
    <s v="Und"/>
    <x v="0"/>
    <d v="2026-07-17T00:00:00"/>
    <s v="CURRENT"/>
    <s v="6G00157"/>
    <x v="2"/>
    <n v="9966"/>
    <m/>
    <m/>
    <m/>
    <m/>
  </r>
  <r>
    <s v="lum-110"/>
    <x v="20"/>
    <n v="1"/>
    <s v="Und"/>
    <x v="0"/>
    <d v="2026-07-17T00:00:00"/>
    <s v="CURRENT"/>
    <s v="6G00007"/>
    <x v="2"/>
    <n v="9966"/>
    <m/>
    <m/>
    <m/>
    <m/>
  </r>
  <r>
    <s v="lum-110"/>
    <x v="20"/>
    <n v="1"/>
    <s v="Und"/>
    <x v="0"/>
    <d v="2026-07-17T00:00:00"/>
    <s v="CURRENT"/>
    <s v="6G00131"/>
    <x v="2"/>
    <n v="9966"/>
    <m/>
    <m/>
    <m/>
    <m/>
  </r>
  <r>
    <s v="lum-75"/>
    <x v="16"/>
    <n v="1"/>
    <s v="Und"/>
    <x v="0"/>
    <d v="2026-07-17T00:00:00"/>
    <s v="CURRENT"/>
    <s v="6E00401"/>
    <x v="2"/>
    <n v="9966"/>
    <m/>
    <m/>
    <m/>
    <m/>
  </r>
  <r>
    <s v="lum-75"/>
    <x v="16"/>
    <n v="1"/>
    <s v="Und"/>
    <x v="0"/>
    <d v="2026-07-17T00:00:00"/>
    <s v="CURRENT"/>
    <s v="6E00427"/>
    <x v="2"/>
    <n v="9966"/>
    <m/>
    <m/>
    <m/>
    <m/>
  </r>
  <r>
    <s v="lum-75"/>
    <x v="16"/>
    <n v="1"/>
    <s v="Und"/>
    <x v="0"/>
    <d v="2026-07-17T00:00:00"/>
    <s v="CURRENT"/>
    <s v="6E00428"/>
    <x v="2"/>
    <n v="9966"/>
    <m/>
    <m/>
    <m/>
    <m/>
  </r>
  <r>
    <s v="lum-75"/>
    <x v="16"/>
    <n v="1"/>
    <s v="Und"/>
    <x v="0"/>
    <d v="2026-07-17T00:00:00"/>
    <s v="CURRENT"/>
    <s v="6E00420"/>
    <x v="2"/>
    <n v="9966"/>
    <m/>
    <m/>
    <m/>
    <m/>
  </r>
  <r>
    <s v="lum-75"/>
    <x v="16"/>
    <n v="1"/>
    <s v="Und"/>
    <x v="0"/>
    <d v="2026-07-17T00:00:00"/>
    <s v="CURRENT"/>
    <s v="6E00457"/>
    <x v="2"/>
    <n v="9966"/>
    <m/>
    <m/>
    <m/>
    <m/>
  </r>
  <r>
    <s v="lum-75"/>
    <x v="16"/>
    <n v="1"/>
    <s v="Und"/>
    <x v="0"/>
    <d v="2026-07-17T00:00:00"/>
    <s v="CURRENT"/>
    <s v="6E00464"/>
    <x v="2"/>
    <n v="9966"/>
    <m/>
    <m/>
    <m/>
    <m/>
  </r>
  <r>
    <s v="lum-75"/>
    <x v="16"/>
    <n v="1"/>
    <s v="Und"/>
    <x v="0"/>
    <d v="2026-07-17T00:00:00"/>
    <s v="CURRENT"/>
    <s v="6E00423"/>
    <x v="2"/>
    <n v="9966"/>
    <m/>
    <m/>
    <m/>
    <m/>
  </r>
  <r>
    <s v="lum-75"/>
    <x v="16"/>
    <n v="1"/>
    <s v="Und"/>
    <x v="0"/>
    <d v="2026-07-17T00:00:00"/>
    <s v="CURRENT"/>
    <s v="6E00515"/>
    <x v="2"/>
    <n v="9966"/>
    <m/>
    <m/>
    <m/>
    <m/>
  </r>
  <r>
    <s v="lum-75"/>
    <x v="16"/>
    <n v="1"/>
    <s v="Und"/>
    <x v="0"/>
    <d v="2026-07-17T00:00:00"/>
    <s v="CURRENT"/>
    <s v="6E00484"/>
    <x v="2"/>
    <n v="9966"/>
    <m/>
    <m/>
    <m/>
    <m/>
  </r>
  <r>
    <s v="lum-75"/>
    <x v="16"/>
    <n v="1"/>
    <s v="Und"/>
    <x v="0"/>
    <d v="2026-07-17T00:00:00"/>
    <s v="CURRENT"/>
    <s v="6E00435"/>
    <x v="2"/>
    <n v="9966"/>
    <m/>
    <m/>
    <m/>
    <m/>
  </r>
  <r>
    <s v="lum-75"/>
    <x v="16"/>
    <n v="1"/>
    <s v="Und"/>
    <x v="0"/>
    <d v="2026-07-17T00:00:00"/>
    <s v="CURRENT"/>
    <s v="6E00344"/>
    <x v="2"/>
    <n v="9966"/>
    <m/>
    <m/>
    <m/>
    <m/>
  </r>
  <r>
    <s v="lum-75"/>
    <x v="16"/>
    <n v="1"/>
    <s v="Und"/>
    <x v="0"/>
    <d v="2026-07-17T00:00:00"/>
    <s v="CURRENT"/>
    <s v="6E00316"/>
    <x v="2"/>
    <n v="9966"/>
    <m/>
    <m/>
    <m/>
    <m/>
  </r>
  <r>
    <s v="lum-75"/>
    <x v="16"/>
    <n v="1"/>
    <s v="Und"/>
    <x v="0"/>
    <d v="2026-07-17T00:00:00"/>
    <s v="CURRENT"/>
    <s v="6E00449"/>
    <x v="2"/>
    <n v="9966"/>
    <m/>
    <m/>
    <m/>
    <m/>
  </r>
  <r>
    <s v="pro- 90"/>
    <x v="31"/>
    <n v="1"/>
    <s v="Und"/>
    <x v="0"/>
    <d v="2026-07-17T00:00:00"/>
    <s v="CURRENT"/>
    <s v="6PB0297"/>
    <x v="2"/>
    <n v="9966"/>
    <m/>
    <m/>
    <m/>
    <m/>
  </r>
  <r>
    <s v="pro- 90"/>
    <x v="31"/>
    <n v="1"/>
    <s v="Und"/>
    <x v="0"/>
    <d v="2026-07-17T00:00:00"/>
    <s v="CURRENT"/>
    <s v="6PB0312"/>
    <x v="2"/>
    <n v="9966"/>
    <m/>
    <m/>
    <m/>
    <m/>
  </r>
  <r>
    <s v="pro- 90"/>
    <x v="31"/>
    <n v="1"/>
    <s v="Und"/>
    <x v="0"/>
    <d v="2026-07-17T00:00:00"/>
    <s v="CURRENT"/>
    <s v="6PB0304"/>
    <x v="2"/>
    <n v="9966"/>
    <m/>
    <m/>
    <m/>
    <m/>
  </r>
  <r>
    <s v="pro- 90"/>
    <x v="31"/>
    <n v="1"/>
    <s v="Und"/>
    <x v="0"/>
    <d v="2026-07-17T00:00:00"/>
    <s v="CURRENT"/>
    <s v="6PB0287"/>
    <x v="2"/>
    <n v="9966"/>
    <m/>
    <m/>
    <m/>
    <m/>
  </r>
  <r>
    <s v="pro- 90"/>
    <x v="31"/>
    <n v="1"/>
    <s v="Und"/>
    <x v="0"/>
    <d v="2026-07-17T00:00:00"/>
    <s v="CURRENT"/>
    <s v="6PB0283"/>
    <x v="2"/>
    <n v="9966"/>
    <m/>
    <m/>
    <m/>
    <m/>
  </r>
  <r>
    <s v="pro- 90"/>
    <x v="31"/>
    <n v="1"/>
    <s v="Und"/>
    <x v="0"/>
    <d v="2026-07-17T00:00:00"/>
    <s v="CURRENT"/>
    <s v="6PB0290"/>
    <x v="2"/>
    <n v="9966"/>
    <m/>
    <m/>
    <m/>
    <m/>
  </r>
  <r>
    <s v="#4"/>
    <x v="41"/>
    <n v="90"/>
    <s v="Mts"/>
    <x v="0"/>
    <d v="2026-07-17T00:00:00"/>
    <m/>
    <m/>
    <x v="2"/>
    <n v="9966"/>
    <m/>
    <m/>
    <m/>
    <m/>
  </r>
  <r>
    <s v="alambre 14"/>
    <x v="40"/>
    <n v="35"/>
    <s v="Mts"/>
    <x v="0"/>
    <d v="2026-07-17T00:00:00"/>
    <m/>
    <m/>
    <x v="2"/>
    <n v="9966"/>
    <m/>
    <m/>
    <m/>
    <m/>
  </r>
  <r>
    <s v="#4"/>
    <x v="41"/>
    <n v="160"/>
    <s v="Mts"/>
    <x v="0"/>
    <d v="2026-07-16T00:00:00"/>
    <m/>
    <m/>
    <x v="1"/>
    <n v="9958"/>
    <m/>
    <m/>
    <m/>
    <m/>
  </r>
  <r>
    <s v="alambre 14"/>
    <x v="40"/>
    <n v="80"/>
    <s v="Mts"/>
    <x v="0"/>
    <d v="2026-07-16T00:00:00"/>
    <m/>
    <m/>
    <x v="1"/>
    <n v="9958"/>
    <m/>
    <m/>
    <m/>
    <m/>
  </r>
  <r>
    <s v="conec1"/>
    <x v="6"/>
    <n v="16"/>
    <s v="Und"/>
    <x v="0"/>
    <d v="2026-07-16T00:00:00"/>
    <m/>
    <m/>
    <x v="1"/>
    <n v="9958"/>
    <m/>
    <m/>
    <m/>
    <m/>
  </r>
  <r>
    <s v="banda1"/>
    <x v="22"/>
    <n v="6"/>
    <s v="Und"/>
    <x v="0"/>
    <d v="2026-07-16T00:00:00"/>
    <m/>
    <m/>
    <x v="2"/>
    <n v="9967"/>
    <m/>
    <m/>
    <m/>
    <m/>
  </r>
  <r>
    <s v="ciega1"/>
    <x v="44"/>
    <n v="20"/>
    <s v="Und"/>
    <x v="0"/>
    <d v="2026-07-16T00:00:00"/>
    <m/>
    <m/>
    <x v="2"/>
    <n v="9967"/>
    <m/>
    <m/>
    <m/>
    <m/>
  </r>
  <r>
    <s v="Aislador1"/>
    <x v="1"/>
    <n v="6"/>
    <s v="Und"/>
    <x v="0"/>
    <d v="2026-07-16T00:00:00"/>
    <m/>
    <m/>
    <x v="2"/>
    <n v="9967"/>
    <m/>
    <m/>
    <m/>
    <m/>
  </r>
  <r>
    <s v="brazo1"/>
    <x v="21"/>
    <n v="23"/>
    <s v="Und"/>
    <x v="0"/>
    <d v="2026-07-16T00:00:00"/>
    <m/>
    <m/>
    <x v="2"/>
    <n v="9967"/>
    <m/>
    <m/>
    <m/>
    <m/>
  </r>
  <r>
    <s v="brazo L"/>
    <x v="49"/>
    <n v="2"/>
    <s v="Und"/>
    <x v="0"/>
    <d v="2026-07-16T00:00:00"/>
    <m/>
    <m/>
    <x v="2"/>
    <n v="9967"/>
    <m/>
    <m/>
    <m/>
    <m/>
  </r>
  <r>
    <s v="tpx"/>
    <x v="23"/>
    <n v="40"/>
    <s v="Mts"/>
    <x v="0"/>
    <d v="2026-07-16T00:00:00"/>
    <m/>
    <m/>
    <x v="2"/>
    <n v="9967"/>
    <m/>
    <m/>
    <m/>
    <m/>
  </r>
  <r>
    <s v="3*14"/>
    <x v="3"/>
    <n v="100"/>
    <s v="Mts"/>
    <x v="0"/>
    <d v="2026-07-16T00:00:00"/>
    <m/>
    <m/>
    <x v="2"/>
    <n v="9967"/>
    <m/>
    <m/>
    <m/>
    <m/>
  </r>
  <r>
    <s v="super23"/>
    <x v="45"/>
    <n v="1"/>
    <s v="Und"/>
    <x v="0"/>
    <d v="2026-07-16T00:00:00"/>
    <m/>
    <m/>
    <x v="2"/>
    <n v="9967"/>
    <m/>
    <m/>
    <m/>
    <m/>
  </r>
  <r>
    <s v="conec1"/>
    <x v="6"/>
    <n v="45"/>
    <s v="Und"/>
    <x v="0"/>
    <d v="2026-07-16T00:00:00"/>
    <m/>
    <m/>
    <x v="2"/>
    <n v="9967"/>
    <m/>
    <m/>
    <m/>
    <m/>
  </r>
  <r>
    <s v="conec2"/>
    <x v="7"/>
    <n v="30"/>
    <s v="Und"/>
    <x v="0"/>
    <d v="2026-07-16T00:00:00"/>
    <m/>
    <m/>
    <x v="2"/>
    <n v="9967"/>
    <m/>
    <m/>
    <m/>
    <m/>
  </r>
  <r>
    <s v="gel1"/>
    <x v="8"/>
    <n v="22"/>
    <s v="Und"/>
    <x v="0"/>
    <d v="2026-07-16T00:00:00"/>
    <m/>
    <m/>
    <x v="2"/>
    <n v="9967"/>
    <m/>
    <m/>
    <m/>
    <m/>
  </r>
  <r>
    <s v="Foto"/>
    <x v="15"/>
    <n v="25"/>
    <s v="Und"/>
    <x v="0"/>
    <d v="2026-07-16T00:00:00"/>
    <m/>
    <m/>
    <x v="2"/>
    <n v="9967"/>
    <m/>
    <m/>
    <m/>
    <m/>
  </r>
  <r>
    <s v="grillete"/>
    <x v="24"/>
    <n v="20"/>
    <s v="Und"/>
    <x v="0"/>
    <d v="2026-07-16T00:00:00"/>
    <m/>
    <m/>
    <x v="2"/>
    <n v="9967"/>
    <m/>
    <m/>
    <m/>
    <m/>
  </r>
  <r>
    <s v="kit"/>
    <x v="10"/>
    <n v="3"/>
    <s v="Und"/>
    <x v="0"/>
    <d v="2026-07-16T00:00:00"/>
    <m/>
    <m/>
    <x v="2"/>
    <n v="9967"/>
    <m/>
    <m/>
    <m/>
    <m/>
  </r>
  <r>
    <s v="percha1"/>
    <x v="11"/>
    <n v="6"/>
    <s v="Und"/>
    <x v="0"/>
    <d v="2026-07-16T00:00:00"/>
    <m/>
    <m/>
    <x v="2"/>
    <n v="9967"/>
    <m/>
    <m/>
    <m/>
    <m/>
  </r>
  <r>
    <s v="lum-75"/>
    <x v="16"/>
    <n v="1"/>
    <s v="Und"/>
    <x v="0"/>
    <d v="2026-07-16T00:00:00"/>
    <s v="CURRENT"/>
    <s v="6E00310"/>
    <x v="2"/>
    <n v="9967"/>
    <m/>
    <m/>
    <m/>
    <m/>
  </r>
  <r>
    <s v="lum-75"/>
    <x v="16"/>
    <n v="1"/>
    <s v="Und"/>
    <x v="0"/>
    <d v="2026-07-16T00:00:00"/>
    <s v="CURRENT"/>
    <s v="6E00477"/>
    <x v="2"/>
    <n v="9967"/>
    <m/>
    <m/>
    <m/>
    <m/>
  </r>
  <r>
    <s v="lum-75"/>
    <x v="16"/>
    <n v="1"/>
    <s v="Und"/>
    <x v="0"/>
    <d v="2026-07-16T00:00:00"/>
    <s v="CURRENT"/>
    <s v="6E00397"/>
    <x v="2"/>
    <n v="9967"/>
    <m/>
    <m/>
    <m/>
    <m/>
  </r>
  <r>
    <s v="lum-75"/>
    <x v="16"/>
    <n v="1"/>
    <s v="Und"/>
    <x v="0"/>
    <d v="2026-07-16T00:00:00"/>
    <s v="CURRENT"/>
    <s v="6E00436"/>
    <x v="2"/>
    <n v="9967"/>
    <m/>
    <m/>
    <m/>
    <m/>
  </r>
  <r>
    <s v="lum-75"/>
    <x v="16"/>
    <n v="1"/>
    <s v="Und"/>
    <x v="0"/>
    <d v="2026-07-16T00:00:00"/>
    <s v="CURRENT"/>
    <s v="6E00454"/>
    <x v="2"/>
    <n v="9967"/>
    <m/>
    <m/>
    <m/>
    <m/>
  </r>
  <r>
    <s v="lum-75"/>
    <x v="16"/>
    <n v="1"/>
    <s v="Und"/>
    <x v="0"/>
    <d v="2026-07-16T00:00:00"/>
    <s v="CURRENT"/>
    <s v="6E00548"/>
    <x v="2"/>
    <n v="9967"/>
    <m/>
    <m/>
    <m/>
    <m/>
  </r>
  <r>
    <s v="lum-75"/>
    <x v="16"/>
    <n v="1"/>
    <s v="Und"/>
    <x v="0"/>
    <d v="2026-07-16T00:00:00"/>
    <s v="CURRENT"/>
    <s v="6E00510"/>
    <x v="2"/>
    <n v="9967"/>
    <m/>
    <m/>
    <m/>
    <m/>
  </r>
  <r>
    <s v="lum-75"/>
    <x v="16"/>
    <n v="1"/>
    <s v="Und"/>
    <x v="0"/>
    <d v="2026-07-16T00:00:00"/>
    <s v="CURRENT"/>
    <s v="6E00474"/>
    <x v="2"/>
    <n v="9967"/>
    <m/>
    <m/>
    <m/>
    <m/>
  </r>
  <r>
    <s v="lum-75"/>
    <x v="16"/>
    <n v="1"/>
    <s v="Und"/>
    <x v="0"/>
    <d v="2026-07-16T00:00:00"/>
    <s v="CURRENT"/>
    <s v="6E00521"/>
    <x v="2"/>
    <n v="9967"/>
    <m/>
    <m/>
    <m/>
    <m/>
  </r>
  <r>
    <s v="lum-75"/>
    <x v="16"/>
    <n v="1"/>
    <s v="Und"/>
    <x v="0"/>
    <d v="2026-07-16T00:00:00"/>
    <s v="CURRENT"/>
    <s v="6E00470"/>
    <x v="2"/>
    <n v="9967"/>
    <m/>
    <m/>
    <m/>
    <m/>
  </r>
  <r>
    <s v="lum-75"/>
    <x v="16"/>
    <n v="1"/>
    <s v="Und"/>
    <x v="0"/>
    <d v="2026-07-16T00:00:00"/>
    <s v="CURRENT"/>
    <s v="6E00125"/>
    <x v="2"/>
    <n v="9967"/>
    <m/>
    <m/>
    <m/>
    <m/>
  </r>
  <r>
    <s v="lum-75"/>
    <x v="16"/>
    <n v="1"/>
    <s v="Und"/>
    <x v="0"/>
    <d v="2026-07-16T00:00:00"/>
    <s v="CURRENT"/>
    <s v="6E00351"/>
    <x v="2"/>
    <n v="9967"/>
    <m/>
    <m/>
    <m/>
    <m/>
  </r>
  <r>
    <s v="lum-75"/>
    <x v="16"/>
    <n v="1"/>
    <s v="Und"/>
    <x v="0"/>
    <d v="2026-07-16T00:00:00"/>
    <s v="CURRENT"/>
    <s v="6E00471"/>
    <x v="2"/>
    <n v="9967"/>
    <m/>
    <m/>
    <m/>
    <m/>
  </r>
  <r>
    <s v="lum-75"/>
    <x v="16"/>
    <n v="1"/>
    <s v="Und"/>
    <x v="0"/>
    <d v="2026-07-16T00:00:00"/>
    <s v="CURRENT"/>
    <s v="6E00408"/>
    <x v="2"/>
    <n v="9967"/>
    <m/>
    <m/>
    <m/>
    <m/>
  </r>
  <r>
    <s v="lum-75"/>
    <x v="16"/>
    <n v="1"/>
    <s v="Und"/>
    <x v="0"/>
    <d v="2026-07-16T00:00:00"/>
    <s v="CURRENT"/>
    <s v="6E00396"/>
    <x v="2"/>
    <n v="9967"/>
    <m/>
    <m/>
    <m/>
    <m/>
  </r>
  <r>
    <s v="lum-75"/>
    <x v="16"/>
    <n v="1"/>
    <s v="Und"/>
    <x v="0"/>
    <d v="2026-07-16T00:00:00"/>
    <s v="CURRENT"/>
    <s v="6E00395"/>
    <x v="2"/>
    <n v="9967"/>
    <m/>
    <m/>
    <m/>
    <m/>
  </r>
  <r>
    <s v="lum-75"/>
    <x v="16"/>
    <n v="1"/>
    <s v="Und"/>
    <x v="0"/>
    <d v="2026-07-16T00:00:00"/>
    <s v="CURRENT"/>
    <s v="6E00410"/>
    <x v="2"/>
    <n v="9967"/>
    <m/>
    <m/>
    <m/>
    <m/>
  </r>
  <r>
    <s v="lum-75"/>
    <x v="16"/>
    <n v="1"/>
    <s v="Und"/>
    <x v="0"/>
    <d v="2026-07-16T00:00:00"/>
    <s v="CURRENT"/>
    <s v="6E00350"/>
    <x v="2"/>
    <n v="9967"/>
    <m/>
    <m/>
    <m/>
    <m/>
  </r>
  <r>
    <s v="lum-75"/>
    <x v="16"/>
    <n v="1"/>
    <s v="Und"/>
    <x v="0"/>
    <d v="2026-07-16T00:00:00"/>
    <s v="CURRENT"/>
    <s v="6E00448"/>
    <x v="2"/>
    <n v="9967"/>
    <m/>
    <m/>
    <m/>
    <m/>
  </r>
  <r>
    <s v="lum-75"/>
    <x v="16"/>
    <n v="1"/>
    <s v="Und"/>
    <x v="0"/>
    <d v="2026-07-16T00:00:00"/>
    <s v="CURRENT"/>
    <s v="6E00497"/>
    <x v="2"/>
    <n v="9967"/>
    <m/>
    <m/>
    <m/>
    <m/>
  </r>
  <r>
    <s v="lum-75"/>
    <x v="16"/>
    <n v="1"/>
    <s v="Und"/>
    <x v="0"/>
    <d v="2026-07-16T00:00:00"/>
    <s v="CURRENT"/>
    <s v="6E00315"/>
    <x v="2"/>
    <n v="9967"/>
    <m/>
    <m/>
    <m/>
    <m/>
  </r>
  <r>
    <s v="lum-75"/>
    <x v="16"/>
    <n v="1"/>
    <s v="Und"/>
    <x v="0"/>
    <d v="2026-07-16T00:00:00"/>
    <s v="CURRENT"/>
    <s v="6E00525"/>
    <x v="2"/>
    <n v="9967"/>
    <m/>
    <m/>
    <m/>
    <m/>
  </r>
  <r>
    <s v="lum-75"/>
    <x v="16"/>
    <n v="1"/>
    <s v="Und"/>
    <x v="0"/>
    <d v="2026-07-16T00:00:00"/>
    <s v="CURRENT"/>
    <s v="6E00456"/>
    <x v="2"/>
    <n v="9967"/>
    <m/>
    <m/>
    <m/>
    <m/>
  </r>
  <r>
    <s v="lum-75"/>
    <x v="16"/>
    <n v="1"/>
    <s v="Und"/>
    <x v="0"/>
    <d v="2026-07-16T00:00:00"/>
    <s v="CURRENT"/>
    <s v="6E00380"/>
    <x v="2"/>
    <n v="9967"/>
    <m/>
    <m/>
    <m/>
    <m/>
  </r>
  <r>
    <s v="lum-75"/>
    <x v="16"/>
    <n v="1"/>
    <s v="Und"/>
    <x v="0"/>
    <d v="2026-07-16T00:00:00"/>
    <s v="CURRENT"/>
    <s v="6E00375"/>
    <x v="2"/>
    <n v="9967"/>
    <m/>
    <m/>
    <m/>
    <m/>
  </r>
  <r>
    <s v="coraza"/>
    <x v="36"/>
    <n v="0.8"/>
    <s v="Mts"/>
    <x v="2"/>
    <d v="2026-06-27T00:00:00"/>
    <m/>
    <m/>
    <x v="1"/>
    <n v="9961"/>
    <s v="cr54cll 2oeste"/>
    <n v="6532281"/>
    <n v="3"/>
    <m/>
  </r>
  <r>
    <s v="coraza"/>
    <x v="36"/>
    <n v="0.3"/>
    <s v="Mts"/>
    <x v="2"/>
    <d v="2026-06-27T00:00:00"/>
    <m/>
    <m/>
    <x v="1"/>
    <n v="9961"/>
    <s v="cr54cll 2oeste"/>
    <n v="6532306"/>
    <n v="5"/>
    <m/>
  </r>
  <r>
    <s v="coraza"/>
    <x v="36"/>
    <n v="2"/>
    <s v="Mts"/>
    <x v="2"/>
    <d v="2026-06-27T00:00:00"/>
    <m/>
    <m/>
    <x v="1"/>
    <n v="9961"/>
    <s v="cr54cll 2oeste"/>
    <n v="6522233"/>
    <n v="7"/>
    <m/>
  </r>
  <r>
    <s v="coraza"/>
    <x v="36"/>
    <n v="0.8"/>
    <s v="Mts"/>
    <x v="2"/>
    <d v="2026-06-27T00:00:00"/>
    <m/>
    <m/>
    <x v="1"/>
    <n v="9961"/>
    <s v="cr54cll 2oeste"/>
    <n v="6535241"/>
    <n v="9"/>
    <m/>
  </r>
  <r>
    <s v="tubo 3"/>
    <x v="12"/>
    <n v="2"/>
    <s v="Und"/>
    <x v="2"/>
    <d v="2026-06-27T00:00:00"/>
    <m/>
    <m/>
    <x v="1"/>
    <n v="9961"/>
    <s v="cr54cll 2oeste"/>
    <n v="6532281"/>
    <n v="17"/>
    <m/>
  </r>
  <r>
    <s v="tubo 3"/>
    <x v="12"/>
    <n v="3"/>
    <s v="Und"/>
    <x v="2"/>
    <d v="2026-06-27T00:00:00"/>
    <m/>
    <m/>
    <x v="1"/>
    <n v="9961"/>
    <s v="cr54cll 2oeste"/>
    <n v="2173221"/>
    <n v="15"/>
    <m/>
  </r>
  <r>
    <s v="bandit"/>
    <x v="4"/>
    <n v="5"/>
    <s v="Mts"/>
    <x v="2"/>
    <d v="2026-06-27T00:00:00"/>
    <m/>
    <m/>
    <x v="1"/>
    <n v="9961"/>
    <s v="cr54cll 2oeste"/>
    <n v="2173221"/>
    <n v="15"/>
    <m/>
  </r>
  <r>
    <s v="hebilla"/>
    <x v="5"/>
    <n v="3"/>
    <s v="Und"/>
    <x v="2"/>
    <d v="2026-06-27T00:00:00"/>
    <m/>
    <m/>
    <x v="1"/>
    <n v="9961"/>
    <s v="cr54cll 2oeste"/>
    <n v="2173221"/>
    <n v="15"/>
    <m/>
  </r>
  <r>
    <s v="bandit"/>
    <x v="4"/>
    <n v="3"/>
    <s v="Mts"/>
    <x v="2"/>
    <d v="2026-06-27T00:00:00"/>
    <m/>
    <m/>
    <x v="1"/>
    <n v="9961"/>
    <s v="cr54cll 2oeste"/>
    <n v="6535241"/>
    <n v="5"/>
    <m/>
  </r>
  <r>
    <s v="hebilla"/>
    <x v="5"/>
    <n v="5"/>
    <s v="Und"/>
    <x v="2"/>
    <d v="2026-06-27T00:00:00"/>
    <m/>
    <m/>
    <x v="1"/>
    <n v="9961"/>
    <s v="cr54cll 2oeste"/>
    <n v="6535241"/>
    <n v="5"/>
    <m/>
  </r>
  <r>
    <s v="conec2"/>
    <x v="7"/>
    <n v="3"/>
    <s v="Und"/>
    <x v="2"/>
    <d v="2026-06-27T00:00:00"/>
    <m/>
    <m/>
    <x v="1"/>
    <n v="9961"/>
    <s v="cr54cll 2oeste"/>
    <n v="2257815"/>
    <n v="2"/>
    <m/>
  </r>
  <r>
    <s v="conec2"/>
    <x v="7"/>
    <n v="3"/>
    <s v="Und"/>
    <x v="2"/>
    <d v="2026-06-27T00:00:00"/>
    <m/>
    <m/>
    <x v="1"/>
    <n v="9961"/>
    <s v="cr54cll 2oeste"/>
    <n v="2258897"/>
    <n v="4"/>
    <m/>
  </r>
  <r>
    <s v="conec2"/>
    <x v="7"/>
    <n v="3"/>
    <s v="Und"/>
    <x v="2"/>
    <d v="2026-06-27T00:00:00"/>
    <m/>
    <m/>
    <x v="1"/>
    <n v="9961"/>
    <s v="cr54cll 2oeste"/>
    <n v="6535241"/>
    <n v="5"/>
    <m/>
  </r>
  <r>
    <s v="conec2"/>
    <x v="7"/>
    <n v="3"/>
    <s v="Und"/>
    <x v="2"/>
    <d v="2026-06-27T00:00:00"/>
    <m/>
    <m/>
    <x v="1"/>
    <n v="9961"/>
    <s v="cr54cll 2oeste"/>
    <n v="6532292"/>
    <n v="13"/>
    <m/>
  </r>
  <r>
    <s v="conec2"/>
    <x v="7"/>
    <n v="3"/>
    <s v="Und"/>
    <x v="2"/>
    <d v="2026-06-27T00:00:00"/>
    <m/>
    <m/>
    <x v="1"/>
    <n v="9961"/>
    <s v="cr54cll 2oeste"/>
    <n v="2173221"/>
    <n v="16"/>
    <m/>
  </r>
  <r>
    <s v="conec2"/>
    <x v="7"/>
    <n v="3"/>
    <s v="Und"/>
    <x v="2"/>
    <d v="2026-06-27T00:00:00"/>
    <m/>
    <m/>
    <x v="1"/>
    <n v="9961"/>
    <s v="cr54cll 2oeste"/>
    <n v="6532281"/>
    <n v="18"/>
    <m/>
  </r>
  <r>
    <s v="conec2"/>
    <x v="7"/>
    <n v="3"/>
    <s v="Und"/>
    <x v="2"/>
    <d v="2026-06-27T00:00:00"/>
    <m/>
    <m/>
    <x v="1"/>
    <n v="9961"/>
    <s v="cr54cll 2oeste"/>
    <n v="6522233"/>
    <n v="20"/>
    <m/>
  </r>
  <r>
    <s v="conec2"/>
    <x v="7"/>
    <n v="3"/>
    <s v="Und"/>
    <x v="2"/>
    <d v="2026-06-27T00:00:00"/>
    <m/>
    <m/>
    <x v="1"/>
    <n v="9961"/>
    <s v="cr54cll 2oeste"/>
    <n v="6532225"/>
    <n v="23"/>
    <m/>
  </r>
  <r>
    <s v="gel1"/>
    <x v="8"/>
    <n v="2"/>
    <s v="Und"/>
    <x v="2"/>
    <d v="2026-06-27T00:00:00"/>
    <m/>
    <m/>
    <x v="1"/>
    <n v="9961"/>
    <s v="cr54cll 2oeste"/>
    <n v="2257815"/>
    <n v="2"/>
    <m/>
  </r>
  <r>
    <s v="gel1"/>
    <x v="8"/>
    <n v="2"/>
    <s v="Und"/>
    <x v="2"/>
    <d v="2026-06-27T00:00:00"/>
    <m/>
    <m/>
    <x v="1"/>
    <n v="9961"/>
    <s v="cr54cll 2oeste"/>
    <n v="2258897"/>
    <n v="4"/>
    <m/>
  </r>
  <r>
    <s v="gel1"/>
    <x v="8"/>
    <n v="2"/>
    <s v="Und"/>
    <x v="2"/>
    <d v="2026-06-27T00:00:00"/>
    <m/>
    <m/>
    <x v="1"/>
    <n v="9961"/>
    <s v="cr54cll 2oeste"/>
    <n v="6535241"/>
    <n v="5"/>
    <m/>
  </r>
  <r>
    <s v="gel1"/>
    <x v="8"/>
    <n v="2"/>
    <s v="Und"/>
    <x v="2"/>
    <d v="2026-06-27T00:00:00"/>
    <m/>
    <m/>
    <x v="1"/>
    <n v="9961"/>
    <s v="cr54cll 2oeste"/>
    <n v="6532292"/>
    <n v="13"/>
    <m/>
  </r>
  <r>
    <s v="gel1"/>
    <x v="8"/>
    <n v="2"/>
    <s v="Und"/>
    <x v="2"/>
    <d v="2026-06-27T00:00:00"/>
    <m/>
    <m/>
    <x v="1"/>
    <n v="9961"/>
    <s v="cr54cll 2oeste"/>
    <n v="2173221"/>
    <n v="16"/>
    <m/>
  </r>
  <r>
    <s v="gel1"/>
    <x v="8"/>
    <n v="2"/>
    <s v="Und"/>
    <x v="2"/>
    <d v="2026-06-27T00:00:00"/>
    <m/>
    <m/>
    <x v="1"/>
    <n v="9961"/>
    <s v="cr54cll 2oeste"/>
    <n v="6532281"/>
    <n v="18"/>
    <m/>
  </r>
  <r>
    <s v="gel1"/>
    <x v="8"/>
    <n v="2"/>
    <s v="Und"/>
    <x v="2"/>
    <d v="2026-06-27T00:00:00"/>
    <m/>
    <m/>
    <x v="1"/>
    <n v="9961"/>
    <s v="cr54cll 2oeste"/>
    <n v="6522233"/>
    <n v="20"/>
    <m/>
  </r>
  <r>
    <s v="gel1"/>
    <x v="8"/>
    <n v="4"/>
    <s v="Und"/>
    <x v="2"/>
    <d v="2026-06-27T00:00:00"/>
    <m/>
    <m/>
    <x v="1"/>
    <n v="9961"/>
    <s v="cr54cll 2oeste"/>
    <n v="2258935"/>
    <n v="21"/>
    <m/>
  </r>
  <r>
    <s v="gel1"/>
    <x v="8"/>
    <n v="2"/>
    <s v="Und"/>
    <x v="2"/>
    <d v="2026-06-27T00:00:00"/>
    <m/>
    <m/>
    <x v="1"/>
    <n v="9961"/>
    <s v="cr54cll 2oeste"/>
    <n v="6532225"/>
    <n v="23"/>
    <m/>
  </r>
  <r>
    <s v="tpx"/>
    <x v="23"/>
    <n v="10"/>
    <s v="Mts"/>
    <x v="2"/>
    <d v="2026-06-27T00:00:00"/>
    <m/>
    <m/>
    <x v="1"/>
    <n v="9961"/>
    <s v="cr54cll 2oeste"/>
    <n v="2258935"/>
    <n v="21"/>
    <m/>
  </r>
  <r>
    <s v="3*14"/>
    <x v="3"/>
    <n v="9"/>
    <s v="Mts"/>
    <x v="2"/>
    <d v="2026-06-27T00:00:00"/>
    <m/>
    <m/>
    <x v="1"/>
    <n v="9961"/>
    <s v="cr54cll 2oeste"/>
    <n v="2257815"/>
    <n v="2"/>
    <m/>
  </r>
  <r>
    <s v="3*14"/>
    <x v="3"/>
    <n v="9"/>
    <s v="Mts"/>
    <x v="2"/>
    <d v="2026-06-27T00:00:00"/>
    <m/>
    <m/>
    <x v="1"/>
    <n v="9961"/>
    <s v="cr54cll 2oeste"/>
    <n v="2258897"/>
    <n v="4"/>
    <m/>
  </r>
  <r>
    <s v="3*14"/>
    <x v="3"/>
    <n v="9"/>
    <s v="Mts"/>
    <x v="2"/>
    <d v="2026-06-27T00:00:00"/>
    <m/>
    <m/>
    <x v="1"/>
    <n v="9961"/>
    <s v="cr54cll 2oeste"/>
    <n v="6535241"/>
    <n v="5"/>
    <m/>
  </r>
  <r>
    <s v="3*14"/>
    <x v="3"/>
    <n v="9"/>
    <s v="Mts"/>
    <x v="2"/>
    <d v="2026-06-27T00:00:00"/>
    <m/>
    <m/>
    <x v="1"/>
    <n v="9961"/>
    <s v="cr54cll 2oeste"/>
    <n v="6532292"/>
    <n v="13"/>
    <m/>
  </r>
  <r>
    <s v="3*14"/>
    <x v="3"/>
    <n v="15"/>
    <s v="Mts"/>
    <x v="2"/>
    <d v="2026-06-27T00:00:00"/>
    <m/>
    <m/>
    <x v="1"/>
    <n v="9961"/>
    <s v="cr54cll 2oeste"/>
    <n v="2173221"/>
    <n v="16"/>
    <m/>
  </r>
  <r>
    <s v="3*14"/>
    <x v="3"/>
    <n v="9"/>
    <s v="Mts"/>
    <x v="2"/>
    <d v="2026-06-27T00:00:00"/>
    <m/>
    <m/>
    <x v="1"/>
    <n v="9961"/>
    <s v="cr54cll 2oeste"/>
    <n v="6532281"/>
    <n v="18"/>
    <m/>
  </r>
  <r>
    <s v="3*14"/>
    <x v="3"/>
    <n v="9"/>
    <s v="Mts"/>
    <x v="2"/>
    <d v="2026-06-27T00:00:00"/>
    <m/>
    <m/>
    <x v="1"/>
    <n v="9961"/>
    <s v="cr54cll 2oeste"/>
    <n v="6522233"/>
    <n v="20"/>
    <m/>
  </r>
  <r>
    <s v="3*14"/>
    <x v="3"/>
    <n v="9"/>
    <s v="Mts"/>
    <x v="2"/>
    <d v="2026-06-27T00:00:00"/>
    <m/>
    <m/>
    <x v="1"/>
    <n v="9961"/>
    <s v="cr54cll 2oeste"/>
    <n v="6532225"/>
    <n v="23"/>
    <m/>
  </r>
  <r>
    <s v="kit"/>
    <x v="10"/>
    <n v="1"/>
    <s v="Und"/>
    <x v="2"/>
    <d v="2026-06-27T00:00:00"/>
    <m/>
    <m/>
    <x v="1"/>
    <n v="9961"/>
    <s v="cr54cll 2oeste"/>
    <n v="6535241"/>
    <n v="5"/>
    <m/>
  </r>
  <r>
    <s v="kit"/>
    <x v="10"/>
    <n v="1"/>
    <s v="Und"/>
    <x v="2"/>
    <d v="2026-06-27T00:00:00"/>
    <m/>
    <m/>
    <x v="1"/>
    <n v="9961"/>
    <s v="cr54cll 2oeste"/>
    <n v="2173239"/>
    <n v="9"/>
    <m/>
  </r>
  <r>
    <s v="kit"/>
    <x v="10"/>
    <n v="1"/>
    <s v="Und"/>
    <x v="2"/>
    <d v="2026-06-27T00:00:00"/>
    <m/>
    <m/>
    <x v="1"/>
    <n v="9961"/>
    <s v="cr54cll 2oeste"/>
    <n v="6532292"/>
    <n v="12"/>
    <m/>
  </r>
  <r>
    <s v="kit"/>
    <x v="10"/>
    <n v="1"/>
    <s v="Und"/>
    <x v="2"/>
    <d v="2026-06-27T00:00:00"/>
    <m/>
    <m/>
    <x v="1"/>
    <n v="9961"/>
    <s v="cr54cll 2oeste"/>
    <n v="2173221"/>
    <n v="16"/>
    <m/>
  </r>
  <r>
    <s v="kit"/>
    <x v="10"/>
    <n v="1"/>
    <s v="Und"/>
    <x v="2"/>
    <d v="2026-06-27T00:00:00"/>
    <m/>
    <m/>
    <x v="1"/>
    <n v="9961"/>
    <s v="cr54cll 2oeste"/>
    <n v="1588419"/>
    <n v="26"/>
    <m/>
  </r>
  <r>
    <s v="cooper"/>
    <x v="28"/>
    <n v="1"/>
    <s v="Und"/>
    <x v="2"/>
    <d v="2026-06-27T00:00:00"/>
    <m/>
    <m/>
    <x v="1"/>
    <n v="9961"/>
    <s v="cr54cll 2oeste"/>
    <n v="2257815"/>
    <n v="2"/>
    <m/>
  </r>
  <r>
    <s v="cooper"/>
    <x v="28"/>
    <n v="1"/>
    <s v="Und"/>
    <x v="2"/>
    <d v="2026-06-27T00:00:00"/>
    <m/>
    <m/>
    <x v="1"/>
    <n v="9961"/>
    <s v="cr54cll 2oeste"/>
    <n v="2258897"/>
    <n v="4"/>
    <m/>
  </r>
  <r>
    <s v="cooper"/>
    <x v="28"/>
    <n v="1"/>
    <s v="Und"/>
    <x v="2"/>
    <d v="2026-06-27T00:00:00"/>
    <m/>
    <m/>
    <x v="1"/>
    <n v="9961"/>
    <s v="cr54cll 2oeste"/>
    <n v="6535241"/>
    <n v="5"/>
    <m/>
  </r>
  <r>
    <s v="cooper"/>
    <x v="28"/>
    <n v="1"/>
    <s v="Und"/>
    <x v="2"/>
    <d v="2026-06-27T00:00:00"/>
    <m/>
    <m/>
    <x v="1"/>
    <n v="9961"/>
    <s v="cr54cll 2oeste"/>
    <n v="6532306"/>
    <n v="7"/>
    <m/>
  </r>
  <r>
    <s v="cooper"/>
    <x v="28"/>
    <n v="1"/>
    <s v="Und"/>
    <x v="2"/>
    <d v="2026-06-27T00:00:00"/>
    <m/>
    <m/>
    <x v="1"/>
    <n v="9961"/>
    <s v="cr54cll 2oeste"/>
    <n v="2173239"/>
    <n v="9"/>
    <m/>
  </r>
  <r>
    <s v="cooper"/>
    <x v="28"/>
    <n v="1"/>
    <s v="Und"/>
    <x v="2"/>
    <d v="2026-06-27T00:00:00"/>
    <m/>
    <m/>
    <x v="1"/>
    <n v="9961"/>
    <s v="cr54cll 2oeste"/>
    <n v="6532292"/>
    <n v="12"/>
    <m/>
  </r>
  <r>
    <s v="cooper"/>
    <x v="28"/>
    <n v="1"/>
    <s v="Und"/>
    <x v="2"/>
    <d v="2026-06-27T00:00:00"/>
    <m/>
    <m/>
    <x v="1"/>
    <n v="9961"/>
    <s v="cr54cll 2oeste"/>
    <n v="2173221"/>
    <n v="16"/>
    <m/>
  </r>
  <r>
    <s v="cooper"/>
    <x v="28"/>
    <n v="1"/>
    <s v="Und"/>
    <x v="2"/>
    <d v="2026-06-27T00:00:00"/>
    <m/>
    <m/>
    <x v="1"/>
    <n v="9961"/>
    <s v="cr54cll 2oeste"/>
    <n v="6532281"/>
    <n v="18"/>
    <m/>
  </r>
  <r>
    <s v="cooper"/>
    <x v="28"/>
    <n v="1"/>
    <s v="Und"/>
    <x v="2"/>
    <d v="2026-06-27T00:00:00"/>
    <m/>
    <m/>
    <x v="1"/>
    <n v="9961"/>
    <s v="cr54cll 2oeste"/>
    <n v="6522233"/>
    <n v="20"/>
    <m/>
  </r>
  <r>
    <s v="cooper"/>
    <x v="28"/>
    <n v="1"/>
    <s v="Und"/>
    <x v="2"/>
    <d v="2026-06-27T00:00:00"/>
    <m/>
    <m/>
    <x v="1"/>
    <n v="9961"/>
    <s v="cr54cll 2oeste"/>
    <n v="2258935"/>
    <n v="21"/>
    <m/>
  </r>
  <r>
    <s v="cooper"/>
    <x v="28"/>
    <n v="1"/>
    <s v="Und"/>
    <x v="2"/>
    <d v="2026-06-27T00:00:00"/>
    <m/>
    <m/>
    <x v="1"/>
    <n v="9961"/>
    <s v="cr54cll 2oeste"/>
    <n v="6532225"/>
    <n v="23"/>
    <m/>
  </r>
  <r>
    <s v="poste 10"/>
    <x v="43"/>
    <n v="1"/>
    <s v="Und"/>
    <x v="2"/>
    <d v="2026-07-08T00:00:00"/>
    <m/>
    <m/>
    <x v="1"/>
    <n v="9962"/>
    <s v="Mirador 360"/>
    <n v="3018792"/>
    <n v="1"/>
    <m/>
  </r>
  <r>
    <s v="poste 10"/>
    <x v="43"/>
    <n v="1"/>
    <s v="Und"/>
    <x v="2"/>
    <d v="2026-07-08T00:00:00"/>
    <m/>
    <m/>
    <x v="1"/>
    <n v="9962"/>
    <s v="Mirador 360"/>
    <n v="3018784"/>
    <n v="2"/>
    <m/>
  </r>
  <r>
    <s v="poste 10"/>
    <x v="43"/>
    <n v="1"/>
    <s v="Und"/>
    <x v="2"/>
    <d v="2026-07-08T00:00:00"/>
    <m/>
    <m/>
    <x v="1"/>
    <n v="9962"/>
    <s v="Mirador 360"/>
    <n v="3018776"/>
    <n v="3"/>
    <m/>
  </r>
  <r>
    <s v="poste 10"/>
    <x v="43"/>
    <n v="1"/>
    <s v="Und"/>
    <x v="2"/>
    <d v="2026-07-08T00:00:00"/>
    <m/>
    <m/>
    <x v="1"/>
    <n v="9962"/>
    <s v="Mirador 360"/>
    <n v="3018750"/>
    <n v="4"/>
    <m/>
  </r>
  <r>
    <s v="poste 10"/>
    <x v="43"/>
    <n v="1"/>
    <s v="Und"/>
    <x v="2"/>
    <d v="2026-07-08T00:00:00"/>
    <m/>
    <m/>
    <x v="1"/>
    <n v="9962"/>
    <s v="Mirador 360"/>
    <n v="3018741"/>
    <n v="5"/>
    <m/>
  </r>
  <r>
    <s v="poste 10"/>
    <x v="43"/>
    <n v="1"/>
    <s v="Und"/>
    <x v="2"/>
    <d v="2026-07-08T00:00:00"/>
    <m/>
    <m/>
    <x v="1"/>
    <n v="9962"/>
    <s v="Mirador 360"/>
    <n v="3018733"/>
    <n v="6"/>
    <m/>
  </r>
  <r>
    <s v="poste 10"/>
    <x v="43"/>
    <n v="1"/>
    <s v="Und"/>
    <x v="2"/>
    <d v="2026-07-08T00:00:00"/>
    <m/>
    <m/>
    <x v="1"/>
    <n v="9962"/>
    <s v="Mirador 360"/>
    <n v="3018679"/>
    <n v="7"/>
    <m/>
  </r>
  <r>
    <s v="poste 10"/>
    <x v="43"/>
    <n v="1"/>
    <s v="Und"/>
    <x v="2"/>
    <d v="2026-07-08T00:00:00"/>
    <m/>
    <m/>
    <x v="1"/>
    <n v="9962"/>
    <s v="Mirador 360"/>
    <n v="3018687"/>
    <n v="8"/>
    <m/>
  </r>
  <r>
    <s v="poste 10"/>
    <x v="43"/>
    <n v="1"/>
    <s v="Und"/>
    <x v="2"/>
    <d v="2026-07-08T00:00:00"/>
    <m/>
    <m/>
    <x v="1"/>
    <n v="9962"/>
    <s v="Mirador 360"/>
    <n v="3018695"/>
    <n v="9"/>
    <m/>
  </r>
  <r>
    <s v="poste 10"/>
    <x v="43"/>
    <n v="1"/>
    <s v="Und"/>
    <x v="2"/>
    <d v="2026-07-08T00:00:00"/>
    <m/>
    <m/>
    <x v="1"/>
    <n v="9962"/>
    <s v="Mirador 360"/>
    <n v="3018709"/>
    <n v="10"/>
    <m/>
  </r>
  <r>
    <s v="poste 10"/>
    <x v="43"/>
    <n v="1"/>
    <s v="Und"/>
    <x v="2"/>
    <d v="2026-07-08T00:00:00"/>
    <m/>
    <m/>
    <x v="1"/>
    <n v="9962"/>
    <s v="Mirador 360"/>
    <n v="3018717"/>
    <n v="11"/>
    <m/>
  </r>
  <r>
    <s v="poste 10"/>
    <x v="43"/>
    <n v="1"/>
    <s v="Und"/>
    <x v="2"/>
    <d v="2026-07-08T00:00:00"/>
    <m/>
    <m/>
    <x v="1"/>
    <n v="9962"/>
    <s v="Mirador 360"/>
    <n v="3018725"/>
    <n v="12"/>
    <m/>
  </r>
  <r>
    <s v="Foto"/>
    <x v="15"/>
    <n v="1"/>
    <s v="Und"/>
    <x v="2"/>
    <d v="2026-07-01T00:00:00"/>
    <m/>
    <m/>
    <x v="1"/>
    <n v="9963"/>
    <s v="cll 18oe cra 44"/>
    <n v="6529607"/>
    <n v="1"/>
    <m/>
  </r>
  <r>
    <s v="Foto"/>
    <x v="15"/>
    <n v="1"/>
    <s v="Und"/>
    <x v="2"/>
    <d v="2026-07-01T00:00:00"/>
    <m/>
    <m/>
    <x v="1"/>
    <n v="9963"/>
    <s v="cll 18oe cra 44"/>
    <n v="6529607"/>
    <n v="2"/>
    <m/>
  </r>
  <r>
    <s v="Foto"/>
    <x v="15"/>
    <n v="1"/>
    <s v="Und"/>
    <x v="2"/>
    <d v="2026-07-01T00:00:00"/>
    <m/>
    <m/>
    <x v="1"/>
    <n v="9963"/>
    <s v="cll 18oe cra 44"/>
    <n v="2147696"/>
    <n v="3"/>
    <m/>
  </r>
  <r>
    <s v="Foto"/>
    <x v="15"/>
    <n v="1"/>
    <s v="Und"/>
    <x v="2"/>
    <d v="2026-07-01T00:00:00"/>
    <m/>
    <m/>
    <x v="1"/>
    <n v="9963"/>
    <s v="cll 18oe cra 44"/>
    <n v="2147696"/>
    <n v="4"/>
    <m/>
  </r>
  <r>
    <s v="Foto"/>
    <x v="15"/>
    <n v="1"/>
    <s v="Und"/>
    <x v="2"/>
    <d v="2026-07-01T00:00:00"/>
    <m/>
    <m/>
    <x v="1"/>
    <n v="9963"/>
    <s v="cll 18oe cra 44"/>
    <n v="2295580"/>
    <n v="5"/>
    <m/>
  </r>
  <r>
    <s v="Foto"/>
    <x v="15"/>
    <n v="1"/>
    <s v="Und"/>
    <x v="2"/>
    <d v="2026-07-01T00:00:00"/>
    <m/>
    <m/>
    <x v="1"/>
    <n v="9963"/>
    <s v="cll 18oe cra 44"/>
    <n v="2295580"/>
    <n v="6"/>
    <m/>
  </r>
  <r>
    <s v="Foto"/>
    <x v="15"/>
    <n v="1"/>
    <s v="Und"/>
    <x v="2"/>
    <d v="2026-07-01T00:00:00"/>
    <m/>
    <m/>
    <x v="1"/>
    <n v="9963"/>
    <s v="cll 18oe cra 44"/>
    <n v="2295580"/>
    <n v="7"/>
    <m/>
  </r>
  <r>
    <s v="Foto"/>
    <x v="15"/>
    <n v="1"/>
    <s v="Und"/>
    <x v="2"/>
    <d v="2026-07-01T00:00:00"/>
    <m/>
    <m/>
    <x v="1"/>
    <n v="9963"/>
    <s v="cll 18oe cra 44"/>
    <n v="2295628"/>
    <n v="8"/>
    <m/>
  </r>
  <r>
    <s v="Foto"/>
    <x v="15"/>
    <n v="1"/>
    <s v="Und"/>
    <x v="2"/>
    <d v="2026-07-01T00:00:00"/>
    <m/>
    <m/>
    <x v="1"/>
    <n v="9963"/>
    <s v="cll 18oe cra 44"/>
    <n v="2295628"/>
    <n v="9"/>
    <m/>
  </r>
  <r>
    <s v="Foto"/>
    <x v="15"/>
    <n v="1"/>
    <s v="Und"/>
    <x v="2"/>
    <d v="2026-07-01T00:00:00"/>
    <m/>
    <m/>
    <x v="1"/>
    <n v="9963"/>
    <s v="cll 18oe cra 44"/>
    <n v="2295628"/>
    <n v="10"/>
    <m/>
  </r>
  <r>
    <s v="kit"/>
    <x v="10"/>
    <n v="1"/>
    <s v="Und"/>
    <x v="2"/>
    <d v="2026-07-01T00:00:00"/>
    <m/>
    <m/>
    <x v="1"/>
    <n v="9963"/>
    <s v="cll 18oe cra 44"/>
    <n v="2295580"/>
    <n v="5"/>
    <m/>
  </r>
  <r>
    <s v="kit"/>
    <x v="10"/>
    <n v="1"/>
    <s v="Und"/>
    <x v="2"/>
    <d v="2026-07-01T00:00:00"/>
    <m/>
    <m/>
    <x v="1"/>
    <n v="9963"/>
    <s v="cll 18oe cra 44"/>
    <n v="2295628"/>
    <n v="8"/>
    <m/>
  </r>
  <r>
    <s v="Maquina"/>
    <x v="26"/>
    <n v="2"/>
    <s v="Und"/>
    <x v="2"/>
    <d v="2026-07-01T00:00:00"/>
    <m/>
    <m/>
    <x v="1"/>
    <n v="9963"/>
    <s v="cll 18oe cra 44"/>
    <n v="2295580"/>
    <n v="5"/>
    <m/>
  </r>
  <r>
    <s v="Maquina"/>
    <x v="26"/>
    <n v="2"/>
    <s v="Und"/>
    <x v="2"/>
    <d v="2026-07-01T00:00:00"/>
    <m/>
    <m/>
    <x v="1"/>
    <n v="9963"/>
    <s v="cll 18oe cra 44"/>
    <n v="2295628"/>
    <n v="8"/>
    <m/>
  </r>
  <r>
    <s v="banda1"/>
    <x v="22"/>
    <n v="2"/>
    <s v="Und"/>
    <x v="0"/>
    <d v="2026-07-18T00:00:00"/>
    <m/>
    <m/>
    <x v="2"/>
    <n v="9968"/>
    <m/>
    <m/>
    <m/>
    <m/>
  </r>
  <r>
    <s v="ciega1"/>
    <x v="44"/>
    <n v="10"/>
    <s v="Und"/>
    <x v="0"/>
    <d v="2026-07-18T00:00:00"/>
    <m/>
    <m/>
    <x v="2"/>
    <n v="9968"/>
    <m/>
    <m/>
    <m/>
    <m/>
  </r>
  <r>
    <s v="brazo1"/>
    <x v="21"/>
    <n v="9"/>
    <s v="Und"/>
    <x v="0"/>
    <d v="2026-07-18T00:00:00"/>
    <m/>
    <m/>
    <x v="2"/>
    <n v="9968"/>
    <m/>
    <m/>
    <m/>
    <m/>
  </r>
  <r>
    <s v="#4"/>
    <x v="41"/>
    <n v="120"/>
    <s v="Mts"/>
    <x v="0"/>
    <d v="2026-07-18T00:00:00"/>
    <m/>
    <m/>
    <x v="2"/>
    <n v="9968"/>
    <m/>
    <m/>
    <m/>
    <m/>
  </r>
  <r>
    <s v="3*14"/>
    <x v="3"/>
    <n v="50"/>
    <s v="Und"/>
    <x v="0"/>
    <d v="2026-07-18T00:00:00"/>
    <m/>
    <m/>
    <x v="2"/>
    <n v="9968"/>
    <m/>
    <m/>
    <m/>
    <m/>
  </r>
  <r>
    <s v="capacete"/>
    <x v="38"/>
    <n v="3"/>
    <s v="Und"/>
    <x v="0"/>
    <d v="2026-07-18T00:00:00"/>
    <m/>
    <m/>
    <x v="2"/>
    <n v="9968"/>
    <m/>
    <m/>
    <m/>
    <m/>
  </r>
  <r>
    <s v="super23"/>
    <x v="45"/>
    <n v="1"/>
    <s v="Und"/>
    <x v="0"/>
    <d v="2026-07-18T00:00:00"/>
    <m/>
    <m/>
    <x v="2"/>
    <n v="9968"/>
    <m/>
    <m/>
    <m/>
    <m/>
  </r>
  <r>
    <s v="bandit"/>
    <x v="4"/>
    <n v="10"/>
    <s v="Mts"/>
    <x v="0"/>
    <d v="2026-07-18T00:00:00"/>
    <m/>
    <m/>
    <x v="2"/>
    <n v="9968"/>
    <m/>
    <m/>
    <m/>
    <m/>
  </r>
  <r>
    <s v="concertina"/>
    <x v="50"/>
    <n v="30"/>
    <s v="Mts"/>
    <x v="0"/>
    <d v="2026-07-18T00:00:00"/>
    <m/>
    <m/>
    <x v="2"/>
    <n v="9968"/>
    <m/>
    <m/>
    <m/>
    <m/>
  </r>
  <r>
    <s v="conec1"/>
    <x v="6"/>
    <n v="30"/>
    <s v="Und"/>
    <x v="0"/>
    <d v="2026-07-18T00:00:00"/>
    <m/>
    <m/>
    <x v="2"/>
    <n v="9968"/>
    <m/>
    <m/>
    <m/>
    <m/>
  </r>
  <r>
    <s v="conec2"/>
    <x v="7"/>
    <n v="15"/>
    <s v="Und"/>
    <x v="0"/>
    <d v="2026-07-18T00:00:00"/>
    <m/>
    <m/>
    <x v="2"/>
    <n v="9968"/>
    <m/>
    <m/>
    <m/>
    <m/>
  </r>
  <r>
    <s v="conec3"/>
    <x v="29"/>
    <n v="1"/>
    <s v="Und"/>
    <x v="0"/>
    <d v="2026-07-18T00:00:00"/>
    <m/>
    <m/>
    <x v="2"/>
    <n v="9968"/>
    <m/>
    <m/>
    <m/>
    <m/>
  </r>
  <r>
    <s v="gel1"/>
    <x v="8"/>
    <n v="16"/>
    <s v="Und"/>
    <x v="0"/>
    <d v="2026-07-18T00:00:00"/>
    <m/>
    <m/>
    <x v="2"/>
    <n v="9968"/>
    <m/>
    <m/>
    <m/>
    <m/>
  </r>
  <r>
    <s v="Foto"/>
    <x v="15"/>
    <n v="23"/>
    <s v="Und"/>
    <x v="0"/>
    <d v="2026-07-18T00:00:00"/>
    <m/>
    <m/>
    <x v="2"/>
    <n v="9968"/>
    <m/>
    <m/>
    <m/>
    <m/>
  </r>
  <r>
    <s v="grillete"/>
    <x v="24"/>
    <n v="18"/>
    <s v="Und"/>
    <x v="0"/>
    <d v="2026-07-18T00:00:00"/>
    <m/>
    <m/>
    <x v="2"/>
    <n v="9968"/>
    <m/>
    <m/>
    <m/>
    <m/>
  </r>
  <r>
    <s v="hebilla"/>
    <x v="5"/>
    <n v="20"/>
    <s v="Und"/>
    <x v="0"/>
    <d v="2026-07-18T00:00:00"/>
    <m/>
    <m/>
    <x v="2"/>
    <n v="9968"/>
    <m/>
    <m/>
    <m/>
    <m/>
  </r>
  <r>
    <s v="lum-75"/>
    <x v="16"/>
    <n v="9"/>
    <s v="Und"/>
    <x v="0"/>
    <d v="2026-07-18T00:00:00"/>
    <m/>
    <m/>
    <x v="2"/>
    <n v="9968"/>
    <m/>
    <m/>
    <m/>
    <m/>
  </r>
  <r>
    <s v="poste 10"/>
    <x v="43"/>
    <n v="1"/>
    <s v="Und"/>
    <x v="0"/>
    <d v="2026-07-18T00:00:00"/>
    <m/>
    <m/>
    <x v="2"/>
    <n v="9968"/>
    <m/>
    <m/>
    <m/>
    <m/>
  </r>
  <r>
    <s v="tubo 3"/>
    <x v="12"/>
    <n v="2"/>
    <s v="Und"/>
    <x v="0"/>
    <d v="2026-07-18T00:00:00"/>
    <m/>
    <m/>
    <x v="2"/>
    <n v="9968"/>
    <m/>
    <m/>
    <m/>
    <m/>
  </r>
  <r>
    <s v="conduit"/>
    <x v="37"/>
    <n v="6"/>
    <s v="Und"/>
    <x v="0"/>
    <d v="2026-07-18T00:00:00"/>
    <m/>
    <m/>
    <x v="2"/>
    <n v="9968"/>
    <m/>
    <m/>
    <m/>
    <m/>
  </r>
  <r>
    <s v="tubo 2"/>
    <x v="51"/>
    <n v="6"/>
    <s v="Und"/>
    <x v="0"/>
    <d v="2026-07-18T00:00:00"/>
    <m/>
    <m/>
    <x v="2"/>
    <n v="9968"/>
    <m/>
    <m/>
    <m/>
    <m/>
  </r>
  <r>
    <s v="tuerca"/>
    <x v="27"/>
    <n v="14"/>
    <s v="Und"/>
    <x v="0"/>
    <d v="2026-07-18T00:00:00"/>
    <m/>
    <m/>
    <x v="2"/>
    <n v="9968"/>
    <m/>
    <m/>
    <m/>
    <m/>
  </r>
  <r>
    <s v="cooper"/>
    <x v="28"/>
    <n v="1"/>
    <s v="Und"/>
    <x v="0"/>
    <d v="2026-07-18T00:00:00"/>
    <m/>
    <m/>
    <x v="2"/>
    <n v="9968"/>
    <m/>
    <m/>
    <m/>
    <m/>
  </r>
  <r>
    <s v="pro- 90"/>
    <x v="31"/>
    <n v="1"/>
    <s v="Und"/>
    <x v="0"/>
    <d v="2026-07-18T00:00:00"/>
    <s v="CURRENT"/>
    <s v="6PB0295"/>
    <x v="2"/>
    <n v="9968"/>
    <m/>
    <m/>
    <m/>
    <m/>
  </r>
  <r>
    <s v="pro- 90"/>
    <x v="31"/>
    <n v="1"/>
    <s v="Und"/>
    <x v="0"/>
    <d v="2026-07-18T00:00:00"/>
    <s v="CURRENT"/>
    <s v="6PB0302"/>
    <x v="2"/>
    <n v="9968"/>
    <m/>
    <m/>
    <m/>
    <m/>
  </r>
  <r>
    <s v="pro- 90"/>
    <x v="31"/>
    <n v="1"/>
    <s v="Und"/>
    <x v="0"/>
    <d v="2026-07-18T00:00:00"/>
    <s v="CURRENT"/>
    <s v="6PB0299"/>
    <x v="2"/>
    <n v="9968"/>
    <m/>
    <m/>
    <m/>
    <m/>
  </r>
  <r>
    <s v="pro- 90"/>
    <x v="31"/>
    <n v="1"/>
    <s v="Und"/>
    <x v="0"/>
    <d v="2026-07-18T00:00:00"/>
    <s v="CURRENT"/>
    <s v="6PB0286"/>
    <x v="2"/>
    <n v="9968"/>
    <m/>
    <m/>
    <m/>
    <m/>
  </r>
  <r>
    <s v="pro- 90"/>
    <x v="31"/>
    <n v="1"/>
    <s v="Und"/>
    <x v="0"/>
    <d v="2026-07-18T00:00:00"/>
    <s v="CURRENT"/>
    <s v="6PB0288"/>
    <x v="2"/>
    <n v="9968"/>
    <m/>
    <m/>
    <m/>
    <m/>
  </r>
  <r>
    <s v="pro- 90"/>
    <x v="31"/>
    <n v="1"/>
    <s v="Und"/>
    <x v="0"/>
    <d v="2026-07-18T00:00:00"/>
    <s v="CURRENT"/>
    <s v="6PB0305"/>
    <x v="2"/>
    <n v="9968"/>
    <m/>
    <m/>
    <m/>
    <m/>
  </r>
  <r>
    <s v="pro-190"/>
    <x v="19"/>
    <n v="1"/>
    <s v="Und"/>
    <x v="2"/>
    <m/>
    <s v="CURRENT"/>
    <s v="6PD0158"/>
    <x v="1"/>
    <n v="9959"/>
    <m/>
    <m/>
    <n v="17"/>
    <m/>
  </r>
  <r>
    <s v="pro-190"/>
    <x v="19"/>
    <n v="1"/>
    <s v="Und"/>
    <x v="0"/>
    <d v="2026-06-25T00:00:00"/>
    <s v="CURRENT"/>
    <s v="6PD0158"/>
    <x v="1"/>
    <n v="9959"/>
    <s v="cr42b-cl11/13"/>
    <m/>
    <m/>
    <m/>
  </r>
  <r>
    <s v="pro-190"/>
    <x v="19"/>
    <n v="1"/>
    <s v="Und"/>
    <x v="2"/>
    <m/>
    <s v="CURRENT"/>
    <s v="6PD0159"/>
    <x v="1"/>
    <n v="9959"/>
    <m/>
    <m/>
    <n v="10"/>
    <m/>
  </r>
  <r>
    <s v="pro-190"/>
    <x v="19"/>
    <n v="1"/>
    <s v="Und"/>
    <x v="0"/>
    <d v="2026-06-25T00:00:00"/>
    <s v="CURRENT"/>
    <s v="6PD0159"/>
    <x v="1"/>
    <n v="9959"/>
    <s v="cr42b-cl11/13"/>
    <m/>
    <m/>
    <m/>
  </r>
  <r>
    <s v="pro-190"/>
    <x v="19"/>
    <n v="1"/>
    <s v="Und"/>
    <x v="2"/>
    <m/>
    <s v="CURRENT"/>
    <s v="6PD0160"/>
    <x v="1"/>
    <n v="9959"/>
    <m/>
    <m/>
    <n v="5"/>
    <m/>
  </r>
  <r>
    <s v="pro-190"/>
    <x v="19"/>
    <n v="1"/>
    <s v="Und"/>
    <x v="0"/>
    <d v="2026-06-25T00:00:00"/>
    <s v="CURRENT"/>
    <s v="6PD0160"/>
    <x v="1"/>
    <n v="9959"/>
    <s v="cr42b-cl11/13"/>
    <m/>
    <m/>
    <m/>
  </r>
  <r>
    <s v="pro-190"/>
    <x v="19"/>
    <n v="1"/>
    <s v="Und"/>
    <x v="2"/>
    <m/>
    <s v="CURRENT"/>
    <s v="6PD0161"/>
    <x v="1"/>
    <n v="9959"/>
    <m/>
    <m/>
    <n v="11"/>
    <m/>
  </r>
  <r>
    <s v="pro-190"/>
    <x v="19"/>
    <n v="1"/>
    <s v="Und"/>
    <x v="0"/>
    <d v="2026-06-25T00:00:00"/>
    <s v="CURRENT"/>
    <s v="6PD0161"/>
    <x v="1"/>
    <n v="9959"/>
    <s v="cr42b-cl11/13"/>
    <m/>
    <m/>
    <m/>
  </r>
  <r>
    <s v="ciega1"/>
    <x v="44"/>
    <n v="10"/>
    <s v="Und"/>
    <x v="0"/>
    <d v="2026-07-18T00:00:00"/>
    <m/>
    <m/>
    <x v="2"/>
    <n v="9971"/>
    <m/>
    <m/>
    <m/>
    <m/>
  </r>
  <r>
    <s v="3*14"/>
    <x v="3"/>
    <n v="90"/>
    <s v="Mts"/>
    <x v="0"/>
    <d v="2026-07-18T00:00:00"/>
    <m/>
    <m/>
    <x v="2"/>
    <n v="9971"/>
    <m/>
    <m/>
    <m/>
    <m/>
  </r>
  <r>
    <s v="super23"/>
    <x v="45"/>
    <n v="1"/>
    <s v="Und"/>
    <x v="0"/>
    <d v="2026-07-18T00:00:00"/>
    <m/>
    <m/>
    <x v="2"/>
    <n v="9971"/>
    <m/>
    <m/>
    <m/>
    <m/>
  </r>
  <r>
    <s v="concertina"/>
    <x v="50"/>
    <n v="24"/>
    <s v="Mts"/>
    <x v="0"/>
    <d v="2026-07-18T00:00:00"/>
    <m/>
    <m/>
    <x v="2"/>
    <n v="9971"/>
    <m/>
    <m/>
    <m/>
    <m/>
  </r>
  <r>
    <s v="conec2"/>
    <x v="7"/>
    <n v="27"/>
    <s v="Und"/>
    <x v="0"/>
    <d v="2026-07-18T00:00:00"/>
    <m/>
    <m/>
    <x v="2"/>
    <n v="9971"/>
    <m/>
    <m/>
    <m/>
    <m/>
  </r>
  <r>
    <s v="conec3"/>
    <x v="29"/>
    <n v="3"/>
    <s v="Und"/>
    <x v="0"/>
    <d v="2026-07-18T00:00:00"/>
    <m/>
    <m/>
    <x v="2"/>
    <n v="9971"/>
    <m/>
    <m/>
    <m/>
    <m/>
  </r>
  <r>
    <s v="gel1"/>
    <x v="8"/>
    <n v="18"/>
    <s v="Und"/>
    <x v="0"/>
    <d v="2026-07-18T00:00:00"/>
    <m/>
    <m/>
    <x v="2"/>
    <n v="9971"/>
    <m/>
    <m/>
    <m/>
    <m/>
  </r>
  <r>
    <s v="Foto"/>
    <x v="15"/>
    <n v="19"/>
    <s v="Und"/>
    <x v="0"/>
    <d v="2026-07-18T00:00:00"/>
    <m/>
    <m/>
    <x v="2"/>
    <n v="9971"/>
    <m/>
    <m/>
    <m/>
    <m/>
  </r>
  <r>
    <s v="grillete"/>
    <x v="24"/>
    <n v="38"/>
    <s v="Und"/>
    <x v="0"/>
    <d v="2026-07-18T00:00:00"/>
    <m/>
    <m/>
    <x v="2"/>
    <n v="9971"/>
    <m/>
    <m/>
    <m/>
    <m/>
  </r>
  <r>
    <s v="cooper"/>
    <x v="28"/>
    <n v="3"/>
    <s v="Und"/>
    <x v="0"/>
    <d v="2026-07-18T00:00:00"/>
    <m/>
    <m/>
    <x v="2"/>
    <n v="9971"/>
    <m/>
    <m/>
    <m/>
    <m/>
  </r>
  <r>
    <s v="lum-75"/>
    <x v="16"/>
    <n v="1"/>
    <s v="Und"/>
    <x v="0"/>
    <d v="2026-07-18T00:00:00"/>
    <s v="CURRENT"/>
    <s v="6E00550"/>
    <x v="2"/>
    <n v="9971"/>
    <m/>
    <m/>
    <m/>
    <m/>
  </r>
  <r>
    <s v="lum-75"/>
    <x v="16"/>
    <n v="1"/>
    <s v="Und"/>
    <x v="0"/>
    <d v="2026-07-18T00:00:00"/>
    <s v="CURRENT"/>
    <s v="6E00124"/>
    <x v="2"/>
    <n v="9971"/>
    <m/>
    <m/>
    <m/>
    <m/>
  </r>
  <r>
    <s v="lum-75"/>
    <x v="16"/>
    <n v="1"/>
    <s v="Und"/>
    <x v="0"/>
    <d v="2026-07-18T00:00:00"/>
    <s v="CURRENT"/>
    <s v="6E00295"/>
    <x v="2"/>
    <n v="9971"/>
    <m/>
    <m/>
    <m/>
    <m/>
  </r>
  <r>
    <s v="lum-75"/>
    <x v="16"/>
    <n v="1"/>
    <s v="Und"/>
    <x v="0"/>
    <d v="2026-07-18T00:00:00"/>
    <s v="CURRENT"/>
    <s v="6E00475"/>
    <x v="2"/>
    <n v="9971"/>
    <m/>
    <m/>
    <m/>
    <m/>
  </r>
  <r>
    <s v="lum-75"/>
    <x v="16"/>
    <n v="1"/>
    <s v="Und"/>
    <x v="0"/>
    <d v="2026-07-18T00:00:00"/>
    <s v="CURRENT"/>
    <s v="6E00483"/>
    <x v="2"/>
    <n v="9971"/>
    <m/>
    <m/>
    <m/>
    <m/>
  </r>
  <r>
    <s v="lum-75"/>
    <x v="16"/>
    <n v="1"/>
    <s v="Und"/>
    <x v="0"/>
    <d v="2026-07-18T00:00:00"/>
    <s v="CURRENT"/>
    <s v="6E00412"/>
    <x v="2"/>
    <n v="9971"/>
    <m/>
    <m/>
    <m/>
    <m/>
  </r>
  <r>
    <s v="lum-75"/>
    <x v="16"/>
    <n v="1"/>
    <s v="Und"/>
    <x v="0"/>
    <d v="2026-07-18T00:00:00"/>
    <s v="CURRENT"/>
    <s v="6E00479"/>
    <x v="2"/>
    <n v="9971"/>
    <m/>
    <m/>
    <m/>
    <m/>
  </r>
  <r>
    <s v="lum-75"/>
    <x v="16"/>
    <n v="1"/>
    <s v="Und"/>
    <x v="0"/>
    <d v="2026-07-18T00:00:00"/>
    <s v="CURRENT"/>
    <s v="6E00540"/>
    <x v="2"/>
    <n v="9971"/>
    <m/>
    <m/>
    <m/>
    <m/>
  </r>
  <r>
    <s v="lum-75"/>
    <x v="16"/>
    <n v="1"/>
    <s v="Und"/>
    <x v="0"/>
    <d v="2026-07-18T00:00:00"/>
    <s v="CURRENT"/>
    <s v="6E00413"/>
    <x v="2"/>
    <n v="9971"/>
    <m/>
    <m/>
    <m/>
    <m/>
  </r>
  <r>
    <s v="lum-75"/>
    <x v="16"/>
    <n v="1"/>
    <s v="Und"/>
    <x v="0"/>
    <d v="2026-07-18T00:00:00"/>
    <s v="CURRENT"/>
    <s v="6E00472"/>
    <x v="2"/>
    <n v="9971"/>
    <m/>
    <m/>
    <m/>
    <m/>
  </r>
  <r>
    <s v="lum-75"/>
    <x v="16"/>
    <n v="1"/>
    <s v="Und"/>
    <x v="0"/>
    <d v="2026-07-18T00:00:00"/>
    <s v="CURRENT"/>
    <s v="6E00434"/>
    <x v="2"/>
    <n v="9971"/>
    <m/>
    <m/>
    <m/>
    <m/>
  </r>
  <r>
    <s v="lum-75"/>
    <x v="16"/>
    <n v="1"/>
    <s v="Und"/>
    <x v="0"/>
    <d v="2026-07-18T00:00:00"/>
    <s v="CURRENT"/>
    <s v="6E00557"/>
    <x v="2"/>
    <n v="9971"/>
    <m/>
    <m/>
    <m/>
    <m/>
  </r>
  <r>
    <s v="lum-75"/>
    <x v="16"/>
    <n v="1"/>
    <s v="Und"/>
    <x v="0"/>
    <d v="2026-07-18T00:00:00"/>
    <s v="CURRENT"/>
    <s v="6E00432"/>
    <x v="2"/>
    <n v="9971"/>
    <m/>
    <m/>
    <m/>
    <m/>
  </r>
  <r>
    <s v="lum-75"/>
    <x v="16"/>
    <n v="1"/>
    <s v="Und"/>
    <x v="0"/>
    <d v="2026-07-18T00:00:00"/>
    <s v="CURRENT"/>
    <s v="6E00509"/>
    <x v="2"/>
    <n v="9971"/>
    <m/>
    <m/>
    <m/>
    <m/>
  </r>
  <r>
    <s v="lum-75"/>
    <x v="16"/>
    <n v="1"/>
    <s v="Und"/>
    <x v="0"/>
    <d v="2026-07-18T00:00:00"/>
    <s v="CURRENT"/>
    <s v="6E00460"/>
    <x v="2"/>
    <n v="9971"/>
    <m/>
    <m/>
    <m/>
    <m/>
  </r>
  <r>
    <s v="lum-75"/>
    <x v="16"/>
    <n v="1"/>
    <s v="Und"/>
    <x v="0"/>
    <d v="2026-07-18T00:00:00"/>
    <s v="CURRENT"/>
    <s v="6E00327"/>
    <x v="2"/>
    <n v="9971"/>
    <m/>
    <m/>
    <m/>
    <m/>
  </r>
  <r>
    <s v="lum-75"/>
    <x v="16"/>
    <n v="1"/>
    <s v="Und"/>
    <x v="0"/>
    <d v="2026-07-18T00:00:00"/>
    <s v="CURRENT"/>
    <s v="6E00549"/>
    <x v="2"/>
    <n v="9971"/>
    <m/>
    <m/>
    <m/>
    <m/>
  </r>
  <r>
    <s v="lum-75"/>
    <x v="16"/>
    <n v="1"/>
    <s v="Und"/>
    <x v="0"/>
    <d v="2026-07-18T00:00:00"/>
    <s v="CURRENT"/>
    <s v="6E00547"/>
    <x v="2"/>
    <n v="9971"/>
    <m/>
    <m/>
    <m/>
    <m/>
  </r>
  <r>
    <s v="lum-75"/>
    <x v="16"/>
    <n v="1"/>
    <s v="Und"/>
    <x v="0"/>
    <d v="2026-07-18T00:00:00"/>
    <s v="CURRENT"/>
    <s v="6E00542"/>
    <x v="2"/>
    <n v="9971"/>
    <m/>
    <m/>
    <m/>
    <m/>
  </r>
  <r>
    <s v="CIEGA1"/>
    <x v="44"/>
    <n v="15"/>
    <s v="Und"/>
    <x v="0"/>
    <m/>
    <m/>
    <m/>
    <x v="2"/>
    <n v="9972"/>
    <m/>
    <m/>
    <m/>
    <m/>
  </r>
  <r>
    <s v="alambre 14"/>
    <x v="40"/>
    <n v="30"/>
    <s v="Mts"/>
    <x v="0"/>
    <m/>
    <m/>
    <m/>
    <x v="2"/>
    <n v="9972"/>
    <m/>
    <m/>
    <m/>
    <m/>
  </r>
  <r>
    <s v="brazo1"/>
    <x v="21"/>
    <n v="15"/>
    <s v="Und"/>
    <x v="2"/>
    <m/>
    <m/>
    <m/>
    <x v="2"/>
    <n v="9972"/>
    <m/>
    <m/>
    <m/>
    <m/>
  </r>
  <r>
    <s v="3*14"/>
    <x v="3"/>
    <n v="112"/>
    <s v="Mts"/>
    <x v="0"/>
    <m/>
    <m/>
    <m/>
    <x v="2"/>
    <n v="9972"/>
    <m/>
    <m/>
    <m/>
    <m/>
  </r>
  <r>
    <s v="capacete"/>
    <x v="38"/>
    <n v="1"/>
    <s v="Und"/>
    <x v="0"/>
    <m/>
    <m/>
    <m/>
    <x v="2"/>
    <n v="9972"/>
    <m/>
    <m/>
    <m/>
    <m/>
  </r>
  <r>
    <s v="super23"/>
    <x v="45"/>
    <n v="3"/>
    <s v="Und"/>
    <x v="0"/>
    <m/>
    <m/>
    <m/>
    <x v="2"/>
    <n v="9972"/>
    <m/>
    <m/>
    <m/>
    <m/>
  </r>
  <r>
    <s v="bandit"/>
    <x v="4"/>
    <n v="3"/>
    <s v="Und"/>
    <x v="0"/>
    <m/>
    <m/>
    <m/>
    <x v="2"/>
    <n v="9972"/>
    <m/>
    <m/>
    <m/>
    <m/>
  </r>
  <r>
    <s v="conec1"/>
    <x v="6"/>
    <n v="18"/>
    <s v="Und"/>
    <x v="0"/>
    <m/>
    <m/>
    <m/>
    <x v="2"/>
    <n v="9972"/>
    <m/>
    <m/>
    <m/>
    <m/>
  </r>
  <r>
    <s v="conec2"/>
    <x v="7"/>
    <n v="24"/>
    <s v="Und"/>
    <x v="0"/>
    <m/>
    <m/>
    <m/>
    <x v="2"/>
    <n v="9972"/>
    <m/>
    <m/>
    <m/>
    <m/>
  </r>
  <r>
    <s v="conec3"/>
    <x v="29"/>
    <n v="3"/>
    <s v="Und"/>
    <x v="0"/>
    <m/>
    <m/>
    <m/>
    <x v="2"/>
    <n v="9972"/>
    <m/>
    <m/>
    <m/>
    <m/>
  </r>
  <r>
    <s v="gel1"/>
    <x v="8"/>
    <n v="20"/>
    <s v="Und"/>
    <x v="0"/>
    <m/>
    <m/>
    <m/>
    <x v="2"/>
    <n v="9972"/>
    <m/>
    <m/>
    <m/>
    <m/>
  </r>
  <r>
    <s v="Foto"/>
    <x v="15"/>
    <n v="21"/>
    <s v="Und"/>
    <x v="0"/>
    <m/>
    <m/>
    <m/>
    <x v="2"/>
    <n v="9972"/>
    <m/>
    <m/>
    <m/>
    <m/>
  </r>
  <r>
    <s v="grillete"/>
    <x v="24"/>
    <n v="30"/>
    <s v="Und"/>
    <x v="0"/>
    <m/>
    <m/>
    <m/>
    <x v="2"/>
    <n v="9972"/>
    <m/>
    <m/>
    <m/>
    <m/>
  </r>
  <r>
    <s v="hebilla"/>
    <x v="5"/>
    <n v="5"/>
    <s v="Und"/>
    <x v="0"/>
    <m/>
    <m/>
    <m/>
    <x v="2"/>
    <n v="9972"/>
    <m/>
    <m/>
    <m/>
    <m/>
  </r>
  <r>
    <s v="tubo 1"/>
    <x v="52"/>
    <n v="2"/>
    <s v="Und"/>
    <x v="0"/>
    <m/>
    <m/>
    <m/>
    <x v="2"/>
    <n v="9972"/>
    <m/>
    <m/>
    <m/>
    <m/>
  </r>
  <r>
    <s v="tuerca"/>
    <x v="27"/>
    <n v="6"/>
    <s v="Und"/>
    <x v="0"/>
    <m/>
    <m/>
    <m/>
    <x v="2"/>
    <n v="9972"/>
    <m/>
    <m/>
    <m/>
    <m/>
  </r>
  <r>
    <s v="cooper"/>
    <x v="28"/>
    <n v="3"/>
    <s v="Und"/>
    <x v="0"/>
    <m/>
    <m/>
    <m/>
    <x v="2"/>
    <n v="9972"/>
    <m/>
    <m/>
    <m/>
    <m/>
  </r>
  <r>
    <s v="lum-110"/>
    <x v="20"/>
    <n v="1"/>
    <s v="Und"/>
    <x v="0"/>
    <d v="2026-07-18T00:00:00"/>
    <s v="CURRENT"/>
    <s v="6G00174"/>
    <x v="2"/>
    <n v="9972"/>
    <m/>
    <m/>
    <m/>
    <m/>
  </r>
  <r>
    <s v="lum-110"/>
    <x v="20"/>
    <n v="1"/>
    <s v="Und"/>
    <x v="0"/>
    <d v="2026-07-18T00:00:00"/>
    <s v="CURRENT"/>
    <s v="6G00192"/>
    <x v="2"/>
    <n v="9972"/>
    <m/>
    <m/>
    <m/>
    <m/>
  </r>
  <r>
    <s v="lum-110"/>
    <x v="20"/>
    <n v="1"/>
    <s v="Und"/>
    <x v="0"/>
    <d v="2026-07-18T00:00:00"/>
    <s v="CURRENT"/>
    <s v="6G00176"/>
    <x v="2"/>
    <n v="9972"/>
    <m/>
    <m/>
    <m/>
    <m/>
  </r>
  <r>
    <s v="lum-110"/>
    <x v="20"/>
    <n v="1"/>
    <s v="Und"/>
    <x v="0"/>
    <d v="2026-07-18T00:00:00"/>
    <s v="CURRENT"/>
    <s v="6G00143"/>
    <x v="2"/>
    <n v="9972"/>
    <m/>
    <m/>
    <m/>
    <m/>
  </r>
  <r>
    <s v="lum-110"/>
    <x v="20"/>
    <n v="1"/>
    <s v="Und"/>
    <x v="0"/>
    <d v="2026-07-18T00:00:00"/>
    <s v="CURRENT"/>
    <s v="6G00170"/>
    <x v="2"/>
    <n v="9972"/>
    <m/>
    <m/>
    <m/>
    <m/>
  </r>
  <r>
    <s v="lum-110"/>
    <x v="20"/>
    <n v="1"/>
    <s v="Und"/>
    <x v="0"/>
    <d v="2026-07-18T00:00:00"/>
    <s v="CURRENT"/>
    <s v="6G00199"/>
    <x v="2"/>
    <n v="9972"/>
    <m/>
    <m/>
    <m/>
    <m/>
  </r>
  <r>
    <s v="lum-110"/>
    <x v="20"/>
    <n v="1"/>
    <s v="Und"/>
    <x v="0"/>
    <d v="2026-07-18T00:00:00"/>
    <s v="CURRENT"/>
    <s v="6G00166"/>
    <x v="2"/>
    <n v="9972"/>
    <m/>
    <m/>
    <m/>
    <m/>
  </r>
  <r>
    <s v="lum-110"/>
    <x v="20"/>
    <n v="1"/>
    <s v="Und"/>
    <x v="0"/>
    <d v="2026-07-18T00:00:00"/>
    <s v="CURRENT"/>
    <s v="6G00200"/>
    <x v="2"/>
    <n v="9972"/>
    <m/>
    <m/>
    <m/>
    <m/>
  </r>
  <r>
    <s v="lum-110"/>
    <x v="20"/>
    <n v="1"/>
    <s v="Und"/>
    <x v="0"/>
    <d v="2026-07-18T00:00:00"/>
    <s v="CURRENT"/>
    <s v="6G00183"/>
    <x v="2"/>
    <n v="9972"/>
    <m/>
    <m/>
    <m/>
    <m/>
  </r>
  <r>
    <s v="lum-110"/>
    <x v="20"/>
    <n v="1"/>
    <s v="Und"/>
    <x v="0"/>
    <d v="2026-07-18T00:00:00"/>
    <s v="CURRENT"/>
    <s v="6G00175"/>
    <x v="2"/>
    <n v="9972"/>
    <m/>
    <m/>
    <m/>
    <m/>
  </r>
  <r>
    <s v="lum-110"/>
    <x v="20"/>
    <n v="1"/>
    <s v="Und"/>
    <x v="0"/>
    <d v="2026-07-18T00:00:00"/>
    <s v="CURRENT"/>
    <s v="6G00154"/>
    <x v="2"/>
    <n v="9972"/>
    <m/>
    <m/>
    <m/>
    <m/>
  </r>
  <r>
    <s v="lum-110"/>
    <x v="20"/>
    <n v="1"/>
    <s v="Und"/>
    <x v="0"/>
    <d v="2026-07-18T00:00:00"/>
    <s v="CURRENT"/>
    <s v="6G00172"/>
    <x v="2"/>
    <n v="9972"/>
    <m/>
    <m/>
    <m/>
    <m/>
  </r>
  <r>
    <s v="lum-110"/>
    <x v="20"/>
    <n v="1"/>
    <s v="Und"/>
    <x v="0"/>
    <d v="2026-07-18T00:00:00"/>
    <s v="CURRENT"/>
    <s v="6G00147"/>
    <x v="2"/>
    <n v="9972"/>
    <m/>
    <m/>
    <m/>
    <m/>
  </r>
  <r>
    <s v="lum-110"/>
    <x v="20"/>
    <n v="1"/>
    <s v="Und"/>
    <x v="0"/>
    <d v="2026-07-18T00:00:00"/>
    <s v="CURRENT"/>
    <s v="6G00171"/>
    <x v="2"/>
    <n v="9972"/>
    <m/>
    <m/>
    <m/>
    <m/>
  </r>
  <r>
    <s v="lum-110"/>
    <x v="20"/>
    <n v="1"/>
    <s v="Und"/>
    <x v="0"/>
    <d v="2026-07-18T00:00:00"/>
    <s v="CURRENT"/>
    <s v="6G00138"/>
    <x v="2"/>
    <n v="9972"/>
    <m/>
    <m/>
    <m/>
    <m/>
  </r>
  <r>
    <s v="pro-190"/>
    <x v="19"/>
    <n v="1"/>
    <s v="Und"/>
    <x v="2"/>
    <m/>
    <s v="CURRENT"/>
    <s v="6PD0162"/>
    <x v="1"/>
    <n v="9959"/>
    <m/>
    <m/>
    <n v="15"/>
    <m/>
  </r>
  <r>
    <s v="pro-190"/>
    <x v="19"/>
    <n v="1"/>
    <s v="Und"/>
    <x v="0"/>
    <d v="2026-06-25T00:00:00"/>
    <s v="CURRENT"/>
    <s v="6PD0162"/>
    <x v="1"/>
    <n v="9959"/>
    <s v="cr42b-cl11/13"/>
    <m/>
    <m/>
    <m/>
  </r>
  <r>
    <s v="pro-190"/>
    <x v="19"/>
    <n v="1"/>
    <s v="Und"/>
    <x v="0"/>
    <d v="2026-06-25T00:00:00"/>
    <s v="CURRENT"/>
    <s v="6PD0163"/>
    <x v="1"/>
    <n v="9959"/>
    <s v="cr42b-cl11/13"/>
    <m/>
    <m/>
    <m/>
  </r>
  <r>
    <s v="pro-190"/>
    <x v="19"/>
    <n v="1"/>
    <s v="Und"/>
    <x v="2"/>
    <m/>
    <s v="CURRENT"/>
    <s v="6PD0163"/>
    <x v="1"/>
    <n v="9959"/>
    <m/>
    <m/>
    <n v="4"/>
    <m/>
  </r>
  <r>
    <s v="pro-190"/>
    <x v="19"/>
    <n v="1"/>
    <s v="Und"/>
    <x v="0"/>
    <d v="2026-06-25T00:00:00"/>
    <s v="CURRENT"/>
    <s v="6PD0164"/>
    <x v="1"/>
    <n v="9959"/>
    <s v="cr42b-cl11/13"/>
    <m/>
    <m/>
    <m/>
  </r>
  <r>
    <s v="pro-190"/>
    <x v="19"/>
    <n v="1"/>
    <s v="Und"/>
    <x v="2"/>
    <m/>
    <s v="CURRENT"/>
    <s v="6PD0164"/>
    <x v="1"/>
    <n v="9959"/>
    <m/>
    <m/>
    <n v="3"/>
    <m/>
  </r>
  <r>
    <s v="alambre 14"/>
    <x v="40"/>
    <n v="15"/>
    <s v="Mts"/>
    <x v="0"/>
    <d v="2026-07-18T00:00:00"/>
    <s v="CURRENT"/>
    <m/>
    <x v="2"/>
    <n v="9973"/>
    <m/>
    <m/>
    <m/>
    <m/>
  </r>
  <r>
    <s v="PVC#4"/>
    <x v="53"/>
    <n v="30"/>
    <s v="Mts"/>
    <x v="0"/>
    <d v="2026-07-18T00:00:00"/>
    <s v="CURRENT"/>
    <m/>
    <x v="2"/>
    <n v="9973"/>
    <m/>
    <m/>
    <m/>
    <m/>
  </r>
  <r>
    <s v="#6"/>
    <x v="2"/>
    <n v="250"/>
    <s v="Mts"/>
    <x v="0"/>
    <d v="2026-07-18T00:00:00"/>
    <s v="CURRENT"/>
    <m/>
    <x v="2"/>
    <n v="9973"/>
    <m/>
    <m/>
    <m/>
    <m/>
  </r>
  <r>
    <s v="capacete"/>
    <x v="38"/>
    <n v="1"/>
    <s v="Und"/>
    <x v="0"/>
    <d v="2026-07-18T00:00:00"/>
    <s v="CURRENT"/>
    <m/>
    <x v="2"/>
    <n v="9973"/>
    <m/>
    <m/>
    <m/>
    <m/>
  </r>
  <r>
    <s v="super23"/>
    <x v="45"/>
    <n v="1"/>
    <s v="Und"/>
    <x v="0"/>
    <d v="2026-07-18T00:00:00"/>
    <s v="CURRENT"/>
    <m/>
    <x v="2"/>
    <n v="9973"/>
    <m/>
    <m/>
    <m/>
    <m/>
  </r>
  <r>
    <s v="bandit"/>
    <x v="4"/>
    <n v="3"/>
    <s v="Und"/>
    <x v="0"/>
    <d v="2026-07-18T00:00:00"/>
    <s v="CURRENT"/>
    <m/>
    <x v="2"/>
    <n v="9973"/>
    <m/>
    <m/>
    <m/>
    <m/>
  </r>
  <r>
    <s v="conec3"/>
    <x v="29"/>
    <n v="1"/>
    <s v="Und"/>
    <x v="0"/>
    <d v="2026-07-18T00:00:00"/>
    <s v="CURRENT"/>
    <m/>
    <x v="2"/>
    <n v="9973"/>
    <m/>
    <m/>
    <m/>
    <m/>
  </r>
  <r>
    <s v="gel1"/>
    <x v="8"/>
    <n v="2"/>
    <s v="Und"/>
    <x v="0"/>
    <d v="2026-07-18T00:00:00"/>
    <s v="CURRENT"/>
    <m/>
    <x v="2"/>
    <n v="9973"/>
    <m/>
    <m/>
    <m/>
    <m/>
  </r>
  <r>
    <s v="Foto"/>
    <x v="15"/>
    <n v="17"/>
    <s v="Und"/>
    <x v="0"/>
    <d v="2026-07-18T00:00:00"/>
    <s v="CURRENT"/>
    <m/>
    <x v="2"/>
    <n v="9973"/>
    <m/>
    <m/>
    <m/>
    <m/>
  </r>
  <r>
    <s v="grillete"/>
    <x v="24"/>
    <n v="34"/>
    <s v="Und"/>
    <x v="0"/>
    <d v="2026-07-18T00:00:00"/>
    <s v="CURRENT"/>
    <m/>
    <x v="2"/>
    <n v="9973"/>
    <m/>
    <m/>
    <m/>
    <m/>
  </r>
  <r>
    <s v="hebilla"/>
    <x v="5"/>
    <n v="5"/>
    <s v="Und"/>
    <x v="0"/>
    <d v="2026-07-18T00:00:00"/>
    <s v="CURRENT"/>
    <m/>
    <x v="2"/>
    <n v="9973"/>
    <m/>
    <m/>
    <m/>
    <m/>
  </r>
  <r>
    <s v="conduit"/>
    <x v="37"/>
    <n v="2"/>
    <s v="Und"/>
    <x v="0"/>
    <d v="2026-07-18T00:00:00"/>
    <s v="CURRENT"/>
    <m/>
    <x v="2"/>
    <n v="9973"/>
    <m/>
    <m/>
    <m/>
    <m/>
  </r>
  <r>
    <s v="tuerca"/>
    <x v="27"/>
    <n v="8"/>
    <s v="Und"/>
    <x v="0"/>
    <d v="2026-07-18T00:00:00"/>
    <s v="CURRENT"/>
    <m/>
    <x v="2"/>
    <n v="9973"/>
    <m/>
    <m/>
    <m/>
    <m/>
  </r>
  <r>
    <s v="cooper"/>
    <x v="28"/>
    <n v="1"/>
    <s v="Und"/>
    <x v="0"/>
    <d v="2026-07-18T00:00:00"/>
    <s v="CURRENT"/>
    <m/>
    <x v="2"/>
    <n v="9973"/>
    <m/>
    <m/>
    <m/>
    <m/>
  </r>
  <r>
    <s v="lum-75"/>
    <x v="16"/>
    <n v="1"/>
    <s v="Und"/>
    <x v="0"/>
    <d v="2026-07-18T00:00:00"/>
    <s v="CURRENT"/>
    <s v="6E00500"/>
    <x v="2"/>
    <n v="9973"/>
    <m/>
    <m/>
    <m/>
    <m/>
  </r>
  <r>
    <s v="lum-75"/>
    <x v="16"/>
    <n v="1"/>
    <s v="Und"/>
    <x v="0"/>
    <d v="2026-07-18T00:00:00"/>
    <s v="CURRENT"/>
    <s v="6E00326"/>
    <x v="2"/>
    <n v="9973"/>
    <m/>
    <m/>
    <m/>
    <m/>
  </r>
  <r>
    <s v="lum-75"/>
    <x v="16"/>
    <n v="1"/>
    <s v="Und"/>
    <x v="0"/>
    <d v="2026-07-18T00:00:00"/>
    <s v="CURRENT"/>
    <s v="6E00478"/>
    <x v="2"/>
    <n v="9973"/>
    <m/>
    <m/>
    <m/>
    <m/>
  </r>
  <r>
    <s v="lum-75"/>
    <x v="16"/>
    <n v="1"/>
    <s v="Und"/>
    <x v="0"/>
    <d v="2026-07-18T00:00:00"/>
    <s v="CURRENT"/>
    <s v="6E00394"/>
    <x v="2"/>
    <n v="9973"/>
    <m/>
    <m/>
    <m/>
    <m/>
  </r>
  <r>
    <s v="lum-75"/>
    <x v="16"/>
    <n v="1"/>
    <s v="Und"/>
    <x v="0"/>
    <d v="2026-07-18T00:00:00"/>
    <s v="CURRENT"/>
    <s v="6E00431"/>
    <x v="2"/>
    <n v="9973"/>
    <m/>
    <m/>
    <m/>
    <m/>
  </r>
  <r>
    <s v="lum-75"/>
    <x v="16"/>
    <n v="1"/>
    <s v="Und"/>
    <x v="0"/>
    <d v="2026-07-18T00:00:00"/>
    <s v="CURRENT"/>
    <s v="6E00450"/>
    <x v="2"/>
    <n v="9973"/>
    <m/>
    <m/>
    <m/>
    <m/>
  </r>
  <r>
    <s v="lum-75"/>
    <x v="16"/>
    <n v="1"/>
    <s v="Und"/>
    <x v="0"/>
    <d v="2026-07-18T00:00:00"/>
    <s v="CURRENT"/>
    <s v="6E00454"/>
    <x v="2"/>
    <n v="9973"/>
    <m/>
    <m/>
    <m/>
    <m/>
  </r>
  <r>
    <s v="lum-75"/>
    <x v="16"/>
    <n v="1"/>
    <s v="Und"/>
    <x v="0"/>
    <d v="2026-07-18T00:00:00"/>
    <s v="CURRENT"/>
    <s v="6E00425"/>
    <x v="2"/>
    <n v="9973"/>
    <m/>
    <m/>
    <m/>
    <m/>
  </r>
  <r>
    <s v="lum-75"/>
    <x v="16"/>
    <n v="1"/>
    <s v="Und"/>
    <x v="0"/>
    <d v="2026-07-18T00:00:00"/>
    <s v="CURRENT"/>
    <s v="6E00415"/>
    <x v="2"/>
    <n v="9973"/>
    <m/>
    <m/>
    <m/>
    <m/>
  </r>
  <r>
    <s v="pro-190"/>
    <x v="19"/>
    <n v="1"/>
    <s v="Und"/>
    <x v="0"/>
    <d v="2026-06-25T00:00:00"/>
    <s v="CURRENT"/>
    <s v="6PD0165"/>
    <x v="1"/>
    <n v="9959"/>
    <s v="cr42b-cl11/13"/>
    <m/>
    <m/>
    <m/>
  </r>
  <r>
    <s v="pro-190"/>
    <x v="19"/>
    <n v="1"/>
    <s v="Und"/>
    <x v="2"/>
    <m/>
    <s v="CURRENT"/>
    <s v="6PD0165"/>
    <x v="1"/>
    <n v="9959"/>
    <m/>
    <m/>
    <n v="6"/>
    <m/>
  </r>
  <r>
    <s v="pro-190"/>
    <x v="19"/>
    <n v="1"/>
    <s v="Und"/>
    <x v="0"/>
    <d v="2026-06-25T00:00:00"/>
    <s v="CURRENT"/>
    <s v="6PD0166"/>
    <x v="1"/>
    <n v="9959"/>
    <s v="cr42b-cl11/13"/>
    <m/>
    <m/>
    <m/>
  </r>
  <r>
    <s v="pro-190"/>
    <x v="19"/>
    <n v="1"/>
    <s v="Und"/>
    <x v="2"/>
    <m/>
    <s v="CURRENT"/>
    <s v="6PD0166"/>
    <x v="1"/>
    <n v="9959"/>
    <m/>
    <m/>
    <n v="2"/>
    <m/>
  </r>
  <r>
    <s v="pro-190"/>
    <x v="19"/>
    <n v="1"/>
    <s v="Und"/>
    <x v="0"/>
    <d v="2026-06-25T00:00:00"/>
    <s v="CURRENT"/>
    <s v="6PD0167"/>
    <x v="1"/>
    <n v="9959"/>
    <s v="cr42b-cl11/13"/>
    <m/>
    <m/>
    <m/>
  </r>
  <r>
    <s v="pro-190"/>
    <x v="19"/>
    <n v="1"/>
    <s v="Und"/>
    <x v="2"/>
    <m/>
    <s v="CURRENT"/>
    <s v="6PD0167"/>
    <x v="1"/>
    <n v="9959"/>
    <m/>
    <m/>
    <n v="12"/>
    <m/>
  </r>
  <r>
    <s v="pro-190"/>
    <x v="19"/>
    <n v="1"/>
    <s v="Und"/>
    <x v="0"/>
    <d v="2026-06-27T00:00:00"/>
    <s v="CURRENT"/>
    <s v="6PD0168"/>
    <x v="1"/>
    <n v="9963"/>
    <s v="cll18 oeste cr44 oeste"/>
    <m/>
    <m/>
    <m/>
  </r>
  <r>
    <s v="pro-190"/>
    <x v="19"/>
    <n v="1"/>
    <s v="Und"/>
    <x v="2"/>
    <d v="2026-07-01T00:00:00"/>
    <s v="CURRENT"/>
    <s v="6PD0168"/>
    <x v="1"/>
    <n v="9963"/>
    <s v="cll 18oe cra 44"/>
    <n v="2295628"/>
    <n v="8"/>
    <m/>
  </r>
  <r>
    <s v="CIEGA1"/>
    <x v="44"/>
    <n v="8"/>
    <s v="Und"/>
    <x v="0"/>
    <d v="2026-07-18T00:00:00"/>
    <m/>
    <m/>
    <x v="2"/>
    <n v="9974"/>
    <m/>
    <m/>
    <m/>
    <m/>
  </r>
  <r>
    <s v="banda1"/>
    <x v="22"/>
    <n v="6"/>
    <s v="Und"/>
    <x v="0"/>
    <d v="2026-07-18T00:00:00"/>
    <m/>
    <m/>
    <x v="2"/>
    <n v="9974"/>
    <m/>
    <m/>
    <m/>
    <m/>
  </r>
  <r>
    <s v="Aislador1"/>
    <x v="1"/>
    <n v="4"/>
    <s v="Und"/>
    <x v="0"/>
    <d v="2026-07-18T00:00:00"/>
    <m/>
    <m/>
    <x v="2"/>
    <n v="9974"/>
    <m/>
    <m/>
    <m/>
    <m/>
  </r>
  <r>
    <s v="alambre 14"/>
    <x v="40"/>
    <n v="30"/>
    <s v="Mts"/>
    <x v="0"/>
    <d v="2026-07-18T00:00:00"/>
    <m/>
    <m/>
    <x v="2"/>
    <n v="9974"/>
    <m/>
    <m/>
    <m/>
    <m/>
  </r>
  <r>
    <s v="brazo1"/>
    <x v="21"/>
    <n v="6"/>
    <s v="Und"/>
    <x v="0"/>
    <d v="2026-07-18T00:00:00"/>
    <m/>
    <m/>
    <x v="2"/>
    <n v="9974"/>
    <m/>
    <m/>
    <m/>
    <m/>
  </r>
  <r>
    <s v="tpx"/>
    <x v="23"/>
    <n v="90"/>
    <s v="Mts"/>
    <x v="0"/>
    <d v="2026-07-18T00:00:00"/>
    <m/>
    <m/>
    <x v="2"/>
    <n v="9974"/>
    <m/>
    <m/>
    <m/>
    <m/>
  </r>
  <r>
    <s v="capacete"/>
    <x v="38"/>
    <n v="2"/>
    <s v="Und"/>
    <x v="0"/>
    <d v="2026-07-18T00:00:00"/>
    <m/>
    <m/>
    <x v="2"/>
    <n v="9974"/>
    <m/>
    <m/>
    <m/>
    <m/>
  </r>
  <r>
    <s v="concertina"/>
    <x v="50"/>
    <n v="12"/>
    <s v="Mts"/>
    <x v="0"/>
    <d v="2026-07-18T00:00:00"/>
    <m/>
    <m/>
    <x v="2"/>
    <n v="9974"/>
    <m/>
    <m/>
    <m/>
    <m/>
  </r>
  <r>
    <s v="conec3"/>
    <x v="29"/>
    <n v="2"/>
    <s v="Und"/>
    <x v="0"/>
    <d v="2026-07-18T00:00:00"/>
    <m/>
    <m/>
    <x v="2"/>
    <n v="9974"/>
    <m/>
    <m/>
    <m/>
    <m/>
  </r>
  <r>
    <s v="gel1"/>
    <x v="8"/>
    <n v="4"/>
    <s v="Und"/>
    <x v="0"/>
    <d v="2026-07-18T00:00:00"/>
    <m/>
    <m/>
    <x v="2"/>
    <n v="9974"/>
    <m/>
    <m/>
    <m/>
    <m/>
  </r>
  <r>
    <s v="Foto"/>
    <x v="15"/>
    <n v="22"/>
    <s v="Und"/>
    <x v="0"/>
    <d v="2026-07-18T00:00:00"/>
    <m/>
    <m/>
    <x v="2"/>
    <n v="9974"/>
    <m/>
    <m/>
    <m/>
    <m/>
  </r>
  <r>
    <s v="grillete"/>
    <x v="24"/>
    <n v="12"/>
    <s v="Und"/>
    <x v="0"/>
    <d v="2026-07-18T00:00:00"/>
    <m/>
    <m/>
    <x v="2"/>
    <n v="9974"/>
    <m/>
    <m/>
    <m/>
    <m/>
  </r>
  <r>
    <s v="kit"/>
    <x v="10"/>
    <n v="1"/>
    <s v="Und"/>
    <x v="0"/>
    <d v="2026-07-18T00:00:00"/>
    <m/>
    <m/>
    <x v="2"/>
    <n v="9974"/>
    <m/>
    <m/>
    <m/>
    <m/>
  </r>
  <r>
    <s v="percha1"/>
    <x v="11"/>
    <n v="4"/>
    <s v="Und"/>
    <x v="0"/>
    <d v="2026-07-18T00:00:00"/>
    <m/>
    <m/>
    <x v="2"/>
    <n v="9974"/>
    <m/>
    <m/>
    <m/>
    <m/>
  </r>
  <r>
    <s v="conduit"/>
    <x v="37"/>
    <n v="4"/>
    <s v="Und"/>
    <x v="0"/>
    <d v="2026-07-18T00:00:00"/>
    <m/>
    <m/>
    <x v="2"/>
    <n v="9974"/>
    <m/>
    <m/>
    <m/>
    <m/>
  </r>
  <r>
    <s v="tuerca"/>
    <x v="27"/>
    <n v="16"/>
    <s v="Und"/>
    <x v="0"/>
    <d v="2026-07-18T00:00:00"/>
    <m/>
    <m/>
    <x v="2"/>
    <n v="9974"/>
    <m/>
    <m/>
    <m/>
    <m/>
  </r>
  <r>
    <s v="cooper"/>
    <x v="28"/>
    <n v="2"/>
    <s v="Und"/>
    <x v="0"/>
    <d v="2026-07-18T00:00:00"/>
    <m/>
    <m/>
    <x v="2"/>
    <n v="9974"/>
    <m/>
    <m/>
    <m/>
    <m/>
  </r>
  <r>
    <s v="lum-75"/>
    <x v="16"/>
    <n v="1"/>
    <s v="Und"/>
    <x v="0"/>
    <d v="2026-07-18T00:00:00"/>
    <s v="CURRENT"/>
    <s v="6E00159"/>
    <x v="2"/>
    <n v="9974"/>
    <m/>
    <m/>
    <m/>
    <m/>
  </r>
  <r>
    <s v="lum-75"/>
    <x v="16"/>
    <n v="1"/>
    <s v="Und"/>
    <x v="0"/>
    <d v="2026-07-18T00:00:00"/>
    <s v="CURRENT"/>
    <s v="6E00473"/>
    <x v="2"/>
    <n v="9974"/>
    <m/>
    <m/>
    <m/>
    <m/>
  </r>
  <r>
    <s v="lum-75"/>
    <x v="16"/>
    <n v="1"/>
    <s v="Und"/>
    <x v="0"/>
    <d v="2026-07-18T00:00:00"/>
    <s v="CURRENT"/>
    <s v="6E00445"/>
    <x v="2"/>
    <n v="9974"/>
    <m/>
    <m/>
    <m/>
    <m/>
  </r>
  <r>
    <s v="lum-75"/>
    <x v="16"/>
    <n v="1"/>
    <s v="Und"/>
    <x v="0"/>
    <d v="2026-07-18T00:00:00"/>
    <s v="CURRENT"/>
    <s v="6E00454"/>
    <x v="2"/>
    <n v="9974"/>
    <m/>
    <m/>
    <m/>
    <m/>
  </r>
  <r>
    <s v="lum-75"/>
    <x v="16"/>
    <n v="1"/>
    <s v="Und"/>
    <x v="0"/>
    <d v="2026-07-18T00:00:00"/>
    <s v="CURRENT"/>
    <s v="6E00280"/>
    <x v="2"/>
    <n v="9974"/>
    <m/>
    <m/>
    <m/>
    <m/>
  </r>
  <r>
    <s v="lum-75"/>
    <x v="16"/>
    <n v="1"/>
    <s v="Und"/>
    <x v="0"/>
    <d v="2026-07-18T00:00:00"/>
    <s v="CURRENT"/>
    <s v="6E00416"/>
    <x v="2"/>
    <n v="9974"/>
    <m/>
    <m/>
    <m/>
    <m/>
  </r>
  <r>
    <s v="pro-190"/>
    <x v="19"/>
    <n v="1"/>
    <s v="Und"/>
    <x v="0"/>
    <d v="2026-06-27T00:00:00"/>
    <s v="CURRENT"/>
    <s v="6PD0169"/>
    <x v="1"/>
    <n v="9963"/>
    <s v="cll18 oeste cr44 oeste"/>
    <m/>
    <m/>
    <m/>
  </r>
  <r>
    <s v="pro-190"/>
    <x v="19"/>
    <n v="1"/>
    <s v="Und"/>
    <x v="2"/>
    <d v="2026-07-01T00:00:00"/>
    <s v="CURRENT"/>
    <s v="6PD0169"/>
    <x v="1"/>
    <n v="9963"/>
    <s v="cll 18oe cra 44"/>
    <n v="2295580"/>
    <n v="7"/>
    <m/>
  </r>
  <r>
    <s v="pro-190"/>
    <x v="19"/>
    <n v="1"/>
    <s v="Und"/>
    <x v="0"/>
    <d v="2026-06-27T00:00:00"/>
    <s v="CURRENT"/>
    <s v="6PD0170"/>
    <x v="1"/>
    <n v="9963"/>
    <s v="cll18 oeste cr44 oeste"/>
    <m/>
    <m/>
    <m/>
  </r>
  <r>
    <s v="pro-190"/>
    <x v="19"/>
    <n v="1"/>
    <s v="Und"/>
    <x v="2"/>
    <d v="2026-07-01T00:00:00"/>
    <s v="CURRENT"/>
    <s v="6PD0170"/>
    <x v="1"/>
    <n v="9963"/>
    <s v="cll 18oe cra 44"/>
    <n v="2295628"/>
    <n v="9"/>
    <m/>
  </r>
  <r>
    <s v="pro-190"/>
    <x v="19"/>
    <n v="1"/>
    <s v="Und"/>
    <x v="0"/>
    <d v="2026-06-27T00:00:00"/>
    <s v="CURRENT"/>
    <s v="6PD0171"/>
    <x v="1"/>
    <n v="9959"/>
    <s v="cr42b-cl11/13"/>
    <m/>
    <m/>
    <m/>
  </r>
  <r>
    <s v="pro-190"/>
    <x v="19"/>
    <n v="1"/>
    <s v="Und"/>
    <x v="2"/>
    <m/>
    <s v="CURRENT"/>
    <s v="6PD0171"/>
    <x v="1"/>
    <n v="9959"/>
    <m/>
    <m/>
    <n v="9"/>
    <m/>
  </r>
  <r>
    <s v="pro-190"/>
    <x v="19"/>
    <n v="1"/>
    <s v="Und"/>
    <x v="0"/>
    <d v="2026-06-27T00:00:00"/>
    <s v="CURRENT"/>
    <s v="6PD0172"/>
    <x v="1"/>
    <n v="9963"/>
    <s v="cll18 oeste cr44 oeste"/>
    <m/>
    <m/>
    <m/>
  </r>
  <r>
    <s v="pro-190"/>
    <x v="19"/>
    <n v="1"/>
    <s v="Und"/>
    <x v="2"/>
    <d v="2026-07-01T00:00:00"/>
    <s v="CURRENT"/>
    <s v="6PD0172"/>
    <x v="1"/>
    <n v="9963"/>
    <s v="cll 18oe cra 44"/>
    <n v="2295628"/>
    <n v="10"/>
    <m/>
  </r>
  <r>
    <s v="pro-190"/>
    <x v="19"/>
    <n v="1"/>
    <s v="Und"/>
    <x v="0"/>
    <d v="2026-07-18T00:00:00"/>
    <s v="CURRENT"/>
    <s v="6PD0242"/>
    <x v="2"/>
    <n v="9968"/>
    <m/>
    <m/>
    <m/>
    <m/>
  </r>
  <r>
    <s v="pro-190"/>
    <x v="19"/>
    <n v="1"/>
    <s v="Und"/>
    <x v="0"/>
    <d v="2026-07-18T00:00:00"/>
    <s v="CURRENT"/>
    <s v="6PD0243"/>
    <x v="2"/>
    <n v="9968"/>
    <m/>
    <m/>
    <m/>
    <m/>
  </r>
  <r>
    <s v="pro-190"/>
    <x v="19"/>
    <n v="1"/>
    <s v="Und"/>
    <x v="0"/>
    <d v="2026-07-18T00:00:00"/>
    <s v="CURRENT"/>
    <s v="6PD0244"/>
    <x v="2"/>
    <n v="9974"/>
    <m/>
    <m/>
    <m/>
    <m/>
  </r>
  <r>
    <s v="pro-190"/>
    <x v="19"/>
    <n v="1"/>
    <s v="Und"/>
    <x v="2"/>
    <m/>
    <s v="CURRENT"/>
    <s v="6PD0244"/>
    <x v="2"/>
    <n v="9974"/>
    <m/>
    <n v="1865323"/>
    <n v="16"/>
    <m/>
  </r>
  <r>
    <s v="pro-190"/>
    <x v="19"/>
    <n v="1"/>
    <s v="Und"/>
    <x v="0"/>
    <d v="2026-07-18T00:00:00"/>
    <s v="CURRENT"/>
    <s v="6PD0245"/>
    <x v="2"/>
    <n v="9968"/>
    <m/>
    <m/>
    <m/>
    <m/>
  </r>
  <r>
    <s v="pro-190"/>
    <x v="19"/>
    <n v="1"/>
    <s v="Und"/>
    <x v="0"/>
    <d v="2026-07-18T00:00:00"/>
    <s v="CURRENT"/>
    <s v="6PD0247"/>
    <x v="2"/>
    <n v="9968"/>
    <m/>
    <m/>
    <m/>
    <m/>
  </r>
  <r>
    <s v="pro-190"/>
    <x v="19"/>
    <n v="1"/>
    <s v="Und"/>
    <x v="0"/>
    <d v="2026-07-18T00:00:00"/>
    <s v="CURRENT"/>
    <s v="6PD0250"/>
    <x v="2"/>
    <n v="9972"/>
    <m/>
    <m/>
    <m/>
    <m/>
  </r>
  <r>
    <s v="pro-190"/>
    <x v="19"/>
    <n v="1"/>
    <s v="Und"/>
    <x v="2"/>
    <m/>
    <s v="CURRENT"/>
    <s v="6PD0250"/>
    <x v="2"/>
    <n v="9972"/>
    <m/>
    <n v="2304333"/>
    <n v="10"/>
    <m/>
  </r>
  <r>
    <s v="lum-75"/>
    <x v="16"/>
    <n v="1"/>
    <s v="Und"/>
    <x v="2"/>
    <d v="2026-07-22T00:00:00"/>
    <s v="CURRENT"/>
    <s v="6E00413"/>
    <x v="2"/>
    <n v="9971"/>
    <m/>
    <n v="2262008"/>
    <n v="1"/>
    <m/>
  </r>
  <r>
    <s v="lum-75"/>
    <x v="16"/>
    <n v="1"/>
    <s v="Und"/>
    <x v="2"/>
    <d v="2026-07-22T00:00:00"/>
    <s v="CURRENT"/>
    <s v="6E00479"/>
    <x v="2"/>
    <n v="9971"/>
    <m/>
    <n v="2262008"/>
    <n v="2"/>
    <m/>
  </r>
  <r>
    <s v="lum-75"/>
    <x v="16"/>
    <n v="1"/>
    <s v="Und"/>
    <x v="2"/>
    <d v="2026-07-22T00:00:00"/>
    <s v="CURRENT"/>
    <s v="6E00412"/>
    <x v="2"/>
    <n v="9971"/>
    <m/>
    <n v="2261723"/>
    <n v="3"/>
    <m/>
  </r>
  <r>
    <s v="lum-75"/>
    <x v="16"/>
    <n v="1"/>
    <s v="Und"/>
    <x v="2"/>
    <d v="2026-07-22T00:00:00"/>
    <s v="CURRENT"/>
    <s v="6E00475"/>
    <x v="2"/>
    <n v="9971"/>
    <m/>
    <n v="2261723"/>
    <n v="4"/>
    <m/>
  </r>
  <r>
    <s v="lum-75"/>
    <x v="16"/>
    <n v="1"/>
    <s v="Und"/>
    <x v="2"/>
    <d v="2026-07-22T00:00:00"/>
    <s v="CURRENT"/>
    <s v="6E00546"/>
    <x v="2"/>
    <n v="9971"/>
    <m/>
    <n v="2261774"/>
    <n v="5"/>
    <m/>
  </r>
  <r>
    <s v="lum-75"/>
    <x v="16"/>
    <n v="1"/>
    <s v="Und"/>
    <x v="2"/>
    <d v="2026-07-22T00:00:00"/>
    <s v="CURRENT"/>
    <s v="6E00542"/>
    <x v="2"/>
    <n v="9971"/>
    <m/>
    <n v="2261774"/>
    <n v="6"/>
    <m/>
  </r>
  <r>
    <s v="lum-75"/>
    <x v="16"/>
    <n v="1"/>
    <s v="Und"/>
    <x v="2"/>
    <d v="2026-07-22T00:00:00"/>
    <s v="CURRENT"/>
    <s v="6E00509"/>
    <x v="2"/>
    <n v="9971"/>
    <m/>
    <n v="2262037"/>
    <n v="7"/>
    <m/>
  </r>
  <r>
    <s v="lum-75"/>
    <x v="16"/>
    <n v="1"/>
    <s v="Und"/>
    <x v="2"/>
    <d v="2026-07-22T00:00:00"/>
    <s v="CURRENT"/>
    <s v="6E00460"/>
    <x v="2"/>
    <n v="9971"/>
    <m/>
    <n v="2262037"/>
    <n v="8"/>
    <m/>
  </r>
  <r>
    <s v="lum-75"/>
    <x v="16"/>
    <n v="1"/>
    <s v="Und"/>
    <x v="2"/>
    <d v="2026-07-22T00:00:00"/>
    <s v="CURRENT"/>
    <s v="6E00295"/>
    <x v="2"/>
    <n v="9971"/>
    <m/>
    <n v="2261812"/>
    <n v="9"/>
    <m/>
  </r>
  <r>
    <s v="lum-75"/>
    <x v="16"/>
    <n v="1"/>
    <s v="Und"/>
    <x v="2"/>
    <d v="2026-07-22T00:00:00"/>
    <s v="CURRENT"/>
    <s v="6E00488"/>
    <x v="2"/>
    <n v="9971"/>
    <m/>
    <n v="2261812"/>
    <n v="10"/>
    <m/>
  </r>
  <r>
    <s v="lum-75"/>
    <x v="16"/>
    <n v="1"/>
    <s v="Und"/>
    <x v="2"/>
    <d v="2026-07-22T00:00:00"/>
    <s v="CURRENT"/>
    <s v="6E00550"/>
    <x v="2"/>
    <n v="9971"/>
    <m/>
    <n v="2261995"/>
    <n v="11"/>
    <m/>
  </r>
  <r>
    <s v="lum-75"/>
    <x v="16"/>
    <n v="1"/>
    <s v="Und"/>
    <x v="2"/>
    <d v="2026-07-22T00:00:00"/>
    <s v="CURRENT"/>
    <s v="6E00434"/>
    <x v="2"/>
    <n v="9971"/>
    <m/>
    <n v="2261995"/>
    <n v="12"/>
    <m/>
  </r>
  <r>
    <s v="lum-75"/>
    <x v="16"/>
    <n v="1"/>
    <s v="Und"/>
    <x v="2"/>
    <d v="2026-07-22T00:00:00"/>
    <s v="CURRENT"/>
    <s v="6E00540"/>
    <x v="2"/>
    <n v="9971"/>
    <m/>
    <n v="2261944"/>
    <n v="13"/>
    <m/>
  </r>
  <r>
    <s v="lum-75"/>
    <x v="16"/>
    <n v="1"/>
    <s v="Und"/>
    <x v="2"/>
    <d v="2026-07-22T00:00:00"/>
    <s v="CURRENT"/>
    <s v="6E00547"/>
    <x v="2"/>
    <n v="9971"/>
    <m/>
    <n v="2261944"/>
    <n v="14"/>
    <m/>
  </r>
  <r>
    <s v="lum-75"/>
    <x v="16"/>
    <n v="1"/>
    <s v="Und"/>
    <x v="2"/>
    <d v="2026-07-22T00:00:00"/>
    <s v="CURRENT"/>
    <s v="6E00124"/>
    <x v="2"/>
    <n v="9971"/>
    <m/>
    <n v="2261855"/>
    <n v="15"/>
    <m/>
  </r>
  <r>
    <s v="lum-75"/>
    <x v="16"/>
    <n v="1"/>
    <s v="Und"/>
    <x v="2"/>
    <d v="2026-07-22T00:00:00"/>
    <s v="CURRENT"/>
    <s v="6E00327"/>
    <x v="2"/>
    <n v="9971"/>
    <m/>
    <n v="2261855"/>
    <n v="16"/>
    <m/>
  </r>
  <r>
    <s v="lum-75"/>
    <x v="16"/>
    <n v="1"/>
    <s v="Und"/>
    <x v="2"/>
    <d v="2026-07-22T00:00:00"/>
    <s v="CURRENT"/>
    <s v="6E00557"/>
    <x v="2"/>
    <n v="9971"/>
    <m/>
    <n v="2261901"/>
    <n v="17"/>
    <m/>
  </r>
  <r>
    <s v="lum-75"/>
    <x v="16"/>
    <n v="1"/>
    <s v="Und"/>
    <x v="2"/>
    <d v="2026-07-22T00:00:00"/>
    <s v="CURRENT"/>
    <s v="6E00472"/>
    <x v="2"/>
    <n v="9971"/>
    <m/>
    <n v="2261901"/>
    <n v="18"/>
    <m/>
  </r>
  <r>
    <s v="lum-75"/>
    <x v="16"/>
    <n v="1"/>
    <s v="Und"/>
    <x v="2"/>
    <d v="2026-07-22T00:00:00"/>
    <s v="CURRENT"/>
    <s v="6E00432"/>
    <x v="2"/>
    <n v="9971"/>
    <m/>
    <n v="2261901"/>
    <n v="19"/>
    <m/>
  </r>
  <r>
    <s v="Foto"/>
    <x v="15"/>
    <n v="1"/>
    <s v="Und"/>
    <x v="2"/>
    <d v="2026-07-22T00:00:00"/>
    <m/>
    <m/>
    <x v="2"/>
    <n v="9971"/>
    <m/>
    <n v="2262008"/>
    <n v="1"/>
    <m/>
  </r>
  <r>
    <s v="Foto"/>
    <x v="15"/>
    <n v="1"/>
    <s v="Und"/>
    <x v="2"/>
    <d v="2026-07-22T00:00:00"/>
    <m/>
    <m/>
    <x v="2"/>
    <n v="9971"/>
    <m/>
    <n v="2262008"/>
    <n v="2"/>
    <m/>
  </r>
  <r>
    <s v="Foto"/>
    <x v="15"/>
    <n v="1"/>
    <s v="Und"/>
    <x v="2"/>
    <d v="2026-07-22T00:00:00"/>
    <m/>
    <m/>
    <x v="2"/>
    <n v="9971"/>
    <m/>
    <n v="2261723"/>
    <n v="3"/>
    <m/>
  </r>
  <r>
    <s v="Foto"/>
    <x v="15"/>
    <n v="1"/>
    <s v="Und"/>
    <x v="2"/>
    <d v="2026-07-22T00:00:00"/>
    <m/>
    <m/>
    <x v="2"/>
    <n v="9971"/>
    <m/>
    <n v="2261723"/>
    <n v="4"/>
    <m/>
  </r>
  <r>
    <s v="Foto"/>
    <x v="15"/>
    <n v="1"/>
    <s v="Und"/>
    <x v="2"/>
    <d v="2026-07-22T00:00:00"/>
    <m/>
    <m/>
    <x v="2"/>
    <n v="9971"/>
    <m/>
    <n v="2261774"/>
    <n v="5"/>
    <m/>
  </r>
  <r>
    <s v="Foto"/>
    <x v="15"/>
    <n v="1"/>
    <s v="Und"/>
    <x v="2"/>
    <d v="2026-07-22T00:00:00"/>
    <m/>
    <m/>
    <x v="2"/>
    <n v="9971"/>
    <m/>
    <n v="2261774"/>
    <n v="6"/>
    <m/>
  </r>
  <r>
    <s v="Foto"/>
    <x v="15"/>
    <n v="1"/>
    <s v="Und"/>
    <x v="2"/>
    <d v="2026-07-22T00:00:00"/>
    <m/>
    <m/>
    <x v="2"/>
    <n v="9971"/>
    <m/>
    <n v="2262037"/>
    <n v="7"/>
    <m/>
  </r>
  <r>
    <s v="Foto"/>
    <x v="15"/>
    <n v="1"/>
    <s v="Und"/>
    <x v="2"/>
    <d v="2026-07-22T00:00:00"/>
    <m/>
    <m/>
    <x v="2"/>
    <n v="9971"/>
    <m/>
    <n v="2262037"/>
    <n v="8"/>
    <m/>
  </r>
  <r>
    <s v="Foto"/>
    <x v="15"/>
    <n v="1"/>
    <s v="Und"/>
    <x v="2"/>
    <d v="2026-07-22T00:00:00"/>
    <m/>
    <m/>
    <x v="2"/>
    <n v="9971"/>
    <m/>
    <n v="2261812"/>
    <n v="9"/>
    <m/>
  </r>
  <r>
    <s v="Foto"/>
    <x v="15"/>
    <n v="1"/>
    <s v="Und"/>
    <x v="2"/>
    <d v="2026-07-22T00:00:00"/>
    <m/>
    <m/>
    <x v="2"/>
    <n v="9971"/>
    <m/>
    <n v="2261812"/>
    <n v="10"/>
    <m/>
  </r>
  <r>
    <s v="Foto"/>
    <x v="15"/>
    <n v="1"/>
    <s v="Und"/>
    <x v="2"/>
    <d v="2026-07-22T00:00:00"/>
    <m/>
    <m/>
    <x v="2"/>
    <n v="9971"/>
    <m/>
    <n v="2261995"/>
    <n v="11"/>
    <m/>
  </r>
  <r>
    <s v="Foto"/>
    <x v="15"/>
    <n v="1"/>
    <s v="Und"/>
    <x v="2"/>
    <d v="2026-07-22T00:00:00"/>
    <m/>
    <m/>
    <x v="2"/>
    <n v="9971"/>
    <m/>
    <n v="2261995"/>
    <n v="12"/>
    <m/>
  </r>
  <r>
    <s v="Foto"/>
    <x v="15"/>
    <n v="1"/>
    <s v="Und"/>
    <x v="2"/>
    <d v="2026-07-22T00:00:00"/>
    <m/>
    <m/>
    <x v="2"/>
    <n v="9971"/>
    <m/>
    <n v="2261944"/>
    <n v="13"/>
    <m/>
  </r>
  <r>
    <s v="Foto"/>
    <x v="15"/>
    <n v="1"/>
    <s v="Und"/>
    <x v="2"/>
    <d v="2026-07-22T00:00:00"/>
    <m/>
    <m/>
    <x v="2"/>
    <n v="9971"/>
    <m/>
    <n v="2261944"/>
    <n v="14"/>
    <m/>
  </r>
  <r>
    <s v="Foto"/>
    <x v="15"/>
    <n v="1"/>
    <s v="Und"/>
    <x v="2"/>
    <d v="2026-07-22T00:00:00"/>
    <m/>
    <m/>
    <x v="2"/>
    <n v="9971"/>
    <m/>
    <n v="2261855"/>
    <n v="15"/>
    <m/>
  </r>
  <r>
    <s v="Foto"/>
    <x v="15"/>
    <n v="1"/>
    <s v="Und"/>
    <x v="2"/>
    <d v="2026-07-22T00:00:00"/>
    <m/>
    <m/>
    <x v="2"/>
    <n v="9971"/>
    <m/>
    <n v="2261855"/>
    <n v="16"/>
    <m/>
  </r>
  <r>
    <s v="Foto"/>
    <x v="15"/>
    <n v="1"/>
    <s v="Und"/>
    <x v="2"/>
    <d v="2026-07-22T00:00:00"/>
    <m/>
    <m/>
    <x v="2"/>
    <n v="9971"/>
    <m/>
    <n v="2261901"/>
    <n v="17"/>
    <m/>
  </r>
  <r>
    <s v="Foto"/>
    <x v="15"/>
    <n v="1"/>
    <s v="Und"/>
    <x v="2"/>
    <d v="2026-07-22T00:00:00"/>
    <m/>
    <m/>
    <x v="2"/>
    <n v="9971"/>
    <m/>
    <n v="2261901"/>
    <n v="18"/>
    <m/>
  </r>
  <r>
    <s v="Foto"/>
    <x v="15"/>
    <n v="1"/>
    <s v="Und"/>
    <x v="2"/>
    <d v="2026-07-22T00:00:00"/>
    <m/>
    <m/>
    <x v="2"/>
    <n v="9971"/>
    <m/>
    <n v="2261901"/>
    <n v="19"/>
    <m/>
  </r>
  <r>
    <s v="grillete"/>
    <x v="24"/>
    <n v="2"/>
    <s v="Und"/>
    <x v="2"/>
    <d v="2026-07-22T00:00:00"/>
    <m/>
    <m/>
    <x v="2"/>
    <n v="9971"/>
    <m/>
    <n v="2261901"/>
    <n v="19"/>
    <m/>
  </r>
  <r>
    <s v="ciega1"/>
    <x v="44"/>
    <n v="2"/>
    <s v="Und"/>
    <x v="2"/>
    <d v="2026-07-22T00:00:00"/>
    <m/>
    <m/>
    <x v="2"/>
    <n v="9971"/>
    <m/>
    <n v="2261901"/>
    <n v="19"/>
    <m/>
  </r>
  <r>
    <s v="conec2"/>
    <x v="7"/>
    <n v="3"/>
    <s v="Und"/>
    <x v="2"/>
    <d v="2026-07-22T00:00:00"/>
    <m/>
    <m/>
    <x v="2"/>
    <n v="9971"/>
    <m/>
    <n v="2262008"/>
    <n v="1"/>
    <m/>
  </r>
  <r>
    <s v="conec2"/>
    <x v="7"/>
    <n v="3"/>
    <s v="Und"/>
    <x v="2"/>
    <d v="2026-07-22T00:00:00"/>
    <m/>
    <m/>
    <x v="2"/>
    <n v="9971"/>
    <m/>
    <n v="2261723"/>
    <n v="3"/>
    <m/>
  </r>
  <r>
    <s v="conec2"/>
    <x v="7"/>
    <n v="3"/>
    <s v="Und"/>
    <x v="2"/>
    <d v="2026-07-22T00:00:00"/>
    <m/>
    <m/>
    <x v="2"/>
    <n v="9971"/>
    <m/>
    <n v="2261774"/>
    <n v="5"/>
    <m/>
  </r>
  <r>
    <s v="conec2"/>
    <x v="7"/>
    <n v="3"/>
    <s v="Und"/>
    <x v="2"/>
    <d v="2026-07-22T00:00:00"/>
    <m/>
    <m/>
    <x v="2"/>
    <n v="9971"/>
    <m/>
    <n v="2262037"/>
    <n v="7"/>
    <m/>
  </r>
  <r>
    <s v="conec2"/>
    <x v="7"/>
    <n v="3"/>
    <s v="Und"/>
    <x v="2"/>
    <d v="2026-07-22T00:00:00"/>
    <m/>
    <m/>
    <x v="2"/>
    <n v="9971"/>
    <m/>
    <n v="2261812"/>
    <n v="9"/>
    <m/>
  </r>
  <r>
    <s v="conec2"/>
    <x v="7"/>
    <n v="3"/>
    <s v="Und"/>
    <x v="2"/>
    <d v="2026-07-22T00:00:00"/>
    <m/>
    <m/>
    <x v="2"/>
    <n v="9971"/>
    <m/>
    <n v="2261995"/>
    <n v="11"/>
    <m/>
  </r>
  <r>
    <s v="conec2"/>
    <x v="7"/>
    <n v="3"/>
    <s v="Und"/>
    <x v="2"/>
    <d v="2026-07-22T00:00:00"/>
    <m/>
    <m/>
    <x v="2"/>
    <n v="9971"/>
    <m/>
    <n v="2261944"/>
    <n v="13"/>
    <m/>
  </r>
  <r>
    <s v="conec2"/>
    <x v="7"/>
    <n v="3"/>
    <s v="Und"/>
    <x v="2"/>
    <d v="2026-07-22T00:00:00"/>
    <m/>
    <m/>
    <x v="2"/>
    <n v="9971"/>
    <m/>
    <n v="2261855"/>
    <n v="15"/>
    <m/>
  </r>
  <r>
    <s v="conec2"/>
    <x v="7"/>
    <n v="3"/>
    <s v="Und"/>
    <x v="2"/>
    <d v="2026-07-22T00:00:00"/>
    <m/>
    <m/>
    <x v="2"/>
    <n v="9971"/>
    <m/>
    <n v="2261901"/>
    <n v="19"/>
    <m/>
  </r>
  <r>
    <s v="gel1"/>
    <x v="8"/>
    <n v="2"/>
    <s v="Und"/>
    <x v="2"/>
    <d v="2026-07-22T00:00:00"/>
    <m/>
    <m/>
    <x v="2"/>
    <n v="9971"/>
    <m/>
    <n v="2262008"/>
    <n v="1"/>
    <m/>
  </r>
  <r>
    <s v="gel1"/>
    <x v="8"/>
    <n v="2"/>
    <s v="Und"/>
    <x v="2"/>
    <d v="2026-07-22T00:00:00"/>
    <m/>
    <m/>
    <x v="2"/>
    <n v="9971"/>
    <m/>
    <n v="2261723"/>
    <n v="3"/>
    <m/>
  </r>
  <r>
    <s v="gel1"/>
    <x v="8"/>
    <n v="2"/>
    <s v="Und"/>
    <x v="2"/>
    <d v="2026-07-22T00:00:00"/>
    <m/>
    <m/>
    <x v="2"/>
    <n v="9971"/>
    <m/>
    <n v="2261774"/>
    <n v="5"/>
    <m/>
  </r>
  <r>
    <s v="gel1"/>
    <x v="8"/>
    <n v="2"/>
    <s v="Und"/>
    <x v="2"/>
    <d v="2026-07-22T00:00:00"/>
    <m/>
    <m/>
    <x v="2"/>
    <n v="9971"/>
    <m/>
    <n v="2262037"/>
    <n v="7"/>
    <m/>
  </r>
  <r>
    <s v="gel1"/>
    <x v="8"/>
    <n v="2"/>
    <s v="Und"/>
    <x v="2"/>
    <d v="2026-07-22T00:00:00"/>
    <m/>
    <m/>
    <x v="2"/>
    <n v="9971"/>
    <m/>
    <n v="2261812"/>
    <n v="9"/>
    <m/>
  </r>
  <r>
    <s v="gel1"/>
    <x v="8"/>
    <n v="2"/>
    <s v="Und"/>
    <x v="2"/>
    <d v="2026-07-22T00:00:00"/>
    <m/>
    <m/>
    <x v="2"/>
    <n v="9971"/>
    <m/>
    <n v="2261995"/>
    <n v="11"/>
    <m/>
  </r>
  <r>
    <s v="gel1"/>
    <x v="8"/>
    <n v="2"/>
    <s v="Und"/>
    <x v="2"/>
    <d v="2026-07-22T00:00:00"/>
    <m/>
    <m/>
    <x v="2"/>
    <n v="9971"/>
    <m/>
    <n v="2261944"/>
    <n v="13"/>
    <m/>
  </r>
  <r>
    <s v="gel1"/>
    <x v="8"/>
    <n v="2"/>
    <s v="Und"/>
    <x v="2"/>
    <d v="2026-07-22T00:00:00"/>
    <m/>
    <m/>
    <x v="2"/>
    <n v="9971"/>
    <m/>
    <n v="2261855"/>
    <n v="15"/>
    <m/>
  </r>
  <r>
    <s v="gel1"/>
    <x v="8"/>
    <n v="2"/>
    <s v="Und"/>
    <x v="2"/>
    <d v="2026-07-22T00:00:00"/>
    <m/>
    <m/>
    <x v="2"/>
    <n v="9971"/>
    <m/>
    <n v="2261901"/>
    <n v="19"/>
    <m/>
  </r>
  <r>
    <s v="3*14"/>
    <x v="3"/>
    <n v="12"/>
    <s v="Mts"/>
    <x v="2"/>
    <d v="2026-07-22T00:00:00"/>
    <m/>
    <m/>
    <x v="2"/>
    <n v="9971"/>
    <m/>
    <n v="2262008"/>
    <n v="1"/>
    <m/>
  </r>
  <r>
    <s v="3*14"/>
    <x v="3"/>
    <n v="12"/>
    <s v="Mts"/>
    <x v="2"/>
    <d v="2026-07-22T00:00:00"/>
    <m/>
    <m/>
    <x v="2"/>
    <n v="9971"/>
    <m/>
    <n v="2261723"/>
    <n v="3"/>
    <m/>
  </r>
  <r>
    <s v="3*14"/>
    <x v="3"/>
    <n v="12"/>
    <s v="Mts"/>
    <x v="2"/>
    <d v="2026-07-22T00:00:00"/>
    <m/>
    <m/>
    <x v="2"/>
    <n v="9971"/>
    <m/>
    <n v="2261774"/>
    <n v="5"/>
    <m/>
  </r>
  <r>
    <s v="3*14"/>
    <x v="3"/>
    <n v="12"/>
    <s v="Mts"/>
    <x v="2"/>
    <d v="2026-07-22T00:00:00"/>
    <m/>
    <m/>
    <x v="2"/>
    <n v="9971"/>
    <m/>
    <n v="2262037"/>
    <n v="7"/>
    <m/>
  </r>
  <r>
    <s v="3*14"/>
    <x v="3"/>
    <n v="12"/>
    <s v="Mts"/>
    <x v="2"/>
    <d v="2026-07-22T00:00:00"/>
    <m/>
    <m/>
    <x v="2"/>
    <n v="9971"/>
    <m/>
    <n v="2261812"/>
    <n v="9"/>
    <m/>
  </r>
  <r>
    <s v="3*14"/>
    <x v="3"/>
    <n v="12"/>
    <s v="Mts"/>
    <x v="2"/>
    <d v="2026-07-22T00:00:00"/>
    <m/>
    <m/>
    <x v="2"/>
    <n v="9971"/>
    <m/>
    <n v="2261995"/>
    <n v="11"/>
    <m/>
  </r>
  <r>
    <s v="3*14"/>
    <x v="3"/>
    <n v="12"/>
    <s v="Mts"/>
    <x v="2"/>
    <d v="2026-07-22T00:00:00"/>
    <m/>
    <m/>
    <x v="2"/>
    <n v="9971"/>
    <m/>
    <n v="2261944"/>
    <n v="13"/>
    <m/>
  </r>
  <r>
    <s v="3*14"/>
    <x v="3"/>
    <n v="12"/>
    <s v="Mts"/>
    <x v="2"/>
    <d v="2026-07-22T00:00:00"/>
    <m/>
    <m/>
    <x v="2"/>
    <n v="9971"/>
    <m/>
    <n v="2261855"/>
    <n v="15"/>
    <m/>
  </r>
  <r>
    <s v="3*14"/>
    <x v="3"/>
    <n v="12"/>
    <s v="Mts"/>
    <x v="2"/>
    <d v="2026-07-22T00:00:00"/>
    <m/>
    <m/>
    <x v="2"/>
    <n v="9971"/>
    <m/>
    <n v="2261901"/>
    <n v="19"/>
    <m/>
  </r>
  <r>
    <s v="cooper"/>
    <x v="28"/>
    <n v="1"/>
    <s v="Und"/>
    <x v="2"/>
    <d v="2026-07-22T00:00:00"/>
    <m/>
    <m/>
    <x v="2"/>
    <n v="9971"/>
    <m/>
    <n v="2262008"/>
    <n v="1"/>
    <m/>
  </r>
  <r>
    <s v="cooper"/>
    <x v="28"/>
    <n v="1"/>
    <s v="Und"/>
    <x v="2"/>
    <d v="2026-07-22T00:00:00"/>
    <m/>
    <m/>
    <x v="2"/>
    <n v="9971"/>
    <m/>
    <n v="2261723"/>
    <n v="3"/>
    <m/>
  </r>
  <r>
    <s v="cooper"/>
    <x v="28"/>
    <n v="1"/>
    <s v="Und"/>
    <x v="2"/>
    <d v="2026-07-22T00:00:00"/>
    <m/>
    <m/>
    <x v="2"/>
    <n v="9971"/>
    <m/>
    <n v="2261774"/>
    <n v="5"/>
    <m/>
  </r>
  <r>
    <s v="cooper"/>
    <x v="28"/>
    <n v="1"/>
    <s v="Und"/>
    <x v="2"/>
    <d v="2026-07-22T00:00:00"/>
    <m/>
    <m/>
    <x v="2"/>
    <n v="9971"/>
    <m/>
    <n v="2262037"/>
    <n v="7"/>
    <m/>
  </r>
  <r>
    <s v="cooper"/>
    <x v="28"/>
    <n v="1"/>
    <s v="Und"/>
    <x v="2"/>
    <d v="2026-07-22T00:00:00"/>
    <m/>
    <m/>
    <x v="2"/>
    <n v="9971"/>
    <m/>
    <n v="2261812"/>
    <n v="9"/>
    <m/>
  </r>
  <r>
    <s v="cooper"/>
    <x v="28"/>
    <n v="1"/>
    <s v="Und"/>
    <x v="2"/>
    <d v="2026-07-22T00:00:00"/>
    <m/>
    <m/>
    <x v="2"/>
    <n v="9971"/>
    <m/>
    <n v="2261995"/>
    <n v="11"/>
    <m/>
  </r>
  <r>
    <s v="cooper"/>
    <x v="28"/>
    <n v="1"/>
    <s v="Und"/>
    <x v="2"/>
    <d v="2026-07-22T00:00:00"/>
    <m/>
    <m/>
    <x v="2"/>
    <n v="9971"/>
    <m/>
    <n v="2261944"/>
    <n v="13"/>
    <m/>
  </r>
  <r>
    <s v="cooper"/>
    <x v="28"/>
    <n v="1"/>
    <s v="Und"/>
    <x v="2"/>
    <d v="2026-07-22T00:00:00"/>
    <m/>
    <m/>
    <x v="2"/>
    <n v="9971"/>
    <m/>
    <n v="2261855"/>
    <n v="15"/>
    <m/>
  </r>
  <r>
    <s v="cooper"/>
    <x v="28"/>
    <n v="1"/>
    <s v="Und"/>
    <x v="2"/>
    <d v="2026-07-22T00:00:00"/>
    <m/>
    <m/>
    <x v="2"/>
    <n v="9971"/>
    <m/>
    <n v="2261901"/>
    <n v="19"/>
    <m/>
  </r>
  <r>
    <s v="conec3"/>
    <x v="29"/>
    <n v="1"/>
    <s v="Und"/>
    <x v="2"/>
    <d v="2026-07-22T00:00:00"/>
    <m/>
    <m/>
    <x v="2"/>
    <n v="9971"/>
    <m/>
    <n v="2262008"/>
    <n v="1"/>
    <m/>
  </r>
  <r>
    <s v="conec3"/>
    <x v="29"/>
    <n v="1"/>
    <s v="Und"/>
    <x v="2"/>
    <d v="2026-07-22T00:00:00"/>
    <m/>
    <m/>
    <x v="2"/>
    <n v="9971"/>
    <m/>
    <n v="2261723"/>
    <n v="3"/>
    <m/>
  </r>
  <r>
    <s v="conec3"/>
    <x v="29"/>
    <n v="1"/>
    <s v="Und"/>
    <x v="2"/>
    <d v="2026-07-22T00:00:00"/>
    <m/>
    <m/>
    <x v="2"/>
    <n v="9971"/>
    <m/>
    <n v="2261774"/>
    <n v="5"/>
    <m/>
  </r>
  <r>
    <s v="conec3"/>
    <x v="29"/>
    <n v="1"/>
    <s v="Und"/>
    <x v="2"/>
    <d v="2026-07-22T00:00:00"/>
    <m/>
    <m/>
    <x v="2"/>
    <n v="9971"/>
    <m/>
    <n v="2262037"/>
    <n v="7"/>
    <m/>
  </r>
  <r>
    <s v="conec3"/>
    <x v="29"/>
    <n v="1"/>
    <s v="Und"/>
    <x v="2"/>
    <d v="2026-07-22T00:00:00"/>
    <m/>
    <m/>
    <x v="2"/>
    <n v="9971"/>
    <m/>
    <n v="2261812"/>
    <n v="9"/>
    <m/>
  </r>
  <r>
    <s v="conec3"/>
    <x v="29"/>
    <n v="1"/>
    <s v="Und"/>
    <x v="2"/>
    <d v="2026-07-22T00:00:00"/>
    <m/>
    <m/>
    <x v="2"/>
    <n v="9971"/>
    <m/>
    <n v="2261995"/>
    <n v="11"/>
    <m/>
  </r>
  <r>
    <s v="conec3"/>
    <x v="29"/>
    <n v="1"/>
    <s v="Und"/>
    <x v="2"/>
    <d v="2026-07-22T00:00:00"/>
    <m/>
    <m/>
    <x v="2"/>
    <n v="9971"/>
    <m/>
    <n v="2261944"/>
    <n v="13"/>
    <m/>
  </r>
  <r>
    <s v="conec3"/>
    <x v="29"/>
    <n v="1"/>
    <s v="Und"/>
    <x v="2"/>
    <d v="2026-07-22T00:00:00"/>
    <m/>
    <m/>
    <x v="2"/>
    <n v="9971"/>
    <m/>
    <n v="2261855"/>
    <n v="15"/>
    <m/>
  </r>
  <r>
    <s v="conec3"/>
    <x v="29"/>
    <n v="1"/>
    <s v="Und"/>
    <x v="2"/>
    <d v="2026-07-22T00:00:00"/>
    <m/>
    <m/>
    <x v="2"/>
    <n v="9971"/>
    <m/>
    <n v="2261901"/>
    <n v="19"/>
    <m/>
  </r>
  <r>
    <s v="bandit"/>
    <x v="4"/>
    <n v="4"/>
    <s v="Und"/>
    <x v="2"/>
    <d v="2026-07-22T00:00:00"/>
    <m/>
    <m/>
    <x v="2"/>
    <n v="9971"/>
    <m/>
    <n v="2262008"/>
    <n v="1"/>
    <m/>
  </r>
  <r>
    <s v="bandit"/>
    <x v="4"/>
    <n v="4"/>
    <s v="Und"/>
    <x v="2"/>
    <d v="2026-07-22T00:00:00"/>
    <m/>
    <m/>
    <x v="2"/>
    <n v="9971"/>
    <m/>
    <n v="2261944"/>
    <n v="13"/>
    <m/>
  </r>
  <r>
    <s v="hebilla"/>
    <x v="5"/>
    <n v="4"/>
    <s v="Und"/>
    <x v="2"/>
    <d v="2026-07-22T00:00:00"/>
    <m/>
    <m/>
    <x v="2"/>
    <n v="9971"/>
    <m/>
    <n v="2262008"/>
    <n v="1"/>
    <m/>
  </r>
  <r>
    <s v="hebilla"/>
    <x v="5"/>
    <n v="4"/>
    <s v="Und"/>
    <x v="2"/>
    <d v="2026-07-22T00:00:00"/>
    <m/>
    <m/>
    <x v="2"/>
    <n v="9971"/>
    <m/>
    <n v="2261944"/>
    <n v="13"/>
    <m/>
  </r>
  <r>
    <s v="#4"/>
    <x v="41"/>
    <n v="22"/>
    <s v="Mts"/>
    <x v="2"/>
    <d v="2026-07-22T00:00:00"/>
    <m/>
    <m/>
    <x v="2"/>
    <n v="9971"/>
    <m/>
    <n v="2261723"/>
    <n v="3"/>
    <m/>
  </r>
  <r>
    <s v="#4"/>
    <x v="41"/>
    <n v="25"/>
    <s v="Mts"/>
    <x v="2"/>
    <d v="2026-07-22T00:00:00"/>
    <m/>
    <m/>
    <x v="2"/>
    <n v="9971"/>
    <m/>
    <n v="2262037"/>
    <n v="7"/>
    <m/>
  </r>
  <r>
    <s v="#4"/>
    <x v="41"/>
    <n v="22"/>
    <s v="Mts"/>
    <x v="2"/>
    <d v="2026-07-22T00:00:00"/>
    <m/>
    <m/>
    <x v="2"/>
    <n v="9971"/>
    <m/>
    <n v="2261812"/>
    <n v="9"/>
    <m/>
  </r>
  <r>
    <s v="#4"/>
    <x v="41"/>
    <n v="18"/>
    <s v="Mts"/>
    <x v="2"/>
    <d v="2026-07-22T00:00:00"/>
    <m/>
    <m/>
    <x v="2"/>
    <n v="9971"/>
    <m/>
    <n v="2261995"/>
    <n v="11"/>
    <m/>
  </r>
  <r>
    <s v="#4"/>
    <x v="41"/>
    <n v="25"/>
    <s v="Mts"/>
    <x v="2"/>
    <d v="2026-07-22T00:00:00"/>
    <m/>
    <m/>
    <x v="2"/>
    <n v="9971"/>
    <m/>
    <n v="2261855"/>
    <n v="15"/>
    <m/>
  </r>
  <r>
    <s v="#4"/>
    <x v="41"/>
    <n v="25"/>
    <s v="Mts"/>
    <x v="2"/>
    <d v="2026-07-22T00:00:00"/>
    <m/>
    <m/>
    <x v="2"/>
    <n v="9971"/>
    <m/>
    <n v="2261901"/>
    <n v="19"/>
    <m/>
  </r>
  <r>
    <s v="tubo 3"/>
    <x v="12"/>
    <n v="0.6"/>
    <s v="Mts"/>
    <x v="2"/>
    <d v="2026-07-22T00:00:00"/>
    <m/>
    <m/>
    <x v="2"/>
    <n v="9971"/>
    <m/>
    <n v="2262008"/>
    <n v="1"/>
    <m/>
  </r>
  <r>
    <s v="tubo 3"/>
    <x v="12"/>
    <n v="1"/>
    <s v="Mts"/>
    <x v="2"/>
    <d v="2026-07-22T00:00:00"/>
    <m/>
    <m/>
    <x v="2"/>
    <n v="9971"/>
    <m/>
    <n v="2261723"/>
    <n v="3"/>
    <m/>
  </r>
  <r>
    <s v="tubo 3"/>
    <x v="12"/>
    <n v="0.2"/>
    <s v="Mts"/>
    <x v="2"/>
    <d v="2026-07-22T00:00:00"/>
    <m/>
    <m/>
    <x v="2"/>
    <n v="9971"/>
    <m/>
    <n v="2261774"/>
    <n v="5"/>
    <m/>
  </r>
  <r>
    <s v="tubo 3"/>
    <x v="12"/>
    <n v="1"/>
    <s v="Mts"/>
    <x v="2"/>
    <d v="2026-07-22T00:00:00"/>
    <m/>
    <m/>
    <x v="2"/>
    <n v="9971"/>
    <m/>
    <n v="2262037"/>
    <n v="7"/>
    <m/>
  </r>
  <r>
    <s v="tubo 3"/>
    <x v="12"/>
    <n v="1"/>
    <s v="Mts"/>
    <x v="2"/>
    <d v="2026-07-22T00:00:00"/>
    <m/>
    <m/>
    <x v="2"/>
    <n v="9971"/>
    <m/>
    <n v="2261812"/>
    <n v="9"/>
    <m/>
  </r>
  <r>
    <s v="tubo 3"/>
    <x v="12"/>
    <n v="1"/>
    <s v="Mts"/>
    <x v="2"/>
    <d v="2026-07-22T00:00:00"/>
    <m/>
    <m/>
    <x v="2"/>
    <n v="9971"/>
    <m/>
    <n v="2261995"/>
    <n v="11"/>
    <m/>
  </r>
  <r>
    <s v="tubo 3"/>
    <x v="12"/>
    <n v="1"/>
    <s v="Mts"/>
    <x v="2"/>
    <d v="2026-07-22T00:00:00"/>
    <m/>
    <m/>
    <x v="2"/>
    <n v="9971"/>
    <m/>
    <n v="2261944"/>
    <n v="13"/>
    <m/>
  </r>
  <r>
    <s v="tubo 3"/>
    <x v="12"/>
    <n v="1"/>
    <s v="Mts"/>
    <x v="2"/>
    <d v="2026-07-22T00:00:00"/>
    <m/>
    <m/>
    <x v="2"/>
    <n v="9971"/>
    <m/>
    <n v="2261855"/>
    <n v="15"/>
    <m/>
  </r>
  <r>
    <s v="tubo 3"/>
    <x v="12"/>
    <n v="1"/>
    <s v="Mts"/>
    <x v="2"/>
    <d v="2026-07-22T00:00:00"/>
    <m/>
    <m/>
    <x v="2"/>
    <n v="9971"/>
    <m/>
    <n v="2261901"/>
    <n v="19"/>
    <m/>
  </r>
  <r>
    <s v="marco"/>
    <x v="30"/>
    <n v="1"/>
    <s v="Und"/>
    <x v="2"/>
    <d v="2026-07-22T00:00:00"/>
    <m/>
    <m/>
    <x v="2"/>
    <n v="9971"/>
    <m/>
    <n v="2262008"/>
    <n v="1"/>
    <m/>
  </r>
  <r>
    <s v="marco"/>
    <x v="30"/>
    <n v="1"/>
    <s v="Und"/>
    <x v="2"/>
    <d v="2026-07-22T00:00:00"/>
    <m/>
    <m/>
    <x v="2"/>
    <n v="9971"/>
    <m/>
    <n v="2261723"/>
    <n v="3"/>
    <m/>
  </r>
  <r>
    <s v="marco"/>
    <x v="30"/>
    <n v="1"/>
    <s v="Und"/>
    <x v="2"/>
    <d v="2026-07-22T00:00:00"/>
    <m/>
    <m/>
    <x v="2"/>
    <n v="9971"/>
    <m/>
    <n v="2261774"/>
    <n v="5"/>
    <m/>
  </r>
  <r>
    <s v="marco"/>
    <x v="30"/>
    <n v="1"/>
    <s v="Und"/>
    <x v="2"/>
    <d v="2026-07-22T00:00:00"/>
    <m/>
    <m/>
    <x v="2"/>
    <n v="9971"/>
    <m/>
    <n v="2262037"/>
    <n v="7"/>
    <m/>
  </r>
  <r>
    <s v="marco"/>
    <x v="30"/>
    <n v="1"/>
    <s v="Und"/>
    <x v="2"/>
    <d v="2026-07-22T00:00:00"/>
    <m/>
    <m/>
    <x v="2"/>
    <n v="9971"/>
    <m/>
    <n v="2261812"/>
    <n v="9"/>
    <m/>
  </r>
  <r>
    <s v="marco"/>
    <x v="30"/>
    <n v="1"/>
    <s v="Und"/>
    <x v="2"/>
    <d v="2026-07-22T00:00:00"/>
    <m/>
    <m/>
    <x v="2"/>
    <n v="9971"/>
    <m/>
    <n v="2261995"/>
    <n v="11"/>
    <m/>
  </r>
  <r>
    <s v="marco"/>
    <x v="30"/>
    <n v="1"/>
    <s v="Und"/>
    <x v="2"/>
    <d v="2026-07-22T00:00:00"/>
    <m/>
    <m/>
    <x v="2"/>
    <n v="9971"/>
    <m/>
    <n v="2261855"/>
    <n v="15"/>
    <m/>
  </r>
  <r>
    <s v="tapa2"/>
    <x v="14"/>
    <n v="1"/>
    <s v="Und"/>
    <x v="2"/>
    <d v="2026-07-22T00:00:00"/>
    <m/>
    <m/>
    <x v="2"/>
    <n v="9971"/>
    <m/>
    <n v="2262008"/>
    <n v="1"/>
    <m/>
  </r>
  <r>
    <s v="tapa2"/>
    <x v="14"/>
    <n v="1"/>
    <s v="Und"/>
    <x v="2"/>
    <d v="2026-07-22T00:00:00"/>
    <m/>
    <m/>
    <x v="2"/>
    <n v="9971"/>
    <m/>
    <n v="2261723"/>
    <n v="3"/>
    <m/>
  </r>
  <r>
    <s v="tapa2"/>
    <x v="14"/>
    <n v="1"/>
    <s v="Und"/>
    <x v="2"/>
    <d v="2026-07-22T00:00:00"/>
    <m/>
    <m/>
    <x v="2"/>
    <n v="9971"/>
    <m/>
    <n v="2261774"/>
    <n v="5"/>
    <m/>
  </r>
  <r>
    <s v="tapa2"/>
    <x v="14"/>
    <n v="1"/>
    <s v="Und"/>
    <x v="2"/>
    <d v="2026-07-22T00:00:00"/>
    <m/>
    <m/>
    <x v="2"/>
    <n v="9971"/>
    <m/>
    <n v="2262037"/>
    <n v="7"/>
    <m/>
  </r>
  <r>
    <s v="tapa2"/>
    <x v="14"/>
    <n v="1"/>
    <s v="Und"/>
    <x v="2"/>
    <d v="2026-07-22T00:00:00"/>
    <m/>
    <m/>
    <x v="2"/>
    <n v="9971"/>
    <m/>
    <n v="2261812"/>
    <n v="9"/>
    <m/>
  </r>
  <r>
    <s v="tapa2"/>
    <x v="14"/>
    <n v="1"/>
    <s v="Und"/>
    <x v="2"/>
    <d v="2026-07-22T00:00:00"/>
    <m/>
    <m/>
    <x v="2"/>
    <n v="9971"/>
    <m/>
    <n v="2261995"/>
    <n v="11"/>
    <m/>
  </r>
  <r>
    <s v="tapa2"/>
    <x v="14"/>
    <n v="1"/>
    <s v="Und"/>
    <x v="2"/>
    <d v="2026-07-22T00:00:00"/>
    <m/>
    <m/>
    <x v="2"/>
    <n v="9971"/>
    <m/>
    <n v="2261855"/>
    <n v="15"/>
    <m/>
  </r>
  <r>
    <s v="conduit"/>
    <x v="37"/>
    <n v="2"/>
    <s v="Und"/>
    <x v="2"/>
    <d v="2026-07-22T00:00:00"/>
    <m/>
    <m/>
    <x v="2"/>
    <n v="9971"/>
    <m/>
    <n v="2262008"/>
    <n v="1"/>
    <m/>
  </r>
  <r>
    <s v="conduit"/>
    <x v="37"/>
    <n v="2"/>
    <s v="Und"/>
    <x v="2"/>
    <d v="2026-07-22T00:00:00"/>
    <m/>
    <m/>
    <x v="2"/>
    <n v="9971"/>
    <m/>
    <n v="2261812"/>
    <n v="9"/>
    <m/>
  </r>
  <r>
    <s v="conduit"/>
    <x v="37"/>
    <n v="2"/>
    <s v="Und"/>
    <x v="2"/>
    <d v="2026-07-22T00:00:00"/>
    <m/>
    <m/>
    <x v="2"/>
    <n v="9971"/>
    <m/>
    <n v="2261944"/>
    <n v="13"/>
    <m/>
  </r>
  <r>
    <s v="lumr-150"/>
    <x v="17"/>
    <n v="1"/>
    <s v="Und"/>
    <x v="1"/>
    <d v="2026-07-22T00:00:00"/>
    <m/>
    <m/>
    <x v="2"/>
    <n v="9971"/>
    <m/>
    <n v="2262008"/>
    <n v="1"/>
    <m/>
  </r>
  <r>
    <s v="lumr-150"/>
    <x v="17"/>
    <n v="1"/>
    <s v="Und"/>
    <x v="1"/>
    <d v="2026-07-22T00:00:00"/>
    <m/>
    <m/>
    <x v="2"/>
    <n v="9971"/>
    <m/>
    <n v="2261723"/>
    <n v="3"/>
    <m/>
  </r>
  <r>
    <s v="lumr-150"/>
    <x v="17"/>
    <n v="1"/>
    <s v="Und"/>
    <x v="1"/>
    <d v="2026-07-22T00:00:00"/>
    <m/>
    <m/>
    <x v="2"/>
    <n v="9971"/>
    <m/>
    <n v="2261723"/>
    <n v="4"/>
    <m/>
  </r>
  <r>
    <s v="lumr-150"/>
    <x v="17"/>
    <n v="1"/>
    <s v="Und"/>
    <x v="1"/>
    <d v="2026-07-22T00:00:00"/>
    <m/>
    <m/>
    <x v="2"/>
    <n v="9971"/>
    <m/>
    <n v="2261774"/>
    <n v="5"/>
    <m/>
  </r>
  <r>
    <s v="lumr-150"/>
    <x v="17"/>
    <n v="1"/>
    <s v="Und"/>
    <x v="1"/>
    <d v="2026-07-22T00:00:00"/>
    <m/>
    <m/>
    <x v="2"/>
    <n v="9971"/>
    <m/>
    <n v="2261774"/>
    <n v="6"/>
    <m/>
  </r>
  <r>
    <s v="lumr-150"/>
    <x v="17"/>
    <n v="1"/>
    <s v="Und"/>
    <x v="1"/>
    <d v="2026-07-22T00:00:00"/>
    <m/>
    <m/>
    <x v="2"/>
    <n v="9971"/>
    <m/>
    <n v="2262037"/>
    <n v="7"/>
    <m/>
  </r>
  <r>
    <s v="lumr-150"/>
    <x v="17"/>
    <n v="1"/>
    <s v="Und"/>
    <x v="1"/>
    <d v="2026-07-22T00:00:00"/>
    <m/>
    <m/>
    <x v="2"/>
    <n v="9971"/>
    <m/>
    <n v="2262037"/>
    <n v="8"/>
    <m/>
  </r>
  <r>
    <s v="lumr-150"/>
    <x v="17"/>
    <n v="1"/>
    <s v="Und"/>
    <x v="1"/>
    <d v="2026-07-22T00:00:00"/>
    <m/>
    <m/>
    <x v="2"/>
    <n v="9971"/>
    <m/>
    <n v="2261812"/>
    <n v="9"/>
    <m/>
  </r>
  <r>
    <s v="lumr-150"/>
    <x v="17"/>
    <n v="1"/>
    <s v="Und"/>
    <x v="1"/>
    <d v="2026-07-22T00:00:00"/>
    <m/>
    <m/>
    <x v="2"/>
    <n v="9971"/>
    <m/>
    <n v="2261812"/>
    <n v="10"/>
    <m/>
  </r>
  <r>
    <s v="lumr-150"/>
    <x v="17"/>
    <n v="1"/>
    <s v="Und"/>
    <x v="1"/>
    <d v="2026-07-22T00:00:00"/>
    <m/>
    <m/>
    <x v="2"/>
    <n v="9971"/>
    <m/>
    <n v="2261995"/>
    <n v="11"/>
    <m/>
  </r>
  <r>
    <s v="lumr-150"/>
    <x v="17"/>
    <n v="1"/>
    <s v="Und"/>
    <x v="1"/>
    <d v="2026-07-22T00:00:00"/>
    <m/>
    <m/>
    <x v="2"/>
    <n v="9971"/>
    <m/>
    <n v="2261995"/>
    <n v="12"/>
    <m/>
  </r>
  <r>
    <s v="lumr-150"/>
    <x v="17"/>
    <n v="1"/>
    <s v="Und"/>
    <x v="1"/>
    <d v="2026-07-22T00:00:00"/>
    <m/>
    <m/>
    <x v="2"/>
    <n v="9971"/>
    <m/>
    <n v="2261944"/>
    <n v="13"/>
    <m/>
  </r>
  <r>
    <s v="lumr-150"/>
    <x v="17"/>
    <n v="1"/>
    <s v="Und"/>
    <x v="1"/>
    <d v="2026-07-22T00:00:00"/>
    <m/>
    <m/>
    <x v="2"/>
    <n v="9971"/>
    <m/>
    <n v="2261944"/>
    <n v="14"/>
    <m/>
  </r>
  <r>
    <s v="lumr-150"/>
    <x v="17"/>
    <n v="1"/>
    <s v="Und"/>
    <x v="1"/>
    <d v="2026-07-22T00:00:00"/>
    <m/>
    <m/>
    <x v="2"/>
    <n v="9971"/>
    <m/>
    <n v="2261855"/>
    <n v="15"/>
    <m/>
  </r>
  <r>
    <s v="lumr-150"/>
    <x v="17"/>
    <n v="1"/>
    <s v="Und"/>
    <x v="1"/>
    <d v="2026-07-22T00:00:00"/>
    <m/>
    <m/>
    <x v="2"/>
    <n v="9971"/>
    <m/>
    <n v="2261855"/>
    <n v="16"/>
    <m/>
  </r>
  <r>
    <s v="lumr-150"/>
    <x v="17"/>
    <n v="1"/>
    <s v="Und"/>
    <x v="1"/>
    <d v="2026-07-22T00:00:00"/>
    <m/>
    <m/>
    <x v="2"/>
    <n v="9971"/>
    <m/>
    <n v="2261901"/>
    <n v="17"/>
    <m/>
  </r>
  <r>
    <s v="lumr-150"/>
    <x v="17"/>
    <n v="1"/>
    <s v="Und"/>
    <x v="1"/>
    <d v="2026-07-22T00:00:00"/>
    <m/>
    <m/>
    <x v="2"/>
    <n v="9971"/>
    <m/>
    <n v="2261901"/>
    <n v="18"/>
    <m/>
  </r>
  <r>
    <s v="lumr-150"/>
    <x v="17"/>
    <n v="1"/>
    <s v="Und"/>
    <x v="1"/>
    <d v="2026-07-22T00:00:00"/>
    <m/>
    <m/>
    <x v="2"/>
    <n v="9971"/>
    <m/>
    <n v="2261901"/>
    <n v="19"/>
    <m/>
  </r>
  <r>
    <s v="Foto"/>
    <x v="15"/>
    <n v="1"/>
    <s v="Und"/>
    <x v="1"/>
    <d v="2026-07-22T00:00:00"/>
    <m/>
    <m/>
    <x v="2"/>
    <n v="9971"/>
    <m/>
    <n v="2262008"/>
    <n v="1"/>
    <m/>
  </r>
  <r>
    <s v="Foto"/>
    <x v="15"/>
    <n v="1"/>
    <s v="Und"/>
    <x v="1"/>
    <d v="2026-07-22T00:00:00"/>
    <m/>
    <m/>
    <x v="2"/>
    <n v="9971"/>
    <m/>
    <n v="2261723"/>
    <n v="3"/>
    <m/>
  </r>
  <r>
    <s v="Foto"/>
    <x v="15"/>
    <n v="1"/>
    <s v="Und"/>
    <x v="1"/>
    <d v="2026-07-22T00:00:00"/>
    <m/>
    <m/>
    <x v="2"/>
    <n v="9971"/>
    <m/>
    <n v="2261723"/>
    <n v="4"/>
    <m/>
  </r>
  <r>
    <s v="Foto"/>
    <x v="15"/>
    <n v="1"/>
    <s v="Und"/>
    <x v="1"/>
    <d v="2026-07-22T00:00:00"/>
    <m/>
    <m/>
    <x v="2"/>
    <n v="9971"/>
    <m/>
    <n v="2261774"/>
    <n v="5"/>
    <m/>
  </r>
  <r>
    <s v="Foto"/>
    <x v="15"/>
    <n v="1"/>
    <s v="Und"/>
    <x v="1"/>
    <d v="2026-07-22T00:00:00"/>
    <m/>
    <m/>
    <x v="2"/>
    <n v="9971"/>
    <m/>
    <n v="2261774"/>
    <n v="6"/>
    <m/>
  </r>
  <r>
    <s v="Foto"/>
    <x v="15"/>
    <n v="1"/>
    <s v="Und"/>
    <x v="1"/>
    <d v="2026-07-22T00:00:00"/>
    <m/>
    <m/>
    <x v="2"/>
    <n v="9971"/>
    <m/>
    <n v="2262037"/>
    <n v="7"/>
    <m/>
  </r>
  <r>
    <s v="Foto"/>
    <x v="15"/>
    <n v="1"/>
    <s v="Und"/>
    <x v="1"/>
    <d v="2026-07-22T00:00:00"/>
    <m/>
    <m/>
    <x v="2"/>
    <n v="9971"/>
    <m/>
    <n v="2262037"/>
    <n v="8"/>
    <m/>
  </r>
  <r>
    <s v="Foto"/>
    <x v="15"/>
    <n v="1"/>
    <s v="Und"/>
    <x v="1"/>
    <d v="2026-07-22T00:00:00"/>
    <m/>
    <m/>
    <x v="2"/>
    <n v="9971"/>
    <m/>
    <n v="2261812"/>
    <n v="9"/>
    <m/>
  </r>
  <r>
    <s v="Foto"/>
    <x v="15"/>
    <n v="1"/>
    <s v="Und"/>
    <x v="1"/>
    <d v="2026-07-22T00:00:00"/>
    <m/>
    <m/>
    <x v="2"/>
    <n v="9971"/>
    <m/>
    <n v="2261812"/>
    <n v="10"/>
    <m/>
  </r>
  <r>
    <s v="Foto"/>
    <x v="15"/>
    <n v="1"/>
    <s v="Und"/>
    <x v="1"/>
    <d v="2026-07-22T00:00:00"/>
    <m/>
    <m/>
    <x v="2"/>
    <n v="9971"/>
    <m/>
    <n v="2261995"/>
    <n v="11"/>
    <m/>
  </r>
  <r>
    <s v="Foto"/>
    <x v="15"/>
    <n v="1"/>
    <s v="Und"/>
    <x v="1"/>
    <d v="2026-07-22T00:00:00"/>
    <m/>
    <m/>
    <x v="2"/>
    <n v="9971"/>
    <m/>
    <n v="2261995"/>
    <n v="12"/>
    <m/>
  </r>
  <r>
    <s v="Foto"/>
    <x v="15"/>
    <n v="1"/>
    <s v="Und"/>
    <x v="1"/>
    <d v="2026-07-22T00:00:00"/>
    <m/>
    <m/>
    <x v="2"/>
    <n v="9971"/>
    <m/>
    <n v="2261944"/>
    <n v="13"/>
    <m/>
  </r>
  <r>
    <s v="Foto"/>
    <x v="15"/>
    <n v="1"/>
    <s v="Und"/>
    <x v="1"/>
    <d v="2026-07-22T00:00:00"/>
    <m/>
    <m/>
    <x v="2"/>
    <n v="9971"/>
    <m/>
    <n v="2261944"/>
    <n v="14"/>
    <m/>
  </r>
  <r>
    <s v="Foto"/>
    <x v="15"/>
    <n v="1"/>
    <s v="Und"/>
    <x v="1"/>
    <d v="2026-07-22T00:00:00"/>
    <m/>
    <m/>
    <x v="2"/>
    <n v="9971"/>
    <m/>
    <n v="2261855"/>
    <n v="15"/>
    <m/>
  </r>
  <r>
    <s v="Foto"/>
    <x v="15"/>
    <n v="1"/>
    <s v="Und"/>
    <x v="1"/>
    <d v="2026-07-22T00:00:00"/>
    <m/>
    <m/>
    <x v="2"/>
    <n v="9971"/>
    <m/>
    <n v="2261855"/>
    <n v="16"/>
    <m/>
  </r>
  <r>
    <s v="Foto"/>
    <x v="15"/>
    <n v="1"/>
    <s v="Und"/>
    <x v="1"/>
    <d v="2026-07-22T00:00:00"/>
    <m/>
    <m/>
    <x v="2"/>
    <n v="9971"/>
    <m/>
    <n v="2261901"/>
    <n v="17"/>
    <m/>
  </r>
  <r>
    <s v="Foto"/>
    <x v="15"/>
    <n v="1"/>
    <s v="Und"/>
    <x v="1"/>
    <d v="2026-07-22T00:00:00"/>
    <m/>
    <m/>
    <x v="2"/>
    <n v="9971"/>
    <m/>
    <n v="2261901"/>
    <n v="18"/>
    <m/>
  </r>
  <r>
    <s v="Foto"/>
    <x v="15"/>
    <n v="1"/>
    <s v="Und"/>
    <x v="1"/>
    <d v="2026-07-22T00:00:00"/>
    <m/>
    <m/>
    <x v="2"/>
    <n v="9971"/>
    <m/>
    <n v="2261901"/>
    <n v="19"/>
    <m/>
  </r>
  <r>
    <s v="lum-75"/>
    <x v="16"/>
    <n v="1"/>
    <s v="Und"/>
    <x v="2"/>
    <d v="2026-07-22T00:00:00"/>
    <s v="CURRENT"/>
    <s v="6E00428"/>
    <x v="2"/>
    <n v="9966"/>
    <m/>
    <n v="2262215"/>
    <n v="1"/>
    <m/>
  </r>
  <r>
    <s v="lum-75"/>
    <x v="16"/>
    <n v="1"/>
    <s v="Und"/>
    <x v="2"/>
    <d v="2026-07-22T00:00:00"/>
    <s v="CURRENT"/>
    <s v="6E00464"/>
    <x v="2"/>
    <n v="9966"/>
    <m/>
    <n v="2262215"/>
    <n v="2"/>
    <m/>
  </r>
  <r>
    <s v="lum-110"/>
    <x v="20"/>
    <n v="1"/>
    <s v="Und"/>
    <x v="2"/>
    <d v="2026-07-22T00:00:00"/>
    <s v="CURRENT"/>
    <s v="6G00157"/>
    <x v="2"/>
    <n v="9966"/>
    <m/>
    <n v="2085887"/>
    <n v="3"/>
    <m/>
  </r>
  <r>
    <s v="lum-110"/>
    <x v="20"/>
    <n v="1"/>
    <s v="Und"/>
    <x v="2"/>
    <d v="2026-07-22T00:00:00"/>
    <s v="CURRENT"/>
    <s v="6G00131"/>
    <x v="2"/>
    <n v="9966"/>
    <m/>
    <n v="2085887"/>
    <n v="4"/>
    <m/>
  </r>
  <r>
    <s v="lum-75"/>
    <x v="16"/>
    <n v="1"/>
    <s v="Und"/>
    <x v="2"/>
    <d v="2026-07-22T00:00:00"/>
    <s v="CURRENT"/>
    <s v="6E00435"/>
    <x v="2"/>
    <n v="9966"/>
    <m/>
    <n v="2262177"/>
    <n v="5"/>
    <m/>
  </r>
  <r>
    <s v="lum-75"/>
    <x v="16"/>
    <n v="1"/>
    <s v="Und"/>
    <x v="2"/>
    <d v="2026-07-22T00:00:00"/>
    <s v="CURRENT"/>
    <s v="6E00515"/>
    <x v="2"/>
    <n v="9966"/>
    <m/>
    <n v="2262177"/>
    <n v="6"/>
    <m/>
  </r>
  <r>
    <s v="lum-75"/>
    <x v="16"/>
    <n v="1"/>
    <s v="Und"/>
    <x v="2"/>
    <d v="2026-07-22T00:00:00"/>
    <s v="CURRENT"/>
    <s v="6E00427"/>
    <x v="2"/>
    <n v="9966"/>
    <m/>
    <n v="2262258"/>
    <n v="7"/>
    <m/>
  </r>
  <r>
    <s v="lum-75"/>
    <x v="16"/>
    <n v="1"/>
    <s v="Und"/>
    <x v="2"/>
    <d v="2026-07-22T00:00:00"/>
    <s v="CURRENT"/>
    <s v="6E00423"/>
    <x v="2"/>
    <n v="9966"/>
    <m/>
    <n v="2262258"/>
    <n v="8"/>
    <m/>
  </r>
  <r>
    <s v="lum-75"/>
    <x v="16"/>
    <n v="1"/>
    <s v="Und"/>
    <x v="2"/>
    <d v="2026-07-22T00:00:00"/>
    <s v="CURRENT"/>
    <s v="6E00484"/>
    <x v="2"/>
    <n v="9966"/>
    <m/>
    <n v="2262304"/>
    <n v="9"/>
    <m/>
  </r>
  <r>
    <s v="lum-75"/>
    <x v="16"/>
    <n v="1"/>
    <s v="Und"/>
    <x v="2"/>
    <d v="2026-07-22T00:00:00"/>
    <s v="CURRENT"/>
    <s v="6E00457"/>
    <x v="2"/>
    <n v="9966"/>
    <m/>
    <n v="2262304"/>
    <n v="10"/>
    <m/>
  </r>
  <r>
    <s v="lum-75"/>
    <x v="16"/>
    <n v="1"/>
    <s v="Und"/>
    <x v="2"/>
    <d v="2026-07-22T00:00:00"/>
    <s v="CURRENT"/>
    <s v="6E00316"/>
    <x v="2"/>
    <n v="9966"/>
    <m/>
    <n v="2262347"/>
    <n v="11"/>
    <m/>
  </r>
  <r>
    <s v="lum-75"/>
    <x v="16"/>
    <n v="1"/>
    <s v="Und"/>
    <x v="2"/>
    <d v="2026-07-22T00:00:00"/>
    <s v="CURRENT"/>
    <s v="6E00430"/>
    <x v="2"/>
    <n v="9966"/>
    <m/>
    <n v="2262347"/>
    <n v="12"/>
    <m/>
  </r>
  <r>
    <s v="lum-75"/>
    <x v="16"/>
    <n v="1"/>
    <s v="Und"/>
    <x v="2"/>
    <d v="2026-07-22T00:00:00"/>
    <s v="CURRENT"/>
    <s v="6E00449"/>
    <x v="2"/>
    <n v="9966"/>
    <m/>
    <n v="2262398"/>
    <n v="13"/>
    <m/>
  </r>
  <r>
    <s v="lum-75"/>
    <x v="16"/>
    <n v="1"/>
    <s v="Und"/>
    <x v="2"/>
    <d v="2026-07-22T00:00:00"/>
    <s v="CURRENT"/>
    <s v="6E00344"/>
    <x v="2"/>
    <n v="9966"/>
    <m/>
    <n v="2262398"/>
    <n v="14"/>
    <m/>
  </r>
  <r>
    <s v="lum-75"/>
    <x v="16"/>
    <n v="1"/>
    <s v="Und"/>
    <x v="2"/>
    <d v="2026-07-22T00:00:00"/>
    <s v="CURRENT"/>
    <s v="6E00401"/>
    <x v="2"/>
    <n v="9966"/>
    <m/>
    <n v="2262126"/>
    <n v="15"/>
    <m/>
  </r>
  <r>
    <s v="lum-75"/>
    <x v="16"/>
    <n v="1"/>
    <s v="Und"/>
    <x v="2"/>
    <d v="2026-07-22T00:00:00"/>
    <s v="CURRENT"/>
    <s v="6E00420"/>
    <x v="2"/>
    <n v="9966"/>
    <m/>
    <n v="2262126"/>
    <n v="16"/>
    <m/>
  </r>
  <r>
    <s v="lum-110"/>
    <x v="20"/>
    <n v="1"/>
    <s v="Und"/>
    <x v="2"/>
    <d v="2026-07-22T00:00:00"/>
    <s v="CURRENT"/>
    <s v="6G00007"/>
    <x v="2"/>
    <n v="9966"/>
    <m/>
    <n v="2262487"/>
    <n v="17"/>
    <m/>
  </r>
  <r>
    <s v="pro- 90"/>
    <x v="31"/>
    <n v="1"/>
    <s v="Und"/>
    <x v="2"/>
    <d v="2026-07-22T00:00:00"/>
    <s v="CURRENT"/>
    <s v="6PB0297"/>
    <x v="2"/>
    <n v="9966"/>
    <m/>
    <n v="2262487"/>
    <n v="18"/>
    <m/>
  </r>
  <r>
    <s v="pro- 90"/>
    <x v="31"/>
    <n v="1"/>
    <s v="Und"/>
    <x v="2"/>
    <d v="2026-07-22T00:00:00"/>
    <s v="CURRENT"/>
    <s v="6PB0312"/>
    <x v="2"/>
    <n v="9966"/>
    <m/>
    <n v="2262487"/>
    <n v="19"/>
    <m/>
  </r>
  <r>
    <s v="pro- 90"/>
    <x v="31"/>
    <n v="1"/>
    <s v="Und"/>
    <x v="2"/>
    <d v="2026-07-22T00:00:00"/>
    <s v="CURRENT"/>
    <s v="6PB0304"/>
    <x v="2"/>
    <n v="9966"/>
    <m/>
    <n v="2262487"/>
    <n v="20"/>
    <m/>
  </r>
  <r>
    <s v="pro- 90"/>
    <x v="31"/>
    <n v="1"/>
    <s v="Und"/>
    <x v="2"/>
    <d v="2026-07-22T00:00:00"/>
    <s v="CURRENT"/>
    <s v="6PB0287"/>
    <x v="2"/>
    <n v="9966"/>
    <m/>
    <n v="2262436"/>
    <n v="21"/>
    <m/>
  </r>
  <r>
    <s v="pro- 90"/>
    <x v="31"/>
    <n v="1"/>
    <s v="Und"/>
    <x v="2"/>
    <d v="2026-07-22T00:00:00"/>
    <s v="CURRENT"/>
    <s v="6PB0283"/>
    <x v="2"/>
    <n v="9966"/>
    <m/>
    <n v="2262436"/>
    <n v="22"/>
    <m/>
  </r>
  <r>
    <s v="pro- 90"/>
    <x v="31"/>
    <n v="1"/>
    <s v="Und"/>
    <x v="2"/>
    <d v="2026-07-22T00:00:00"/>
    <s v="CURRENT"/>
    <s v="6PB0290"/>
    <x v="2"/>
    <n v="9966"/>
    <m/>
    <n v="2262436"/>
    <n v="23"/>
    <m/>
  </r>
  <r>
    <s v="lum-110"/>
    <x v="20"/>
    <n v="1"/>
    <s v="Und"/>
    <x v="2"/>
    <d v="2026-07-22T00:00:00"/>
    <s v="CURRENT"/>
    <s v="6G00133"/>
    <x v="2"/>
    <n v="9966"/>
    <m/>
    <n v="2262436"/>
    <n v="24"/>
    <m/>
  </r>
  <r>
    <s v="Foto"/>
    <x v="15"/>
    <n v="1"/>
    <s v="Und"/>
    <x v="2"/>
    <d v="2026-07-22T00:00:00"/>
    <m/>
    <m/>
    <x v="2"/>
    <n v="9966"/>
    <m/>
    <n v="2262215"/>
    <n v="1"/>
    <m/>
  </r>
  <r>
    <s v="Foto"/>
    <x v="15"/>
    <n v="1"/>
    <s v="Und"/>
    <x v="2"/>
    <d v="2026-07-22T00:00:00"/>
    <m/>
    <m/>
    <x v="2"/>
    <n v="9966"/>
    <m/>
    <n v="2262215"/>
    <n v="2"/>
    <m/>
  </r>
  <r>
    <s v="Foto"/>
    <x v="15"/>
    <n v="1"/>
    <s v="Und"/>
    <x v="2"/>
    <d v="2026-07-22T00:00:00"/>
    <m/>
    <m/>
    <x v="2"/>
    <n v="9966"/>
    <m/>
    <n v="2085887"/>
    <n v="3"/>
    <m/>
  </r>
  <r>
    <s v="Foto"/>
    <x v="15"/>
    <n v="1"/>
    <s v="Und"/>
    <x v="2"/>
    <d v="2026-07-22T00:00:00"/>
    <m/>
    <m/>
    <x v="2"/>
    <n v="9966"/>
    <m/>
    <n v="2085887"/>
    <n v="4"/>
    <m/>
  </r>
  <r>
    <s v="Foto"/>
    <x v="15"/>
    <n v="1"/>
    <s v="Und"/>
    <x v="2"/>
    <d v="2026-07-22T00:00:00"/>
    <m/>
    <m/>
    <x v="2"/>
    <n v="9966"/>
    <m/>
    <n v="2262177"/>
    <n v="5"/>
    <m/>
  </r>
  <r>
    <s v="Foto"/>
    <x v="15"/>
    <n v="1"/>
    <s v="Und"/>
    <x v="2"/>
    <d v="2026-07-22T00:00:00"/>
    <m/>
    <m/>
    <x v="2"/>
    <n v="9966"/>
    <m/>
    <n v="2262177"/>
    <n v="6"/>
    <m/>
  </r>
  <r>
    <s v="Foto"/>
    <x v="15"/>
    <n v="1"/>
    <s v="Und"/>
    <x v="2"/>
    <d v="2026-07-22T00:00:00"/>
    <m/>
    <m/>
    <x v="2"/>
    <n v="9966"/>
    <m/>
    <n v="2262258"/>
    <n v="7"/>
    <m/>
  </r>
  <r>
    <s v="Foto"/>
    <x v="15"/>
    <n v="1"/>
    <s v="Und"/>
    <x v="2"/>
    <d v="2026-07-22T00:00:00"/>
    <m/>
    <m/>
    <x v="2"/>
    <n v="9966"/>
    <m/>
    <n v="2262258"/>
    <n v="8"/>
    <m/>
  </r>
  <r>
    <s v="Foto"/>
    <x v="15"/>
    <n v="1"/>
    <s v="Und"/>
    <x v="2"/>
    <d v="2026-07-22T00:00:00"/>
    <m/>
    <m/>
    <x v="2"/>
    <n v="9966"/>
    <m/>
    <n v="2262304"/>
    <n v="9"/>
    <m/>
  </r>
  <r>
    <s v="Foto"/>
    <x v="15"/>
    <n v="1"/>
    <s v="Und"/>
    <x v="2"/>
    <d v="2026-07-22T00:00:00"/>
    <m/>
    <m/>
    <x v="2"/>
    <n v="9966"/>
    <m/>
    <n v="2262304"/>
    <n v="10"/>
    <m/>
  </r>
  <r>
    <s v="Foto"/>
    <x v="15"/>
    <n v="1"/>
    <s v="Und"/>
    <x v="2"/>
    <d v="2026-07-22T00:00:00"/>
    <m/>
    <m/>
    <x v="2"/>
    <n v="9966"/>
    <m/>
    <n v="2262347"/>
    <n v="11"/>
    <m/>
  </r>
  <r>
    <s v="Foto"/>
    <x v="15"/>
    <n v="1"/>
    <s v="Und"/>
    <x v="2"/>
    <d v="2026-07-22T00:00:00"/>
    <m/>
    <m/>
    <x v="2"/>
    <n v="9966"/>
    <m/>
    <n v="2262347"/>
    <n v="12"/>
    <m/>
  </r>
  <r>
    <s v="Foto"/>
    <x v="15"/>
    <n v="1"/>
    <s v="Und"/>
    <x v="2"/>
    <d v="2026-07-22T00:00:00"/>
    <m/>
    <m/>
    <x v="2"/>
    <n v="9966"/>
    <m/>
    <n v="2262398"/>
    <n v="13"/>
    <m/>
  </r>
  <r>
    <s v="Foto"/>
    <x v="15"/>
    <n v="1"/>
    <s v="Und"/>
    <x v="2"/>
    <d v="2026-07-22T00:00:00"/>
    <m/>
    <m/>
    <x v="2"/>
    <n v="9966"/>
    <m/>
    <n v="2262398"/>
    <n v="14"/>
    <m/>
  </r>
  <r>
    <s v="Foto"/>
    <x v="15"/>
    <n v="1"/>
    <s v="Und"/>
    <x v="2"/>
    <d v="2026-07-22T00:00:00"/>
    <m/>
    <m/>
    <x v="2"/>
    <n v="9966"/>
    <m/>
    <n v="2262126"/>
    <n v="15"/>
    <m/>
  </r>
  <r>
    <s v="Foto"/>
    <x v="15"/>
    <n v="1"/>
    <s v="Und"/>
    <x v="2"/>
    <d v="2026-07-22T00:00:00"/>
    <m/>
    <m/>
    <x v="2"/>
    <n v="9966"/>
    <m/>
    <n v="2262126"/>
    <n v="16"/>
    <m/>
  </r>
  <r>
    <s v="Foto"/>
    <x v="15"/>
    <n v="1"/>
    <s v="Und"/>
    <x v="2"/>
    <d v="2026-07-22T00:00:00"/>
    <m/>
    <m/>
    <x v="2"/>
    <n v="9966"/>
    <m/>
    <n v="2262487"/>
    <n v="17"/>
    <m/>
  </r>
  <r>
    <s v="Foto"/>
    <x v="15"/>
    <n v="1"/>
    <s v="Und"/>
    <x v="2"/>
    <d v="2026-07-22T00:00:00"/>
    <m/>
    <m/>
    <x v="2"/>
    <n v="9966"/>
    <m/>
    <n v="2262487"/>
    <n v="18"/>
    <m/>
  </r>
  <r>
    <s v="Foto"/>
    <x v="15"/>
    <n v="1"/>
    <s v="Und"/>
    <x v="2"/>
    <d v="2026-07-22T00:00:00"/>
    <m/>
    <m/>
    <x v="2"/>
    <n v="9966"/>
    <m/>
    <n v="2262487"/>
    <n v="19"/>
    <m/>
  </r>
  <r>
    <s v="Foto"/>
    <x v="15"/>
    <n v="1"/>
    <s v="Und"/>
    <x v="2"/>
    <d v="2026-07-22T00:00:00"/>
    <m/>
    <m/>
    <x v="2"/>
    <n v="9966"/>
    <m/>
    <n v="2262487"/>
    <n v="20"/>
    <m/>
  </r>
  <r>
    <s v="Foto"/>
    <x v="15"/>
    <n v="1"/>
    <s v="Und"/>
    <x v="2"/>
    <d v="2026-07-22T00:00:00"/>
    <m/>
    <m/>
    <x v="2"/>
    <n v="9966"/>
    <m/>
    <n v="2262436"/>
    <n v="21"/>
    <m/>
  </r>
  <r>
    <s v="Foto"/>
    <x v="15"/>
    <n v="1"/>
    <s v="Und"/>
    <x v="2"/>
    <d v="2026-07-22T00:00:00"/>
    <m/>
    <m/>
    <x v="2"/>
    <n v="9966"/>
    <m/>
    <n v="2262436"/>
    <n v="22"/>
    <m/>
  </r>
  <r>
    <s v="Foto"/>
    <x v="15"/>
    <n v="1"/>
    <s v="Und"/>
    <x v="2"/>
    <d v="2026-07-22T00:00:00"/>
    <m/>
    <m/>
    <x v="2"/>
    <n v="9966"/>
    <m/>
    <n v="2262436"/>
    <n v="23"/>
    <m/>
  </r>
  <r>
    <s v="Foto"/>
    <x v="15"/>
    <n v="1"/>
    <s v="Und"/>
    <x v="2"/>
    <d v="2026-07-22T00:00:00"/>
    <m/>
    <m/>
    <x v="2"/>
    <n v="9966"/>
    <m/>
    <n v="2262436"/>
    <n v="24"/>
    <m/>
  </r>
  <r>
    <s v="grillete"/>
    <x v="24"/>
    <n v="2"/>
    <s v="Und"/>
    <x v="2"/>
    <d v="2026-07-22T00:00:00"/>
    <m/>
    <m/>
    <x v="2"/>
    <n v="9966"/>
    <m/>
    <n v="2262215"/>
    <n v="1"/>
    <m/>
  </r>
  <r>
    <s v="grillete"/>
    <x v="24"/>
    <n v="2"/>
    <s v="Und"/>
    <x v="2"/>
    <d v="2026-07-22T00:00:00"/>
    <m/>
    <m/>
    <x v="2"/>
    <n v="9966"/>
    <m/>
    <n v="2262215"/>
    <n v="2"/>
    <m/>
  </r>
  <r>
    <s v="grillete"/>
    <x v="24"/>
    <n v="2"/>
    <s v="Und"/>
    <x v="2"/>
    <d v="2026-07-22T00:00:00"/>
    <m/>
    <m/>
    <x v="2"/>
    <n v="9966"/>
    <m/>
    <n v="2262177"/>
    <n v="5"/>
    <m/>
  </r>
  <r>
    <s v="grillete"/>
    <x v="24"/>
    <n v="2"/>
    <s v="Und"/>
    <x v="2"/>
    <d v="2026-07-22T00:00:00"/>
    <m/>
    <m/>
    <x v="2"/>
    <n v="9966"/>
    <m/>
    <n v="2262177"/>
    <n v="6"/>
    <m/>
  </r>
  <r>
    <s v="grillete"/>
    <x v="24"/>
    <n v="2"/>
    <s v="Und"/>
    <x v="2"/>
    <d v="2026-07-22T00:00:00"/>
    <m/>
    <m/>
    <x v="2"/>
    <n v="9966"/>
    <m/>
    <n v="2262398"/>
    <n v="13"/>
    <m/>
  </r>
  <r>
    <s v="grillete"/>
    <x v="24"/>
    <n v="2"/>
    <s v="Und"/>
    <x v="2"/>
    <d v="2026-07-22T00:00:00"/>
    <m/>
    <m/>
    <x v="2"/>
    <n v="9966"/>
    <m/>
    <n v="2262398"/>
    <n v="14"/>
    <m/>
  </r>
  <r>
    <s v="grillete"/>
    <x v="24"/>
    <n v="2"/>
    <s v="Und"/>
    <x v="2"/>
    <d v="2026-07-22T00:00:00"/>
    <m/>
    <m/>
    <x v="2"/>
    <n v="9966"/>
    <m/>
    <n v="2262126"/>
    <n v="15"/>
    <m/>
  </r>
  <r>
    <s v="grillete"/>
    <x v="24"/>
    <n v="2"/>
    <s v="Und"/>
    <x v="2"/>
    <d v="2026-07-22T00:00:00"/>
    <m/>
    <m/>
    <x v="2"/>
    <n v="9966"/>
    <m/>
    <n v="2262126"/>
    <n v="16"/>
    <m/>
  </r>
  <r>
    <s v="grillete"/>
    <x v="24"/>
    <n v="2"/>
    <s v="Und"/>
    <x v="2"/>
    <d v="2026-07-22T00:00:00"/>
    <m/>
    <m/>
    <x v="2"/>
    <n v="9966"/>
    <m/>
    <n v="2262487"/>
    <n v="20"/>
    <m/>
  </r>
  <r>
    <s v="grillete"/>
    <x v="24"/>
    <n v="2"/>
    <s v="Und"/>
    <x v="2"/>
    <d v="2026-07-22T00:00:00"/>
    <m/>
    <m/>
    <x v="2"/>
    <n v="9966"/>
    <m/>
    <n v="2262436"/>
    <n v="24"/>
    <m/>
  </r>
  <r>
    <s v="ciega1"/>
    <x v="44"/>
    <n v="2"/>
    <s v="Und"/>
    <x v="2"/>
    <d v="2026-07-22T00:00:00"/>
    <m/>
    <m/>
    <x v="2"/>
    <n v="9966"/>
    <m/>
    <n v="2262215"/>
    <n v="1"/>
    <m/>
  </r>
  <r>
    <s v="banda1"/>
    <x v="22"/>
    <n v="1"/>
    <s v="Und"/>
    <x v="2"/>
    <d v="2026-07-22T00:00:00"/>
    <m/>
    <m/>
    <x v="2"/>
    <n v="9966"/>
    <m/>
    <n v="2085887"/>
    <n v="3"/>
    <m/>
  </r>
  <r>
    <s v="CIEGA1"/>
    <x v="44"/>
    <n v="1"/>
    <s v="Und"/>
    <x v="2"/>
    <d v="2026-07-22T00:00:00"/>
    <m/>
    <m/>
    <x v="2"/>
    <n v="9966"/>
    <m/>
    <n v="2085887"/>
    <n v="3"/>
    <m/>
  </r>
  <r>
    <s v="CIEGA1"/>
    <x v="44"/>
    <n v="2"/>
    <s v="Und"/>
    <x v="2"/>
    <d v="2026-07-22T00:00:00"/>
    <m/>
    <m/>
    <x v="2"/>
    <n v="9966"/>
    <m/>
    <n v="2262177"/>
    <n v="5"/>
    <m/>
  </r>
  <r>
    <s v="CIEGA1"/>
    <x v="44"/>
    <n v="2"/>
    <s v="Und"/>
    <x v="2"/>
    <d v="2026-07-22T00:00:00"/>
    <m/>
    <m/>
    <x v="2"/>
    <n v="9966"/>
    <m/>
    <n v="2262258"/>
    <n v="7"/>
    <m/>
  </r>
  <r>
    <s v="CIEGA1"/>
    <x v="44"/>
    <n v="2"/>
    <s v="Und"/>
    <x v="2"/>
    <d v="2026-07-22T00:00:00"/>
    <m/>
    <m/>
    <x v="2"/>
    <n v="9966"/>
    <m/>
    <n v="2262258"/>
    <n v="9"/>
    <m/>
  </r>
  <r>
    <s v="CIEGA1"/>
    <x v="44"/>
    <n v="1"/>
    <s v="Und"/>
    <x v="2"/>
    <d v="2026-07-22T00:00:00"/>
    <m/>
    <m/>
    <x v="2"/>
    <n v="9966"/>
    <m/>
    <n v="2262304"/>
    <n v="11"/>
    <m/>
  </r>
  <r>
    <s v="CIEGA1"/>
    <x v="44"/>
    <n v="1"/>
    <s v="Und"/>
    <x v="2"/>
    <d v="2026-07-22T00:00:00"/>
    <m/>
    <m/>
    <x v="2"/>
    <n v="9966"/>
    <m/>
    <n v="2262347"/>
    <n v="12"/>
    <m/>
  </r>
  <r>
    <s v="CIEGA1"/>
    <x v="44"/>
    <n v="2"/>
    <s v="Und"/>
    <x v="2"/>
    <d v="2026-07-22T00:00:00"/>
    <m/>
    <m/>
    <x v="2"/>
    <n v="9966"/>
    <m/>
    <n v="2262398"/>
    <n v="13"/>
    <m/>
  </r>
  <r>
    <s v="CIEGA1"/>
    <x v="44"/>
    <n v="2"/>
    <s v="Und"/>
    <x v="2"/>
    <d v="2026-07-22T00:00:00"/>
    <m/>
    <m/>
    <x v="2"/>
    <n v="9966"/>
    <m/>
    <n v="2262126"/>
    <n v="16"/>
    <m/>
  </r>
  <r>
    <s v="CIEGA1"/>
    <x v="44"/>
    <n v="2"/>
    <s v="Und"/>
    <x v="2"/>
    <d v="2026-07-22T00:00:00"/>
    <m/>
    <m/>
    <x v="2"/>
    <n v="9966"/>
    <m/>
    <n v="2262487"/>
    <n v="17"/>
    <m/>
  </r>
  <r>
    <s v="CIEGA1"/>
    <x v="44"/>
    <n v="2"/>
    <s v="Und"/>
    <x v="2"/>
    <d v="2026-07-22T00:00:00"/>
    <m/>
    <m/>
    <x v="2"/>
    <n v="9966"/>
    <m/>
    <n v="2262487"/>
    <n v="20"/>
    <m/>
  </r>
  <r>
    <s v="CIEGA1"/>
    <x v="44"/>
    <n v="2"/>
    <s v="Und"/>
    <x v="2"/>
    <d v="2026-07-22T00:00:00"/>
    <m/>
    <m/>
    <x v="2"/>
    <n v="9966"/>
    <m/>
    <n v="2262126"/>
    <n v="21"/>
    <m/>
  </r>
  <r>
    <s v="CIEGA1"/>
    <x v="44"/>
    <n v="2"/>
    <s v="Und"/>
    <x v="2"/>
    <d v="2026-07-22T00:00:00"/>
    <m/>
    <m/>
    <x v="2"/>
    <n v="9966"/>
    <m/>
    <n v="2262436"/>
    <n v="22"/>
    <m/>
  </r>
  <r>
    <s v="Banda2"/>
    <x v="0"/>
    <n v="2"/>
    <s v="Und"/>
    <x v="2"/>
    <d v="2026-07-22T00:00:00"/>
    <m/>
    <m/>
    <x v="2"/>
    <n v="9966"/>
    <m/>
    <n v="2262487"/>
    <n v="17"/>
    <m/>
  </r>
  <r>
    <s v="banda1"/>
    <x v="22"/>
    <n v="2"/>
    <s v="Und"/>
    <x v="2"/>
    <d v="2026-07-22T00:00:00"/>
    <m/>
    <m/>
    <x v="2"/>
    <n v="9966"/>
    <m/>
    <n v="2262436"/>
    <n v="24"/>
    <m/>
  </r>
  <r>
    <s v="percha1"/>
    <x v="11"/>
    <n v="1"/>
    <s v="Und"/>
    <x v="2"/>
    <d v="2026-07-22T00:00:00"/>
    <m/>
    <m/>
    <x v="2"/>
    <n v="9966"/>
    <m/>
    <n v="2085887"/>
    <n v="3"/>
    <m/>
  </r>
  <r>
    <s v="Aislador1"/>
    <x v="1"/>
    <n v="1"/>
    <s v="Und"/>
    <x v="2"/>
    <d v="2026-07-22T00:00:00"/>
    <m/>
    <m/>
    <x v="2"/>
    <n v="9966"/>
    <m/>
    <n v="2085887"/>
    <n v="3"/>
    <m/>
  </r>
  <r>
    <s v="conec1"/>
    <x v="6"/>
    <n v="3"/>
    <s v="Und"/>
    <x v="2"/>
    <d v="2026-07-22T00:00:00"/>
    <m/>
    <m/>
    <x v="2"/>
    <n v="9966"/>
    <m/>
    <n v="2085887"/>
    <n v="3"/>
    <m/>
  </r>
  <r>
    <s v="conec1"/>
    <x v="6"/>
    <n v="2"/>
    <s v="Und"/>
    <x v="2"/>
    <d v="2026-07-22T00:00:00"/>
    <m/>
    <m/>
    <x v="2"/>
    <n v="9966"/>
    <m/>
    <n v="2262487"/>
    <n v="17"/>
    <m/>
  </r>
  <r>
    <s v="conec1"/>
    <x v="6"/>
    <n v="2"/>
    <s v="Und"/>
    <x v="2"/>
    <d v="2026-07-22T00:00:00"/>
    <m/>
    <m/>
    <x v="2"/>
    <n v="9966"/>
    <m/>
    <n v="2262436"/>
    <n v="23"/>
    <m/>
  </r>
  <r>
    <s v="conec2"/>
    <x v="7"/>
    <n v="3"/>
    <s v="Und"/>
    <x v="2"/>
    <d v="2026-07-22T00:00:00"/>
    <m/>
    <m/>
    <x v="2"/>
    <n v="9966"/>
    <m/>
    <n v="2262215"/>
    <n v="1"/>
    <m/>
  </r>
  <r>
    <s v="conec2"/>
    <x v="7"/>
    <n v="3"/>
    <s v="Und"/>
    <x v="2"/>
    <d v="2026-07-22T00:00:00"/>
    <m/>
    <m/>
    <x v="2"/>
    <n v="9966"/>
    <m/>
    <n v="2262177"/>
    <n v="5"/>
    <m/>
  </r>
  <r>
    <s v="conec2"/>
    <x v="7"/>
    <n v="3"/>
    <s v="Und"/>
    <x v="2"/>
    <d v="2026-07-22T00:00:00"/>
    <m/>
    <m/>
    <x v="2"/>
    <n v="9966"/>
    <m/>
    <n v="2262258"/>
    <n v="7"/>
    <m/>
  </r>
  <r>
    <s v="conec2"/>
    <x v="7"/>
    <n v="3"/>
    <s v="Und"/>
    <x v="2"/>
    <d v="2026-07-22T00:00:00"/>
    <m/>
    <m/>
    <x v="2"/>
    <n v="9966"/>
    <m/>
    <n v="2262304"/>
    <n v="9"/>
    <m/>
  </r>
  <r>
    <s v="conec2"/>
    <x v="7"/>
    <n v="3"/>
    <s v="Und"/>
    <x v="2"/>
    <d v="2026-07-22T00:00:00"/>
    <m/>
    <m/>
    <x v="2"/>
    <n v="9966"/>
    <m/>
    <n v="2262347"/>
    <n v="11"/>
    <m/>
  </r>
  <r>
    <s v="conec2"/>
    <x v="7"/>
    <n v="3"/>
    <s v="Und"/>
    <x v="2"/>
    <d v="2026-07-22T00:00:00"/>
    <m/>
    <m/>
    <x v="2"/>
    <n v="9966"/>
    <m/>
    <n v="2262398"/>
    <n v="13"/>
    <m/>
  </r>
  <r>
    <s v="conec2"/>
    <x v="7"/>
    <n v="3"/>
    <s v="Und"/>
    <x v="2"/>
    <d v="2026-07-22T00:00:00"/>
    <m/>
    <m/>
    <x v="2"/>
    <n v="9966"/>
    <m/>
    <n v="2262126"/>
    <n v="15"/>
    <m/>
  </r>
  <r>
    <s v="conec2"/>
    <x v="7"/>
    <n v="1"/>
    <s v="Und"/>
    <x v="2"/>
    <d v="2026-07-22T00:00:00"/>
    <m/>
    <m/>
    <x v="2"/>
    <n v="9966"/>
    <m/>
    <n v="2262487"/>
    <n v="17"/>
    <m/>
  </r>
  <r>
    <s v="conec2"/>
    <x v="7"/>
    <n v="1"/>
    <s v="Und"/>
    <x v="2"/>
    <d v="2026-07-22T00:00:00"/>
    <m/>
    <m/>
    <x v="2"/>
    <n v="9966"/>
    <m/>
    <n v="2262436"/>
    <n v="24"/>
    <m/>
  </r>
  <r>
    <s v="3*14"/>
    <x v="3"/>
    <n v="12"/>
    <s v="Mts"/>
    <x v="2"/>
    <d v="2026-07-22T00:00:00"/>
    <m/>
    <m/>
    <x v="2"/>
    <n v="9966"/>
    <m/>
    <n v="2262215"/>
    <n v="1"/>
    <m/>
  </r>
  <r>
    <s v="3*14"/>
    <x v="3"/>
    <n v="12"/>
    <s v="Mts"/>
    <x v="2"/>
    <d v="2026-07-22T00:00:00"/>
    <m/>
    <m/>
    <x v="2"/>
    <n v="9966"/>
    <m/>
    <n v="2262177"/>
    <n v="5"/>
    <m/>
  </r>
  <r>
    <s v="3*14"/>
    <x v="3"/>
    <n v="12"/>
    <s v="Mts"/>
    <x v="2"/>
    <d v="2026-07-22T00:00:00"/>
    <m/>
    <m/>
    <x v="2"/>
    <n v="9966"/>
    <m/>
    <n v="2262258"/>
    <n v="7"/>
    <m/>
  </r>
  <r>
    <s v="3*14"/>
    <x v="3"/>
    <n v="12"/>
    <s v="Mts"/>
    <x v="2"/>
    <d v="2026-07-22T00:00:00"/>
    <m/>
    <m/>
    <x v="2"/>
    <n v="9966"/>
    <m/>
    <n v="2262304"/>
    <n v="9"/>
    <m/>
  </r>
  <r>
    <s v="3*14"/>
    <x v="3"/>
    <n v="12"/>
    <s v="Mts"/>
    <x v="2"/>
    <d v="2026-07-22T00:00:00"/>
    <m/>
    <m/>
    <x v="2"/>
    <n v="9966"/>
    <m/>
    <n v="2262347"/>
    <n v="11"/>
    <m/>
  </r>
  <r>
    <s v="3*14"/>
    <x v="3"/>
    <n v="12"/>
    <s v="Mts"/>
    <x v="2"/>
    <d v="2026-07-22T00:00:00"/>
    <m/>
    <m/>
    <x v="2"/>
    <n v="9966"/>
    <m/>
    <n v="2262398"/>
    <n v="13"/>
    <m/>
  </r>
  <r>
    <s v="3*14"/>
    <x v="3"/>
    <n v="12"/>
    <s v="Mts"/>
    <x v="2"/>
    <d v="2026-07-22T00:00:00"/>
    <m/>
    <m/>
    <x v="2"/>
    <n v="9966"/>
    <m/>
    <n v="2262126"/>
    <n v="15"/>
    <m/>
  </r>
  <r>
    <s v="cooper"/>
    <x v="28"/>
    <n v="1"/>
    <s v="Und"/>
    <x v="2"/>
    <d v="2026-07-22T00:00:00"/>
    <m/>
    <m/>
    <x v="2"/>
    <n v="9966"/>
    <m/>
    <n v="2262215"/>
    <n v="1"/>
    <m/>
  </r>
  <r>
    <s v="cooper"/>
    <x v="28"/>
    <n v="1"/>
    <s v="Und"/>
    <x v="2"/>
    <d v="2026-07-22T00:00:00"/>
    <m/>
    <m/>
    <x v="2"/>
    <n v="9966"/>
    <m/>
    <n v="2085887"/>
    <n v="3"/>
    <m/>
  </r>
  <r>
    <s v="cooper"/>
    <x v="28"/>
    <n v="1"/>
    <s v="Und"/>
    <x v="2"/>
    <d v="2026-07-22T00:00:00"/>
    <m/>
    <m/>
    <x v="2"/>
    <n v="9966"/>
    <m/>
    <n v="2262177"/>
    <n v="5"/>
    <m/>
  </r>
  <r>
    <s v="cooper"/>
    <x v="28"/>
    <n v="1"/>
    <s v="Und"/>
    <x v="2"/>
    <d v="2026-07-22T00:00:00"/>
    <m/>
    <m/>
    <x v="2"/>
    <n v="9966"/>
    <m/>
    <n v="2262258"/>
    <n v="7"/>
    <m/>
  </r>
  <r>
    <s v="cooper"/>
    <x v="28"/>
    <n v="1"/>
    <s v="Und"/>
    <x v="2"/>
    <d v="2026-07-22T00:00:00"/>
    <m/>
    <m/>
    <x v="2"/>
    <n v="9966"/>
    <m/>
    <n v="2262304"/>
    <n v="9"/>
    <m/>
  </r>
  <r>
    <s v="cooper"/>
    <x v="28"/>
    <n v="1"/>
    <s v="Und"/>
    <x v="2"/>
    <d v="2026-07-22T00:00:00"/>
    <m/>
    <m/>
    <x v="2"/>
    <n v="9966"/>
    <m/>
    <n v="2262347"/>
    <n v="11"/>
    <m/>
  </r>
  <r>
    <s v="cooper"/>
    <x v="28"/>
    <n v="1"/>
    <s v="Und"/>
    <x v="2"/>
    <d v="2026-07-22T00:00:00"/>
    <m/>
    <m/>
    <x v="2"/>
    <n v="9966"/>
    <m/>
    <n v="2262126"/>
    <n v="15"/>
    <m/>
  </r>
  <r>
    <s v="bandit"/>
    <x v="4"/>
    <n v="4"/>
    <s v="Und"/>
    <x v="2"/>
    <d v="2026-07-22T00:00:00"/>
    <m/>
    <m/>
    <x v="2"/>
    <n v="9966"/>
    <m/>
    <n v="2262436"/>
    <n v="23"/>
    <m/>
  </r>
  <r>
    <s v="hebilla"/>
    <x v="5"/>
    <n v="4"/>
    <s v="Und"/>
    <x v="2"/>
    <d v="2026-07-22T00:00:00"/>
    <m/>
    <m/>
    <x v="2"/>
    <n v="9966"/>
    <m/>
    <n v="2262436"/>
    <n v="23"/>
    <m/>
  </r>
  <r>
    <s v="#4"/>
    <x v="41"/>
    <n v="24"/>
    <s v="Mts"/>
    <x v="2"/>
    <d v="2026-07-22T00:00:00"/>
    <m/>
    <m/>
    <x v="2"/>
    <n v="9966"/>
    <m/>
    <n v="2085887"/>
    <n v="3"/>
    <m/>
  </r>
  <r>
    <s v="#4"/>
    <x v="41"/>
    <n v="92"/>
    <s v="Mts"/>
    <x v="2"/>
    <d v="2026-07-22T00:00:00"/>
    <m/>
    <m/>
    <x v="2"/>
    <n v="9966"/>
    <m/>
    <n v="2262487"/>
    <n v="17"/>
    <m/>
  </r>
  <r>
    <s v="#4"/>
    <x v="41"/>
    <n v="34"/>
    <s v="Mts"/>
    <x v="2"/>
    <d v="2026-07-22T00:00:00"/>
    <m/>
    <m/>
    <x v="2"/>
    <n v="9966"/>
    <m/>
    <n v="2262436"/>
    <n v="23"/>
    <m/>
  </r>
  <r>
    <s v="tubo 3"/>
    <x v="12"/>
    <n v="0.3"/>
    <s v="Mts"/>
    <x v="2"/>
    <d v="2026-07-22T00:00:00"/>
    <m/>
    <m/>
    <x v="2"/>
    <n v="9966"/>
    <m/>
    <n v="2262177"/>
    <n v="5"/>
    <m/>
  </r>
  <r>
    <s v="tubo 3"/>
    <x v="12"/>
    <n v="0.2"/>
    <s v="Mts"/>
    <x v="2"/>
    <d v="2026-07-22T00:00:00"/>
    <m/>
    <m/>
    <x v="2"/>
    <n v="9966"/>
    <m/>
    <n v="2262126"/>
    <n v="15"/>
    <m/>
  </r>
  <r>
    <s v="tubo 3"/>
    <x v="12"/>
    <n v="2"/>
    <s v="Mts"/>
    <x v="2"/>
    <d v="2026-07-22T00:00:00"/>
    <m/>
    <m/>
    <x v="2"/>
    <n v="9966"/>
    <m/>
    <n v="2262436"/>
    <n v="23"/>
    <m/>
  </r>
  <r>
    <s v="marco"/>
    <x v="30"/>
    <n v="1"/>
    <s v="Und"/>
    <x v="2"/>
    <d v="2026-07-22T00:00:00"/>
    <m/>
    <m/>
    <x v="2"/>
    <n v="9966"/>
    <m/>
    <n v="2085887"/>
    <n v="3"/>
    <m/>
  </r>
  <r>
    <s v="marco"/>
    <x v="30"/>
    <n v="1"/>
    <s v="Und"/>
    <x v="2"/>
    <d v="2026-07-22T00:00:00"/>
    <m/>
    <m/>
    <x v="2"/>
    <n v="9966"/>
    <m/>
    <n v="2262258"/>
    <n v="7"/>
    <m/>
  </r>
  <r>
    <s v="marco"/>
    <x v="30"/>
    <n v="1"/>
    <s v="Und"/>
    <x v="2"/>
    <d v="2026-07-22T00:00:00"/>
    <m/>
    <m/>
    <x v="2"/>
    <n v="9966"/>
    <m/>
    <n v="2262487"/>
    <n v="17"/>
    <m/>
  </r>
  <r>
    <s v="tapa2"/>
    <x v="14"/>
    <n v="1"/>
    <s v="Und"/>
    <x v="2"/>
    <d v="2026-07-22T00:00:00"/>
    <m/>
    <m/>
    <x v="2"/>
    <n v="9966"/>
    <m/>
    <n v="2085887"/>
    <n v="3"/>
    <m/>
  </r>
  <r>
    <s v="tapa2"/>
    <x v="14"/>
    <n v="1"/>
    <s v="Und"/>
    <x v="2"/>
    <d v="2026-07-22T00:00:00"/>
    <m/>
    <m/>
    <x v="2"/>
    <n v="9966"/>
    <m/>
    <n v="2262258"/>
    <n v="7"/>
    <m/>
  </r>
  <r>
    <s v="tapa2"/>
    <x v="14"/>
    <n v="1"/>
    <s v="Und"/>
    <x v="2"/>
    <d v="2026-07-22T00:00:00"/>
    <m/>
    <m/>
    <x v="2"/>
    <n v="9966"/>
    <m/>
    <n v="2262487"/>
    <n v="17"/>
    <m/>
  </r>
  <r>
    <s v="tubo 1"/>
    <x v="52"/>
    <n v="2"/>
    <s v="Und"/>
    <x v="2"/>
    <d v="2026-07-22T00:00:00"/>
    <m/>
    <m/>
    <x v="2"/>
    <n v="9966"/>
    <m/>
    <n v="2262487"/>
    <n v="17"/>
    <m/>
  </r>
  <r>
    <s v="conduit"/>
    <x v="37"/>
    <n v="2"/>
    <s v="Und"/>
    <x v="2"/>
    <d v="2026-07-22T00:00:00"/>
    <m/>
    <m/>
    <x v="2"/>
    <n v="9966"/>
    <m/>
    <n v="2262436"/>
    <n v="23"/>
    <m/>
  </r>
  <r>
    <s v="alambre 14"/>
    <x v="40"/>
    <n v="16"/>
    <s v="Mts"/>
    <x v="2"/>
    <d v="2026-07-22T00:00:00"/>
    <m/>
    <m/>
    <x v="2"/>
    <n v="9966"/>
    <m/>
    <n v="2262126"/>
    <n v="21"/>
    <m/>
  </r>
  <r>
    <s v="alambre 14"/>
    <x v="40"/>
    <n v="16"/>
    <s v="Mts"/>
    <x v="2"/>
    <d v="2026-07-22T00:00:00"/>
    <m/>
    <m/>
    <x v="2"/>
    <n v="9966"/>
    <m/>
    <n v="2262487"/>
    <n v="17"/>
    <m/>
  </r>
  <r>
    <s v="alambre 14"/>
    <x v="40"/>
    <n v="16"/>
    <s v="Mts"/>
    <x v="2"/>
    <d v="2026-07-22T00:00:00"/>
    <m/>
    <m/>
    <x v="2"/>
    <n v="9966"/>
    <m/>
    <n v="2262436"/>
    <n v="23"/>
    <m/>
  </r>
  <r>
    <s v="poste 12"/>
    <x v="54"/>
    <n v="1"/>
    <s v="Und"/>
    <x v="2"/>
    <d v="2026-07-22T00:00:00"/>
    <m/>
    <m/>
    <x v="2"/>
    <n v="9966"/>
    <m/>
    <n v="2262487"/>
    <n v="17"/>
    <m/>
  </r>
  <r>
    <s v="conec1"/>
    <x v="6"/>
    <n v="2"/>
    <s v="Und"/>
    <x v="2"/>
    <d v="2026-06-10T00:00:00"/>
    <m/>
    <m/>
    <x v="0"/>
    <n v="9820"/>
    <s v="cra 5 - 66 y 69"/>
    <n v="5443415"/>
    <n v="3"/>
    <m/>
  </r>
  <r>
    <s v="conec1"/>
    <x v="6"/>
    <n v="1"/>
    <s v="Und"/>
    <x v="2"/>
    <d v="2026-06-10T00:00:00"/>
    <m/>
    <m/>
    <x v="0"/>
    <n v="9820"/>
    <s v="cra 5 - 66 y 69"/>
    <n v="5443407"/>
    <n v="6"/>
    <m/>
  </r>
  <r>
    <s v="conec1"/>
    <x v="6"/>
    <n v="1"/>
    <s v="Und"/>
    <x v="2"/>
    <d v="2026-06-10T00:00:00"/>
    <m/>
    <m/>
    <x v="0"/>
    <n v="9820"/>
    <s v="cra 5 - 66 y 69"/>
    <n v="2265494"/>
    <n v="9"/>
    <m/>
  </r>
  <r>
    <s v="conec1"/>
    <x v="6"/>
    <n v="2"/>
    <s v="Und"/>
    <x v="2"/>
    <d v="2026-06-10T00:00:00"/>
    <m/>
    <m/>
    <x v="0"/>
    <n v="9820"/>
    <s v="cra 5 - 66 y 69"/>
    <n v="2265532"/>
    <n v="13"/>
    <m/>
  </r>
  <r>
    <s v="conec2"/>
    <x v="7"/>
    <n v="3"/>
    <s v="Und"/>
    <x v="2"/>
    <d v="2026-06-10T00:00:00"/>
    <m/>
    <m/>
    <x v="0"/>
    <n v="9820"/>
    <s v="cra 5 - 66 y 69"/>
    <n v="2265401"/>
    <n v="1"/>
    <m/>
  </r>
  <r>
    <s v="conec2"/>
    <x v="7"/>
    <n v="3"/>
    <s v="Und"/>
    <x v="2"/>
    <d v="2026-06-10T00:00:00"/>
    <m/>
    <m/>
    <x v="0"/>
    <n v="9820"/>
    <s v="cra 5 - 66 y 69"/>
    <n v="2265443"/>
    <n v="4"/>
    <m/>
  </r>
  <r>
    <s v="conec2"/>
    <x v="7"/>
    <n v="3"/>
    <s v="Und"/>
    <x v="2"/>
    <d v="2026-06-10T00:00:00"/>
    <m/>
    <m/>
    <x v="0"/>
    <n v="9820"/>
    <s v="cra 5 - 66 y 69"/>
    <n v="6728120"/>
    <n v="7"/>
    <m/>
  </r>
  <r>
    <s v="conec2"/>
    <x v="7"/>
    <n v="3"/>
    <s v="Und"/>
    <x v="2"/>
    <d v="2026-06-10T00:00:00"/>
    <m/>
    <m/>
    <x v="0"/>
    <n v="9820"/>
    <s v="cra 5 - 66 y 69"/>
    <n v="2265494"/>
    <n v="10"/>
    <m/>
  </r>
  <r>
    <s v="conec2"/>
    <x v="7"/>
    <n v="3"/>
    <s v="Und"/>
    <x v="2"/>
    <d v="2026-06-10T00:00:00"/>
    <m/>
    <m/>
    <x v="0"/>
    <n v="9820"/>
    <s v="cra 5 - 66 y 69"/>
    <n v="2265532"/>
    <n v="13"/>
    <m/>
  </r>
  <r>
    <s v="gel2"/>
    <x v="9"/>
    <n v="2"/>
    <s v="Und"/>
    <x v="2"/>
    <d v="2026-06-10T00:00:00"/>
    <m/>
    <m/>
    <x v="0"/>
    <n v="9820"/>
    <s v="cra 5 - 66 y 69"/>
    <n v="2265401"/>
    <n v="1"/>
    <m/>
  </r>
  <r>
    <s v="gel2"/>
    <x v="9"/>
    <n v="2"/>
    <s v="Und"/>
    <x v="2"/>
    <d v="2026-06-10T00:00:00"/>
    <m/>
    <m/>
    <x v="0"/>
    <n v="9820"/>
    <s v="cra 5 - 66 y 69"/>
    <n v="2265443"/>
    <n v="4"/>
    <m/>
  </r>
  <r>
    <s v="gel2"/>
    <x v="9"/>
    <n v="2"/>
    <s v="Und"/>
    <x v="2"/>
    <d v="2026-06-10T00:00:00"/>
    <m/>
    <m/>
    <x v="0"/>
    <n v="9820"/>
    <s v="cra 5 - 66 y 69"/>
    <n v="6728120"/>
    <n v="7"/>
    <m/>
  </r>
  <r>
    <s v="gel2"/>
    <x v="9"/>
    <n v="2"/>
    <s v="Und"/>
    <x v="2"/>
    <d v="2026-06-10T00:00:00"/>
    <m/>
    <m/>
    <x v="0"/>
    <n v="9820"/>
    <s v="cra 5 - 66 y 69"/>
    <n v="2265494"/>
    <n v="10"/>
    <m/>
  </r>
  <r>
    <s v="gel1"/>
    <x v="8"/>
    <n v="2"/>
    <s v="Und"/>
    <x v="2"/>
    <d v="2026-06-10T00:00:00"/>
    <m/>
    <m/>
    <x v="0"/>
    <n v="9820"/>
    <s v="cra 5 - 66 y 69"/>
    <n v="2265532"/>
    <n v="13"/>
    <m/>
  </r>
  <r>
    <s v="#6"/>
    <x v="2"/>
    <n v="76"/>
    <s v="Mts"/>
    <x v="2"/>
    <d v="2026-06-10T00:00:00"/>
    <m/>
    <m/>
    <x v="0"/>
    <n v="9820"/>
    <s v="cra 5 - 66 y 69"/>
    <m/>
    <m/>
    <m/>
  </r>
  <r>
    <s v="3*14"/>
    <x v="3"/>
    <n v="10"/>
    <s v="Mts"/>
    <x v="2"/>
    <d v="2026-06-10T00:00:00"/>
    <m/>
    <m/>
    <x v="0"/>
    <n v="9820"/>
    <s v="cra 5 - 66 y 69"/>
    <n v="2265401"/>
    <n v="1"/>
    <m/>
  </r>
  <r>
    <s v="3*14"/>
    <x v="3"/>
    <n v="10"/>
    <s v="Mts"/>
    <x v="2"/>
    <d v="2026-06-10T00:00:00"/>
    <m/>
    <m/>
    <x v="0"/>
    <n v="9820"/>
    <s v="cra 5 - 66 y 69"/>
    <n v="2265443"/>
    <n v="4"/>
    <m/>
  </r>
  <r>
    <s v="3*14"/>
    <x v="3"/>
    <n v="10"/>
    <s v="Mts"/>
    <x v="2"/>
    <d v="2026-06-10T00:00:00"/>
    <m/>
    <m/>
    <x v="0"/>
    <n v="9820"/>
    <s v="cra 5 - 66 y 69"/>
    <n v="6728120"/>
    <n v="7"/>
    <m/>
  </r>
  <r>
    <s v="3*14"/>
    <x v="3"/>
    <n v="10"/>
    <s v="Mts"/>
    <x v="2"/>
    <d v="2026-06-10T00:00:00"/>
    <m/>
    <m/>
    <x v="0"/>
    <n v="9820"/>
    <s v="cra 5 - 66 y 69"/>
    <n v="2265494"/>
    <n v="10"/>
    <m/>
  </r>
  <r>
    <s v="3*14"/>
    <x v="3"/>
    <n v="10"/>
    <s v="Mts"/>
    <x v="2"/>
    <d v="2026-06-10T00:00:00"/>
    <m/>
    <m/>
    <x v="0"/>
    <n v="9820"/>
    <s v="cra 5 - 66 y 69"/>
    <n v="2265532"/>
    <n v="13"/>
    <m/>
  </r>
  <r>
    <s v="kit"/>
    <x v="10"/>
    <n v="1"/>
    <s v="Und"/>
    <x v="2"/>
    <d v="2026-06-10T00:00:00"/>
    <m/>
    <m/>
    <x v="0"/>
    <n v="9820"/>
    <s v="cra 5 - 66 y 69"/>
    <n v="5443415"/>
    <n v="3"/>
    <m/>
  </r>
  <r>
    <s v="kit"/>
    <x v="10"/>
    <n v="1"/>
    <s v="Und"/>
    <x v="2"/>
    <d v="2026-06-10T00:00:00"/>
    <m/>
    <m/>
    <x v="0"/>
    <n v="9820"/>
    <s v="cra 5 - 66 y 69"/>
    <n v="2265532"/>
    <n v="13"/>
    <m/>
  </r>
  <r>
    <s v="tubo 3"/>
    <x v="12"/>
    <n v="1"/>
    <s v="Mts"/>
    <x v="2"/>
    <d v="2026-06-10T00:00:00"/>
    <m/>
    <m/>
    <x v="0"/>
    <n v="9820"/>
    <s v="cra 5 - 66 y 69"/>
    <m/>
    <m/>
    <m/>
  </r>
  <r>
    <s v="grillete"/>
    <x v="24"/>
    <n v="2"/>
    <s v="Und"/>
    <x v="2"/>
    <d v="2026-07-01T00:00:00"/>
    <m/>
    <m/>
    <x v="1"/>
    <n v="9963"/>
    <s v="cll 18oe cra 44"/>
    <n v="2295528"/>
    <n v="10"/>
    <m/>
  </r>
  <r>
    <s v="tuerca"/>
    <x v="27"/>
    <n v="1"/>
    <s v="Und"/>
    <x v="2"/>
    <d v="2026-07-01T00:00:00"/>
    <m/>
    <m/>
    <x v="1"/>
    <n v="9963"/>
    <s v="cll 18oe cra 44"/>
    <n v="2295528"/>
    <n v="10"/>
    <m/>
  </r>
  <r>
    <s v="Foto"/>
    <x v="15"/>
    <n v="1"/>
    <s v="Und"/>
    <x v="2"/>
    <d v="2026-07-01T00:00:00"/>
    <m/>
    <m/>
    <x v="1"/>
    <n v="9963"/>
    <s v="cll 18oe cra 44"/>
    <n v="2295628"/>
    <n v="11"/>
    <m/>
  </r>
  <r>
    <s v="ciega1"/>
    <x v="44"/>
    <n v="2"/>
    <s v="Und"/>
    <x v="2"/>
    <d v="2026-06-27T00:00:00"/>
    <m/>
    <m/>
    <x v="1"/>
    <n v="9961"/>
    <s v="cr54cll 2oeste"/>
    <n v="6532225"/>
    <n v="23"/>
    <m/>
  </r>
  <r>
    <s v="conec3"/>
    <x v="29"/>
    <n v="1"/>
    <s v="Und"/>
    <x v="2"/>
    <d v="2026-06-27T00:00:00"/>
    <m/>
    <m/>
    <x v="1"/>
    <n v="9961"/>
    <s v="cr54cll 2oeste"/>
    <n v="2257815"/>
    <n v="2"/>
    <m/>
  </r>
  <r>
    <s v="conec3"/>
    <x v="29"/>
    <n v="1"/>
    <s v="Und"/>
    <x v="2"/>
    <d v="2026-06-27T00:00:00"/>
    <m/>
    <m/>
    <x v="1"/>
    <n v="9961"/>
    <s v="cr54cll 2oeste"/>
    <n v="2258897"/>
    <n v="4"/>
    <m/>
  </r>
  <r>
    <s v="conec3"/>
    <x v="29"/>
    <n v="1"/>
    <s v="Und"/>
    <x v="2"/>
    <d v="2026-06-27T00:00:00"/>
    <m/>
    <m/>
    <x v="1"/>
    <n v="9961"/>
    <s v="cr54cll 2oeste"/>
    <n v="6535241"/>
    <n v="5"/>
    <m/>
  </r>
  <r>
    <s v="conec3"/>
    <x v="29"/>
    <n v="1"/>
    <s v="Und"/>
    <x v="2"/>
    <d v="2026-06-27T00:00:00"/>
    <m/>
    <m/>
    <x v="1"/>
    <n v="9961"/>
    <s v="cr54cll 2oeste"/>
    <n v="6532306"/>
    <n v="7"/>
    <m/>
  </r>
  <r>
    <s v="conec3"/>
    <x v="29"/>
    <n v="1"/>
    <s v="Und"/>
    <x v="2"/>
    <d v="2026-06-27T00:00:00"/>
    <m/>
    <m/>
    <x v="1"/>
    <n v="9961"/>
    <s v="cr54cll 2oeste"/>
    <n v="2173239"/>
    <n v="9"/>
    <m/>
  </r>
  <r>
    <s v="conec3"/>
    <x v="29"/>
    <n v="1"/>
    <s v="Und"/>
    <x v="2"/>
    <d v="2026-06-27T00:00:00"/>
    <m/>
    <m/>
    <x v="1"/>
    <n v="9961"/>
    <s v="cr54cll 2oeste"/>
    <n v="6532292"/>
    <n v="12"/>
    <m/>
  </r>
  <r>
    <s v="conec3"/>
    <x v="29"/>
    <n v="1"/>
    <s v="Und"/>
    <x v="2"/>
    <d v="2026-06-27T00:00:00"/>
    <m/>
    <m/>
    <x v="1"/>
    <n v="9961"/>
    <s v="cr54cll 2oeste"/>
    <n v="2173221"/>
    <n v="16"/>
    <m/>
  </r>
  <r>
    <s v="conec3"/>
    <x v="29"/>
    <n v="1"/>
    <s v="Und"/>
    <x v="2"/>
    <d v="2026-06-27T00:00:00"/>
    <m/>
    <m/>
    <x v="1"/>
    <n v="9961"/>
    <s v="cr54cll 2oeste"/>
    <n v="6532281"/>
    <n v="18"/>
    <m/>
  </r>
  <r>
    <s v="conec3"/>
    <x v="29"/>
    <n v="1"/>
    <s v="Und"/>
    <x v="2"/>
    <d v="2026-06-27T00:00:00"/>
    <m/>
    <m/>
    <x v="1"/>
    <n v="9961"/>
    <s v="cr54cll 2oeste"/>
    <n v="6522233"/>
    <n v="20"/>
    <m/>
  </r>
  <r>
    <s v="conec3"/>
    <x v="29"/>
    <n v="1"/>
    <s v="Und"/>
    <x v="2"/>
    <d v="2026-06-27T00:00:00"/>
    <m/>
    <m/>
    <x v="1"/>
    <n v="9961"/>
    <s v="cr54cll 2oeste"/>
    <n v="2258935"/>
    <n v="21"/>
    <m/>
  </r>
  <r>
    <s v="conec3"/>
    <x v="29"/>
    <n v="1"/>
    <s v="Und"/>
    <x v="2"/>
    <d v="2026-06-27T00:00:00"/>
    <m/>
    <m/>
    <x v="1"/>
    <n v="9961"/>
    <s v="cr54cll 2oeste"/>
    <n v="6532225"/>
    <n v="23"/>
    <m/>
  </r>
  <r>
    <s v="capacete"/>
    <x v="38"/>
    <n v="5"/>
    <s v="Und"/>
    <x v="0"/>
    <d v="2026-08-28T00:00:00"/>
    <m/>
    <m/>
    <x v="2"/>
    <n v="9973"/>
    <m/>
    <m/>
    <m/>
    <m/>
  </r>
  <r>
    <s v="alambre 14"/>
    <x v="40"/>
    <n v="100"/>
    <s v="Und"/>
    <x v="0"/>
    <d v="2026-08-28T00:00:00"/>
    <m/>
    <m/>
    <x v="2"/>
    <n v="9968"/>
    <m/>
    <m/>
    <m/>
    <m/>
  </r>
  <r>
    <s v="conec3"/>
    <x v="29"/>
    <n v="17"/>
    <s v="Und"/>
    <x v="0"/>
    <d v="2026-08-28T00:00:00"/>
    <m/>
    <m/>
    <x v="2"/>
    <n v="9968"/>
    <m/>
    <m/>
    <m/>
    <m/>
  </r>
  <r>
    <s v="kit"/>
    <x v="10"/>
    <n v="4"/>
    <s v="Und"/>
    <x v="0"/>
    <d v="2026-08-28T00:00:00"/>
    <m/>
    <m/>
    <x v="2"/>
    <n v="9968"/>
    <m/>
    <m/>
    <m/>
    <m/>
  </r>
  <r>
    <s v="perno2"/>
    <x v="55"/>
    <n v="38"/>
    <s v="Und"/>
    <x v="0"/>
    <d v="2026-08-28T00:00:00"/>
    <m/>
    <m/>
    <x v="2"/>
    <n v="9974"/>
    <m/>
    <m/>
    <m/>
    <m/>
  </r>
  <r>
    <s v="tuerca"/>
    <x v="27"/>
    <n v="76"/>
    <s v="Und"/>
    <x v="0"/>
    <d v="2026-08-28T00:00:00"/>
    <m/>
    <m/>
    <x v="2"/>
    <n v="9974"/>
    <m/>
    <m/>
    <m/>
    <m/>
  </r>
  <r>
    <s v="conec3"/>
    <x v="29"/>
    <n v="5"/>
    <s v="Und"/>
    <x v="0"/>
    <d v="2026-08-28T00:00:00"/>
    <m/>
    <m/>
    <x v="1"/>
    <n v="9960"/>
    <s v="cr42b-cl11/13"/>
    <m/>
    <m/>
    <m/>
  </r>
  <r>
    <s v="Foto"/>
    <x v="15"/>
    <n v="1"/>
    <s v="Und"/>
    <x v="2"/>
    <d v="2026-06-05T00:00:00"/>
    <m/>
    <m/>
    <x v="0"/>
    <n v="9821"/>
    <s v="cra 5 cll71"/>
    <n v="2340194"/>
    <n v="1"/>
    <s v="SI"/>
  </r>
  <r>
    <s v="Foto"/>
    <x v="15"/>
    <n v="1"/>
    <s v="Und"/>
    <x v="2"/>
    <d v="2026-06-05T00:00:00"/>
    <m/>
    <m/>
    <x v="0"/>
    <n v="9821"/>
    <s v="cra 5 cll71"/>
    <n v="2340194"/>
    <n v="2"/>
    <s v="SI"/>
  </r>
  <r>
    <s v="Foto"/>
    <x v="15"/>
    <n v="1"/>
    <s v="Und"/>
    <x v="2"/>
    <d v="2026-06-05T00:00:00"/>
    <m/>
    <m/>
    <x v="0"/>
    <n v="9821"/>
    <s v="cra 5 cll71"/>
    <n v="2340232"/>
    <n v="4"/>
    <s v="SI"/>
  </r>
  <r>
    <s v="Foto"/>
    <x v="15"/>
    <n v="1"/>
    <s v="Und"/>
    <x v="2"/>
    <d v="2026-06-05T00:00:00"/>
    <m/>
    <m/>
    <x v="0"/>
    <n v="9821"/>
    <s v="cra 5 cll71"/>
    <n v="2340232"/>
    <n v="5"/>
    <s v="SI"/>
  </r>
  <r>
    <s v="Foto"/>
    <x v="15"/>
    <n v="1"/>
    <s v="Und"/>
    <x v="2"/>
    <d v="2026-06-05T00:00:00"/>
    <m/>
    <m/>
    <x v="0"/>
    <n v="9821"/>
    <s v="cra 5 cll71"/>
    <n v="2340101"/>
    <n v="6"/>
    <s v="SI"/>
  </r>
  <r>
    <s v="Foto"/>
    <x v="15"/>
    <n v="1"/>
    <s v="Und"/>
    <x v="2"/>
    <d v="2026-06-05T00:00:00"/>
    <m/>
    <m/>
    <x v="0"/>
    <n v="9821"/>
    <s v="cra 5 cll71"/>
    <n v="2340054"/>
    <n v="3"/>
    <s v="SI"/>
  </r>
  <r>
    <s v="Foto"/>
    <x v="15"/>
    <n v="1"/>
    <s v="Und"/>
    <x v="2"/>
    <d v="2026-06-05T00:00:00"/>
    <m/>
    <m/>
    <x v="0"/>
    <n v="9821"/>
    <s v="cra 5 cll71"/>
    <n v="2340283"/>
    <n v="8"/>
    <s v="SI"/>
  </r>
  <r>
    <s v="Foto"/>
    <x v="15"/>
    <n v="1"/>
    <s v="Und"/>
    <x v="2"/>
    <d v="2026-06-05T00:00:00"/>
    <m/>
    <m/>
    <x v="0"/>
    <n v="9821"/>
    <s v="cra 5 cll71"/>
    <n v="2340283"/>
    <n v="9"/>
    <s v="SI"/>
  </r>
  <r>
    <s v="Foto"/>
    <x v="15"/>
    <n v="1"/>
    <s v="Und"/>
    <x v="2"/>
    <d v="2026-06-05T00:00:00"/>
    <m/>
    <m/>
    <x v="0"/>
    <n v="9821"/>
    <s v="cra 5 cll71"/>
    <n v="2349143"/>
    <n v="10"/>
    <s v="SI"/>
  </r>
  <r>
    <s v="grillete"/>
    <x v="24"/>
    <n v="2"/>
    <s v="Und"/>
    <x v="2"/>
    <d v="2026-06-05T00:00:00"/>
    <m/>
    <m/>
    <x v="0"/>
    <n v="9821"/>
    <s v="cra 5 cll71"/>
    <n v="2340101"/>
    <n v="6"/>
    <m/>
  </r>
  <r>
    <s v="perno2"/>
    <x v="55"/>
    <n v="2"/>
    <s v="Und"/>
    <x v="2"/>
    <d v="2026-06-05T00:00:00"/>
    <m/>
    <m/>
    <x v="0"/>
    <n v="9821"/>
    <s v="cra 5 cll71"/>
    <n v="2340101"/>
    <n v="6"/>
    <m/>
  </r>
  <r>
    <s v="tuerca"/>
    <x v="27"/>
    <n v="2"/>
    <s v="Und"/>
    <x v="2"/>
    <d v="2026-06-05T00:00:00"/>
    <m/>
    <m/>
    <x v="0"/>
    <n v="9821"/>
    <s v="cra 5 cll71"/>
    <n v="2340101"/>
    <n v="6"/>
    <m/>
  </r>
  <r>
    <s v="Foto"/>
    <x v="15"/>
    <n v="1"/>
    <s v="Und"/>
    <x v="2"/>
    <d v="2026-06-26T00:00:00"/>
    <m/>
    <m/>
    <x v="1"/>
    <n v="9958"/>
    <m/>
    <n v="2277638"/>
    <n v="1"/>
    <m/>
  </r>
  <r>
    <s v="Foto"/>
    <x v="15"/>
    <n v="1"/>
    <s v="Und"/>
    <x v="2"/>
    <d v="2026-06-26T00:00:00"/>
    <m/>
    <m/>
    <x v="1"/>
    <n v="9958"/>
    <m/>
    <n v="2277638"/>
    <n v="2"/>
    <m/>
  </r>
  <r>
    <s v="Foto"/>
    <x v="15"/>
    <n v="1"/>
    <s v="Und"/>
    <x v="2"/>
    <d v="2026-06-26T00:00:00"/>
    <m/>
    <m/>
    <x v="1"/>
    <n v="9958"/>
    <m/>
    <n v="2277638"/>
    <n v="3"/>
    <m/>
  </r>
  <r>
    <s v="Foto"/>
    <x v="15"/>
    <n v="1"/>
    <s v="Und"/>
    <x v="2"/>
    <d v="2026-06-26T00:00:00"/>
    <m/>
    <m/>
    <x v="1"/>
    <n v="9958"/>
    <m/>
    <n v="2277638"/>
    <n v="4"/>
    <m/>
  </r>
  <r>
    <s v="Foto"/>
    <x v="15"/>
    <n v="1"/>
    <s v="Und"/>
    <x v="2"/>
    <d v="2026-06-26T00:00:00"/>
    <m/>
    <m/>
    <x v="1"/>
    <n v="9958"/>
    <m/>
    <n v="2277638"/>
    <n v="5"/>
    <m/>
  </r>
  <r>
    <s v="Foto"/>
    <x v="15"/>
    <n v="1"/>
    <s v="Und"/>
    <x v="2"/>
    <d v="2026-06-26T00:00:00"/>
    <m/>
    <m/>
    <x v="1"/>
    <n v="9958"/>
    <m/>
    <n v="2277638"/>
    <n v="6"/>
    <m/>
  </r>
  <r>
    <s v="Foto"/>
    <x v="15"/>
    <n v="1"/>
    <s v="Und"/>
    <x v="2"/>
    <d v="2026-06-26T00:00:00"/>
    <m/>
    <m/>
    <x v="1"/>
    <n v="9958"/>
    <m/>
    <n v="2277689"/>
    <n v="7"/>
    <m/>
  </r>
  <r>
    <s v="Foto"/>
    <x v="15"/>
    <n v="1"/>
    <s v="Und"/>
    <x v="2"/>
    <d v="2026-06-26T00:00:00"/>
    <m/>
    <m/>
    <x v="1"/>
    <n v="9958"/>
    <m/>
    <n v="2277689"/>
    <n v="8"/>
    <m/>
  </r>
  <r>
    <s v="Foto"/>
    <x v="15"/>
    <n v="1"/>
    <s v="Und"/>
    <x v="2"/>
    <d v="2026-06-26T00:00:00"/>
    <m/>
    <m/>
    <x v="1"/>
    <n v="9958"/>
    <m/>
    <n v="2277689"/>
    <n v="9"/>
    <m/>
  </r>
  <r>
    <s v="Foto"/>
    <x v="15"/>
    <n v="1"/>
    <s v="Und"/>
    <x v="2"/>
    <d v="2026-06-26T00:00:00"/>
    <m/>
    <m/>
    <x v="1"/>
    <n v="9958"/>
    <m/>
    <n v="2277689"/>
    <n v="10"/>
    <m/>
  </r>
  <r>
    <s v="Foto"/>
    <x v="15"/>
    <n v="1"/>
    <s v="Und"/>
    <x v="2"/>
    <d v="2026-06-26T00:00:00"/>
    <m/>
    <m/>
    <x v="1"/>
    <n v="9958"/>
    <m/>
    <n v="2277689"/>
    <n v="11"/>
    <m/>
  </r>
  <r>
    <s v="Foto"/>
    <x v="15"/>
    <n v="1"/>
    <s v="Und"/>
    <x v="2"/>
    <d v="2026-06-26T00:00:00"/>
    <m/>
    <m/>
    <x v="1"/>
    <n v="9958"/>
    <m/>
    <n v="2277689"/>
    <n v="12"/>
    <m/>
  </r>
  <r>
    <s v="Foto"/>
    <x v="15"/>
    <n v="1"/>
    <s v="Und"/>
    <x v="2"/>
    <d v="2026-06-26T00:00:00"/>
    <m/>
    <m/>
    <x v="1"/>
    <n v="9958"/>
    <m/>
    <n v="2277638"/>
    <n v="7"/>
    <m/>
  </r>
  <r>
    <s v="Foto"/>
    <x v="15"/>
    <n v="1"/>
    <s v="Und"/>
    <x v="2"/>
    <d v="2026-06-26T00:00:00"/>
    <m/>
    <m/>
    <x v="1"/>
    <n v="9958"/>
    <m/>
    <n v="2277638"/>
    <n v="8"/>
    <m/>
  </r>
  <r>
    <s v="Foto"/>
    <x v="15"/>
    <n v="1"/>
    <s v="Und"/>
    <x v="2"/>
    <d v="2026-06-26T00:00:00"/>
    <m/>
    <m/>
    <x v="1"/>
    <n v="9958"/>
    <m/>
    <n v="2277689"/>
    <n v="12"/>
    <m/>
  </r>
  <r>
    <s v="Foto"/>
    <x v="15"/>
    <n v="1"/>
    <s v="Und"/>
    <x v="2"/>
    <d v="2026-06-26T00:00:00"/>
    <m/>
    <m/>
    <x v="1"/>
    <n v="9958"/>
    <m/>
    <n v="2277689"/>
    <n v="13"/>
    <m/>
  </r>
  <r>
    <s v="Foto"/>
    <x v="15"/>
    <n v="1"/>
    <s v="Und"/>
    <x v="2"/>
    <d v="2026-06-26T00:00:00"/>
    <m/>
    <m/>
    <x v="1"/>
    <n v="9958"/>
    <m/>
    <n v="2277689"/>
    <n v="14"/>
    <m/>
  </r>
  <r>
    <s v="grillete"/>
    <x v="24"/>
    <n v="2"/>
    <s v="Und"/>
    <x v="2"/>
    <d v="2026-06-26T00:00:00"/>
    <m/>
    <m/>
    <x v="1"/>
    <n v="9958"/>
    <m/>
    <n v="2277638"/>
    <n v="1"/>
    <m/>
  </r>
  <r>
    <s v="grillete"/>
    <x v="24"/>
    <n v="2"/>
    <s v="Und"/>
    <x v="2"/>
    <d v="2026-06-26T00:00:00"/>
    <m/>
    <m/>
    <x v="1"/>
    <n v="9958"/>
    <m/>
    <n v="2277689"/>
    <n v="7"/>
    <m/>
  </r>
  <r>
    <s v="hebilla"/>
    <x v="5"/>
    <n v="3"/>
    <s v="Und"/>
    <x v="2"/>
    <d v="2026-06-26T00:00:00"/>
    <m/>
    <m/>
    <x v="1"/>
    <n v="9958"/>
    <m/>
    <n v="2277638"/>
    <n v="7"/>
    <m/>
  </r>
  <r>
    <s v="hebilla"/>
    <x v="5"/>
    <n v="3"/>
    <s v="Und"/>
    <x v="2"/>
    <d v="2026-06-26T00:00:00"/>
    <m/>
    <m/>
    <x v="1"/>
    <n v="9958"/>
    <m/>
    <n v="2277689"/>
    <n v="9"/>
    <m/>
  </r>
  <r>
    <s v="hebilla"/>
    <x v="5"/>
    <n v="3"/>
    <s v="Und"/>
    <x v="2"/>
    <d v="2026-06-26T00:00:00"/>
    <m/>
    <m/>
    <x v="1"/>
    <n v="9958"/>
    <m/>
    <n v="2277689"/>
    <n v="11"/>
    <m/>
  </r>
  <r>
    <s v="hebilla"/>
    <x v="5"/>
    <n v="3"/>
    <s v="Und"/>
    <x v="2"/>
    <d v="2026-06-26T00:00:00"/>
    <m/>
    <m/>
    <x v="1"/>
    <n v="9958"/>
    <m/>
    <n v="2277689"/>
    <n v="15"/>
    <m/>
  </r>
  <r>
    <s v="lum-110"/>
    <x v="20"/>
    <n v="1"/>
    <s v="Und"/>
    <x v="2"/>
    <d v="2026-06-26T00:00:00"/>
    <s v="CURRENT"/>
    <s v="6G00139"/>
    <x v="1"/>
    <n v="9958"/>
    <m/>
    <n v="2277638"/>
    <n v="1"/>
    <m/>
  </r>
  <r>
    <s v="lum-110"/>
    <x v="20"/>
    <n v="1"/>
    <s v="Und"/>
    <x v="2"/>
    <d v="2026-06-26T00:00:00"/>
    <s v="CURRENT"/>
    <s v="6G00135"/>
    <x v="1"/>
    <n v="9958"/>
    <m/>
    <n v="2277689"/>
    <n v="7"/>
    <m/>
  </r>
  <r>
    <s v="pro-190"/>
    <x v="19"/>
    <n v="1"/>
    <s v="Und"/>
    <x v="0"/>
    <d v="2026-07-18T00:00:00"/>
    <s v="CURRENT"/>
    <s v="6PD0251"/>
    <x v="2"/>
    <n v="9974"/>
    <m/>
    <m/>
    <m/>
    <m/>
  </r>
  <r>
    <s v="pro-190"/>
    <x v="19"/>
    <n v="1"/>
    <s v="Und"/>
    <x v="2"/>
    <m/>
    <s v="CURRENT"/>
    <s v="6PD0251"/>
    <x v="2"/>
    <n v="9974"/>
    <m/>
    <n v="1865323"/>
    <n v="18"/>
    <m/>
  </r>
  <r>
    <s v="pro-190"/>
    <x v="19"/>
    <n v="1"/>
    <s v="Und"/>
    <x v="0"/>
    <d v="2026-07-18T00:00:00"/>
    <s v="CURRENT"/>
    <s v="6PD0253"/>
    <x v="2"/>
    <n v="9968"/>
    <m/>
    <m/>
    <m/>
    <m/>
  </r>
  <r>
    <s v="pro-190"/>
    <x v="19"/>
    <n v="1"/>
    <s v="Und"/>
    <x v="0"/>
    <d v="2026-07-18T00:00:00"/>
    <s v="CURRENT"/>
    <s v="6PD0255"/>
    <x v="2"/>
    <n v="9968"/>
    <m/>
    <m/>
    <m/>
    <m/>
  </r>
  <r>
    <s v="pro-190"/>
    <x v="19"/>
    <n v="1"/>
    <s v="Und"/>
    <x v="0"/>
    <d v="2026-07-18T00:00:00"/>
    <s v="CURRENT"/>
    <s v="6PD0257"/>
    <x v="2"/>
    <n v="9972"/>
    <m/>
    <m/>
    <m/>
    <m/>
  </r>
  <r>
    <s v="pro-190"/>
    <x v="19"/>
    <n v="1"/>
    <s v="Und"/>
    <x v="2"/>
    <m/>
    <s v="CURRENT"/>
    <s v="6PD0257"/>
    <x v="2"/>
    <n v="9972"/>
    <m/>
    <n v="2304333"/>
    <n v="9"/>
    <m/>
  </r>
  <r>
    <s v="pro-190"/>
    <x v="19"/>
    <n v="1"/>
    <s v="Und"/>
    <x v="0"/>
    <d v="2026-07-18T00:00:00"/>
    <s v="CURRENT"/>
    <s v="6PD0259"/>
    <x v="2"/>
    <n v="9968"/>
    <m/>
    <m/>
    <m/>
    <m/>
  </r>
  <r>
    <s v="pro-190"/>
    <x v="19"/>
    <n v="1"/>
    <s v="Und"/>
    <x v="0"/>
    <d v="2026-07-18T00:00:00"/>
    <s v="CURRENT"/>
    <s v="6PD0263"/>
    <x v="2"/>
    <n v="9972"/>
    <m/>
    <m/>
    <m/>
    <m/>
  </r>
  <r>
    <s v="pro-190"/>
    <x v="19"/>
    <n v="1"/>
    <s v="Und"/>
    <x v="2"/>
    <m/>
    <s v="CURRENT"/>
    <s v="6PD0263"/>
    <x v="2"/>
    <n v="9972"/>
    <m/>
    <n v="1901974"/>
    <n v="15"/>
    <m/>
  </r>
  <r>
    <s v="pro-190"/>
    <x v="19"/>
    <n v="1"/>
    <s v="Und"/>
    <x v="0"/>
    <d v="2026-07-18T00:00:00"/>
    <s v="CURRENT"/>
    <s v="6PD0264"/>
    <x v="2"/>
    <n v="9974"/>
    <m/>
    <m/>
    <m/>
    <m/>
  </r>
  <r>
    <s v="pro-190"/>
    <x v="19"/>
    <n v="1"/>
    <s v="Und"/>
    <x v="2"/>
    <m/>
    <s v="CURRENT"/>
    <s v="6PD0264"/>
    <x v="2"/>
    <n v="9974"/>
    <m/>
    <n v="1865323"/>
    <n v="17"/>
    <m/>
  </r>
  <r>
    <s v="pro-190"/>
    <x v="19"/>
    <n v="1"/>
    <s v="Und"/>
    <x v="0"/>
    <d v="2026-07-18T00:00:00"/>
    <s v="CURRENT"/>
    <s v="6PD0267"/>
    <x v="2"/>
    <n v="9974"/>
    <m/>
    <m/>
    <m/>
    <m/>
  </r>
  <r>
    <s v="pro-190"/>
    <x v="19"/>
    <n v="1"/>
    <s v="Und"/>
    <x v="2"/>
    <m/>
    <s v="CURRENT"/>
    <s v="6PD0267"/>
    <x v="2"/>
    <n v="9974"/>
    <m/>
    <n v="1865323"/>
    <n v="15"/>
    <m/>
  </r>
  <r>
    <s v="pro-190"/>
    <x v="19"/>
    <n v="1"/>
    <s v="Und"/>
    <x v="0"/>
    <d v="2026-07-18T00:00:00"/>
    <s v="CURRENT"/>
    <s v="6PD0269"/>
    <x v="2"/>
    <n v="9974"/>
    <m/>
    <m/>
    <m/>
    <m/>
  </r>
  <r>
    <s v="pro-190"/>
    <x v="19"/>
    <n v="1"/>
    <s v="Und"/>
    <x v="2"/>
    <m/>
    <s v="CURRENT"/>
    <s v="6PD0269"/>
    <x v="2"/>
    <n v="9974"/>
    <m/>
    <n v="1865331"/>
    <n v="7"/>
    <m/>
  </r>
  <r>
    <s v="tapa2"/>
    <x v="14"/>
    <n v="1"/>
    <s v="Und"/>
    <x v="2"/>
    <d v="2026-06-26T00:00:00"/>
    <m/>
    <m/>
    <x v="1"/>
    <n v="9958"/>
    <m/>
    <n v="2277638"/>
    <n v="1"/>
    <m/>
  </r>
  <r>
    <s v="tapa2"/>
    <x v="14"/>
    <n v="1"/>
    <s v="Und"/>
    <x v="2"/>
    <d v="2026-06-26T00:00:00"/>
    <m/>
    <m/>
    <x v="1"/>
    <n v="9958"/>
    <m/>
    <n v="2277638"/>
    <n v="7"/>
    <m/>
  </r>
  <r>
    <s v="tapa2"/>
    <x v="14"/>
    <n v="1"/>
    <s v="Und"/>
    <x v="2"/>
    <d v="2026-06-26T00:00:00"/>
    <m/>
    <m/>
    <x v="1"/>
    <n v="9958"/>
    <m/>
    <n v="2277689"/>
    <n v="9"/>
    <m/>
  </r>
  <r>
    <s v="tubo 3"/>
    <x v="12"/>
    <n v="0.5"/>
    <s v="Mts"/>
    <x v="2"/>
    <d v="2026-06-26T00:00:00"/>
    <m/>
    <m/>
    <x v="1"/>
    <n v="9958"/>
    <m/>
    <n v="2277638"/>
    <n v="1"/>
    <m/>
  </r>
  <r>
    <s v="tubo 3"/>
    <x v="12"/>
    <n v="0.3"/>
    <s v="Mts"/>
    <x v="2"/>
    <d v="2026-06-26T00:00:00"/>
    <m/>
    <m/>
    <x v="1"/>
    <n v="9958"/>
    <m/>
    <n v="2277638"/>
    <n v="7"/>
    <m/>
  </r>
  <r>
    <s v="tubo 1"/>
    <x v="52"/>
    <n v="1"/>
    <s v="Und"/>
    <x v="2"/>
    <d v="2026-06-26T00:00:00"/>
    <m/>
    <m/>
    <x v="1"/>
    <n v="9958"/>
    <m/>
    <n v="2277638"/>
    <n v="7"/>
    <m/>
  </r>
  <r>
    <s v="tubo 1"/>
    <x v="52"/>
    <n v="1"/>
    <s v="Und"/>
    <x v="2"/>
    <d v="2026-06-26T00:00:00"/>
    <m/>
    <m/>
    <x v="1"/>
    <n v="9958"/>
    <m/>
    <n v="2277638"/>
    <n v="9"/>
    <m/>
  </r>
  <r>
    <s v="tubo 1"/>
    <x v="52"/>
    <n v="1"/>
    <s v="Und"/>
    <x v="2"/>
    <d v="2026-06-26T00:00:00"/>
    <m/>
    <m/>
    <x v="1"/>
    <n v="9958"/>
    <m/>
    <n v="2277689"/>
    <n v="13"/>
    <m/>
  </r>
  <r>
    <s v="tubo 1"/>
    <x v="52"/>
    <n v="1"/>
    <s v="Und"/>
    <x v="2"/>
    <d v="2026-06-26T00:00:00"/>
    <m/>
    <m/>
    <x v="1"/>
    <n v="9958"/>
    <m/>
    <n v="2277689"/>
    <n v="14"/>
    <m/>
  </r>
  <r>
    <s v="cooper"/>
    <x v="28"/>
    <n v="1"/>
    <s v="Und"/>
    <x v="2"/>
    <d v="2026-06-26T00:00:00"/>
    <m/>
    <m/>
    <x v="1"/>
    <n v="9958"/>
    <m/>
    <n v="2277638"/>
    <n v="1"/>
    <m/>
  </r>
  <r>
    <s v="ciega2"/>
    <x v="46"/>
    <n v="2"/>
    <s v="Und"/>
    <x v="2"/>
    <m/>
    <m/>
    <m/>
    <x v="1"/>
    <n v="9959"/>
    <m/>
    <n v="2277590"/>
    <n v="3"/>
    <m/>
  </r>
  <r>
    <s v="ciega2"/>
    <x v="46"/>
    <n v="2"/>
    <s v="Und"/>
    <x v="2"/>
    <m/>
    <m/>
    <m/>
    <x v="1"/>
    <n v="9959"/>
    <m/>
    <n v="1948296"/>
    <n v="7"/>
    <m/>
  </r>
  <r>
    <s v="ciega2"/>
    <x v="46"/>
    <n v="2"/>
    <s v="Und"/>
    <x v="2"/>
    <m/>
    <m/>
    <m/>
    <x v="1"/>
    <n v="9959"/>
    <m/>
    <n v="1948296"/>
    <n v="9"/>
    <m/>
  </r>
  <r>
    <s v="ciega2"/>
    <x v="46"/>
    <n v="2"/>
    <s v="Und"/>
    <x v="2"/>
    <m/>
    <m/>
    <m/>
    <x v="1"/>
    <n v="9959"/>
    <m/>
    <n v="2277549"/>
    <n v="11"/>
    <m/>
  </r>
  <r>
    <s v="ciega2"/>
    <x v="46"/>
    <n v="2"/>
    <s v="Und"/>
    <x v="2"/>
    <m/>
    <m/>
    <m/>
    <x v="1"/>
    <n v="9959"/>
    <m/>
    <n v="2277549"/>
    <n v="13"/>
    <m/>
  </r>
  <r>
    <s v="ciega2"/>
    <x v="46"/>
    <n v="2"/>
    <s v="Und"/>
    <x v="2"/>
    <m/>
    <m/>
    <m/>
    <x v="1"/>
    <n v="9959"/>
    <m/>
    <n v="2277506"/>
    <n v="15"/>
    <m/>
  </r>
  <r>
    <s v="Aislador1"/>
    <x v="1"/>
    <n v="1"/>
    <s v="Und"/>
    <x v="2"/>
    <m/>
    <m/>
    <m/>
    <x v="1"/>
    <n v="9959"/>
    <m/>
    <n v="2277590"/>
    <n v="5"/>
    <m/>
  </r>
  <r>
    <s v="alambre 14"/>
    <x v="40"/>
    <n v="16"/>
    <s v="Und"/>
    <x v="2"/>
    <m/>
    <m/>
    <m/>
    <x v="1"/>
    <n v="9959"/>
    <m/>
    <n v="1948296"/>
    <n v="9"/>
    <m/>
  </r>
  <r>
    <s v="alambre 14"/>
    <x v="40"/>
    <n v="1"/>
    <s v="Und"/>
    <x v="2"/>
    <m/>
    <m/>
    <m/>
    <x v="1"/>
    <n v="9959"/>
    <m/>
    <n v="2277549"/>
    <n v="10"/>
    <m/>
  </r>
  <r>
    <s v="alambre 14"/>
    <x v="40"/>
    <n v="14"/>
    <s v="Und"/>
    <x v="2"/>
    <m/>
    <m/>
    <m/>
    <x v="1"/>
    <n v="9959"/>
    <m/>
    <n v="2277506"/>
    <n v="13"/>
    <m/>
  </r>
  <r>
    <s v="angular"/>
    <x v="33"/>
    <n v="2"/>
    <s v="Und"/>
    <x v="2"/>
    <m/>
    <m/>
    <m/>
    <x v="1"/>
    <n v="9959"/>
    <m/>
    <n v="2277590"/>
    <n v="2"/>
    <m/>
  </r>
  <r>
    <s v="angular"/>
    <x v="33"/>
    <n v="2"/>
    <s v="Und"/>
    <x v="2"/>
    <m/>
    <m/>
    <m/>
    <x v="1"/>
    <n v="9959"/>
    <m/>
    <n v="1948296"/>
    <n v="8"/>
    <m/>
  </r>
  <r>
    <s v="angular"/>
    <x v="33"/>
    <n v="2"/>
    <s v="Und"/>
    <x v="2"/>
    <m/>
    <m/>
    <m/>
    <x v="1"/>
    <n v="9959"/>
    <m/>
    <n v="2277506"/>
    <n v="14"/>
    <m/>
  </r>
  <r>
    <s v="#4"/>
    <x v="41"/>
    <n v="38"/>
    <s v="Mts"/>
    <x v="2"/>
    <m/>
    <m/>
    <m/>
    <x v="1"/>
    <n v="9959"/>
    <m/>
    <n v="1948296"/>
    <n v="8"/>
    <m/>
  </r>
  <r>
    <s v="#4"/>
    <x v="41"/>
    <n v="32"/>
    <s v="Mts"/>
    <x v="2"/>
    <m/>
    <m/>
    <m/>
    <x v="1"/>
    <n v="9959"/>
    <m/>
    <n v="1948296"/>
    <n v="9"/>
    <m/>
  </r>
  <r>
    <s v="#4"/>
    <x v="41"/>
    <n v="54"/>
    <s v="Mts"/>
    <x v="2"/>
    <m/>
    <m/>
    <m/>
    <x v="1"/>
    <n v="9959"/>
    <m/>
    <n v="2277506"/>
    <n v="14"/>
    <m/>
  </r>
  <r>
    <s v="3*14"/>
    <x v="3"/>
    <n v="42"/>
    <s v="Mts"/>
    <x v="2"/>
    <m/>
    <m/>
    <m/>
    <x v="1"/>
    <n v="9959"/>
    <m/>
    <n v="1948296"/>
    <n v="8"/>
    <m/>
  </r>
  <r>
    <s v="3*14"/>
    <x v="3"/>
    <n v="10"/>
    <s v="Mts"/>
    <x v="2"/>
    <m/>
    <m/>
    <m/>
    <x v="1"/>
    <n v="9959"/>
    <m/>
    <n v="2277549"/>
    <n v="10"/>
    <m/>
  </r>
  <r>
    <s v="3*14"/>
    <x v="3"/>
    <n v="10"/>
    <s v="Mts"/>
    <x v="2"/>
    <m/>
    <m/>
    <m/>
    <x v="1"/>
    <n v="9959"/>
    <m/>
    <n v="2277506"/>
    <n v="13"/>
    <m/>
  </r>
  <r>
    <s v="3*14"/>
    <x v="3"/>
    <n v="10"/>
    <s v="Mts"/>
    <x v="2"/>
    <m/>
    <m/>
    <m/>
    <x v="1"/>
    <n v="9959"/>
    <m/>
    <n v="2277506"/>
    <n v="15"/>
    <m/>
  </r>
  <r>
    <s v="tubo 3"/>
    <x v="12"/>
    <n v="1"/>
    <s v="Mts"/>
    <x v="2"/>
    <m/>
    <m/>
    <m/>
    <x v="1"/>
    <n v="9959"/>
    <m/>
    <n v="1948296"/>
    <n v="7"/>
    <m/>
  </r>
  <r>
    <s v="tubo 3"/>
    <x v="12"/>
    <n v="1"/>
    <s v="Mts"/>
    <x v="2"/>
    <m/>
    <m/>
    <m/>
    <x v="1"/>
    <n v="9959"/>
    <m/>
    <n v="2277506"/>
    <n v="13"/>
    <m/>
  </r>
  <r>
    <s v="tubo 3"/>
    <x v="12"/>
    <n v="1"/>
    <s v="Mts"/>
    <x v="2"/>
    <m/>
    <m/>
    <m/>
    <x v="1"/>
    <n v="9959"/>
    <m/>
    <n v="2277506"/>
    <n v="15"/>
    <m/>
  </r>
  <r>
    <s v="super23"/>
    <x v="45"/>
    <n v="1"/>
    <s v="Und"/>
    <x v="2"/>
    <m/>
    <m/>
    <m/>
    <x v="1"/>
    <n v="9959"/>
    <m/>
    <n v="2277590"/>
    <n v="1"/>
    <m/>
  </r>
  <r>
    <s v="bandit"/>
    <x v="4"/>
    <n v="3"/>
    <s v="Mts"/>
    <x v="2"/>
    <m/>
    <m/>
    <m/>
    <x v="1"/>
    <n v="9959"/>
    <m/>
    <n v="2277590"/>
    <n v="1"/>
    <m/>
  </r>
  <r>
    <s v="bandit"/>
    <x v="4"/>
    <n v="3"/>
    <s v="Mts"/>
    <x v="2"/>
    <m/>
    <m/>
    <m/>
    <x v="1"/>
    <n v="9959"/>
    <m/>
    <n v="1948296"/>
    <n v="7"/>
    <m/>
  </r>
  <r>
    <s v="bandit"/>
    <x v="4"/>
    <n v="4"/>
    <s v="Mts"/>
    <x v="2"/>
    <m/>
    <m/>
    <m/>
    <x v="1"/>
    <n v="9959"/>
    <m/>
    <n v="2277506"/>
    <n v="13"/>
    <m/>
  </r>
  <r>
    <s v="conec1"/>
    <x v="6"/>
    <n v="8"/>
    <s v="Und"/>
    <x v="2"/>
    <m/>
    <m/>
    <m/>
    <x v="1"/>
    <n v="9959"/>
    <m/>
    <m/>
    <m/>
    <m/>
  </r>
  <r>
    <s v="conec1"/>
    <x v="6"/>
    <n v="6"/>
    <s v="Und"/>
    <x v="2"/>
    <m/>
    <m/>
    <m/>
    <x v="1"/>
    <n v="9959"/>
    <m/>
    <m/>
    <m/>
    <m/>
  </r>
  <r>
    <s v="conec1"/>
    <x v="6"/>
    <n v="2"/>
    <s v="Und"/>
    <x v="2"/>
    <m/>
    <m/>
    <m/>
    <x v="1"/>
    <n v="9959"/>
    <m/>
    <m/>
    <m/>
    <m/>
  </r>
  <r>
    <s v="conec1"/>
    <x v="6"/>
    <n v="2"/>
    <s v="Und"/>
    <x v="2"/>
    <m/>
    <m/>
    <m/>
    <x v="1"/>
    <n v="9959"/>
    <m/>
    <m/>
    <m/>
    <m/>
  </r>
  <r>
    <s v="conec1"/>
    <x v="6"/>
    <n v="3"/>
    <s v="Und"/>
    <x v="2"/>
    <m/>
    <m/>
    <m/>
    <x v="1"/>
    <n v="9959"/>
    <m/>
    <m/>
    <m/>
    <m/>
  </r>
  <r>
    <s v="conec3"/>
    <x v="29"/>
    <n v="1"/>
    <s v="Und"/>
    <x v="2"/>
    <m/>
    <m/>
    <m/>
    <x v="1"/>
    <n v="9959"/>
    <m/>
    <n v="2277590"/>
    <n v="1"/>
    <m/>
  </r>
  <r>
    <s v="conec2"/>
    <x v="7"/>
    <n v="4"/>
    <s v="Und"/>
    <x v="2"/>
    <m/>
    <m/>
    <m/>
    <x v="1"/>
    <n v="9959"/>
    <m/>
    <m/>
    <n v="2"/>
    <m/>
  </r>
  <r>
    <s v="conec2"/>
    <x v="7"/>
    <n v="4"/>
    <s v="Und"/>
    <x v="2"/>
    <m/>
    <m/>
    <m/>
    <x v="1"/>
    <n v="9959"/>
    <m/>
    <m/>
    <n v="8"/>
    <m/>
  </r>
  <r>
    <s v="conec2"/>
    <x v="7"/>
    <n v="3"/>
    <s v="Und"/>
    <x v="2"/>
    <m/>
    <m/>
    <m/>
    <x v="1"/>
    <n v="9959"/>
    <m/>
    <m/>
    <n v="9"/>
    <m/>
  </r>
  <r>
    <s v="conec2"/>
    <x v="7"/>
    <n v="3"/>
    <s v="Und"/>
    <x v="2"/>
    <m/>
    <m/>
    <m/>
    <x v="1"/>
    <n v="9959"/>
    <m/>
    <m/>
    <n v="11"/>
    <m/>
  </r>
  <r>
    <s v="conec2"/>
    <x v="7"/>
    <n v="4"/>
    <s v="Und"/>
    <x v="2"/>
    <m/>
    <m/>
    <m/>
    <x v="1"/>
    <n v="9959"/>
    <m/>
    <m/>
    <n v="14"/>
    <m/>
  </r>
  <r>
    <s v="cruceta"/>
    <x v="32"/>
    <n v="2"/>
    <s v="Und"/>
    <x v="2"/>
    <m/>
    <m/>
    <m/>
    <x v="1"/>
    <n v="9959"/>
    <m/>
    <m/>
    <n v="2"/>
    <m/>
  </r>
  <r>
    <s v="cruceta"/>
    <x v="32"/>
    <n v="2"/>
    <s v="Und"/>
    <x v="2"/>
    <m/>
    <m/>
    <m/>
    <x v="1"/>
    <n v="9959"/>
    <m/>
    <m/>
    <n v="8"/>
    <m/>
  </r>
  <r>
    <s v="cruceta"/>
    <x v="32"/>
    <n v="2"/>
    <s v="Und"/>
    <x v="2"/>
    <m/>
    <m/>
    <m/>
    <x v="1"/>
    <n v="9959"/>
    <m/>
    <m/>
    <n v="10"/>
    <m/>
  </r>
  <r>
    <s v="cruceta"/>
    <x v="32"/>
    <n v="2"/>
    <s v="Und"/>
    <x v="2"/>
    <m/>
    <m/>
    <m/>
    <x v="1"/>
    <n v="9959"/>
    <m/>
    <m/>
    <n v="14"/>
    <m/>
  </r>
  <r>
    <s v="gel1"/>
    <x v="8"/>
    <n v="4"/>
    <s v="Und"/>
    <x v="2"/>
    <m/>
    <m/>
    <m/>
    <x v="1"/>
    <n v="9959"/>
    <m/>
    <m/>
    <n v="1"/>
    <m/>
  </r>
  <r>
    <s v="gel1"/>
    <x v="8"/>
    <n v="2"/>
    <s v="Und"/>
    <x v="2"/>
    <m/>
    <m/>
    <m/>
    <x v="1"/>
    <n v="9959"/>
    <m/>
    <m/>
    <n v="14"/>
    <m/>
  </r>
  <r>
    <s v="Foto"/>
    <x v="15"/>
    <n v="1"/>
    <s v="Und"/>
    <x v="2"/>
    <m/>
    <m/>
    <m/>
    <x v="1"/>
    <n v="9959"/>
    <m/>
    <m/>
    <n v="1"/>
    <m/>
  </r>
  <r>
    <s v="Foto"/>
    <x v="15"/>
    <n v="1"/>
    <s v="Und"/>
    <x v="2"/>
    <m/>
    <m/>
    <m/>
    <x v="1"/>
    <n v="9959"/>
    <m/>
    <m/>
    <n v="2"/>
    <m/>
  </r>
  <r>
    <s v="Foto"/>
    <x v="15"/>
    <n v="1"/>
    <s v="Und"/>
    <x v="2"/>
    <m/>
    <m/>
    <m/>
    <x v="1"/>
    <n v="9959"/>
    <m/>
    <m/>
    <n v="3"/>
    <m/>
  </r>
  <r>
    <s v="Foto"/>
    <x v="15"/>
    <n v="1"/>
    <s v="Und"/>
    <x v="2"/>
    <m/>
    <m/>
    <m/>
    <x v="1"/>
    <n v="9959"/>
    <m/>
    <m/>
    <n v="4"/>
    <m/>
  </r>
  <r>
    <s v="Foto"/>
    <x v="15"/>
    <n v="1"/>
    <s v="Und"/>
    <x v="2"/>
    <m/>
    <m/>
    <m/>
    <x v="1"/>
    <n v="9959"/>
    <m/>
    <m/>
    <n v="5"/>
    <m/>
  </r>
  <r>
    <s v="Foto"/>
    <x v="15"/>
    <n v="1"/>
    <s v="Und"/>
    <x v="2"/>
    <m/>
    <m/>
    <m/>
    <x v="1"/>
    <n v="9959"/>
    <m/>
    <m/>
    <n v="6"/>
    <m/>
  </r>
  <r>
    <s v="Foto"/>
    <x v="15"/>
    <n v="1"/>
    <s v="Und"/>
    <x v="2"/>
    <m/>
    <m/>
    <m/>
    <x v="1"/>
    <n v="9959"/>
    <m/>
    <m/>
    <n v="7"/>
    <m/>
  </r>
  <r>
    <s v="Foto"/>
    <x v="15"/>
    <n v="1"/>
    <s v="Und"/>
    <x v="2"/>
    <m/>
    <m/>
    <m/>
    <x v="1"/>
    <n v="9959"/>
    <m/>
    <m/>
    <n v="8"/>
    <m/>
  </r>
  <r>
    <s v="Foto"/>
    <x v="15"/>
    <n v="1"/>
    <s v="Und"/>
    <x v="2"/>
    <m/>
    <m/>
    <m/>
    <x v="1"/>
    <n v="9959"/>
    <m/>
    <m/>
    <n v="9"/>
    <m/>
  </r>
  <r>
    <s v="Foto"/>
    <x v="15"/>
    <n v="1"/>
    <s v="Und"/>
    <x v="2"/>
    <m/>
    <m/>
    <m/>
    <x v="1"/>
    <n v="9959"/>
    <m/>
    <m/>
    <n v="10"/>
    <m/>
  </r>
  <r>
    <s v="Foto"/>
    <x v="15"/>
    <n v="1"/>
    <s v="Und"/>
    <x v="2"/>
    <m/>
    <m/>
    <m/>
    <x v="1"/>
    <n v="9959"/>
    <m/>
    <m/>
    <n v="11"/>
    <m/>
  </r>
  <r>
    <s v="Foto"/>
    <x v="15"/>
    <n v="1"/>
    <s v="Und"/>
    <x v="2"/>
    <m/>
    <m/>
    <m/>
    <x v="1"/>
    <n v="9959"/>
    <m/>
    <m/>
    <n v="12"/>
    <m/>
  </r>
  <r>
    <s v="Foto"/>
    <x v="15"/>
    <n v="1"/>
    <s v="Und"/>
    <x v="2"/>
    <m/>
    <m/>
    <m/>
    <x v="1"/>
    <n v="9959"/>
    <m/>
    <m/>
    <n v="13"/>
    <m/>
  </r>
  <r>
    <s v="Foto"/>
    <x v="15"/>
    <n v="1"/>
    <s v="Und"/>
    <x v="2"/>
    <m/>
    <m/>
    <m/>
    <x v="1"/>
    <n v="9959"/>
    <m/>
    <m/>
    <n v="14"/>
    <m/>
  </r>
  <r>
    <s v="Foto"/>
    <x v="15"/>
    <n v="1"/>
    <s v="Und"/>
    <x v="2"/>
    <m/>
    <m/>
    <m/>
    <x v="1"/>
    <n v="9959"/>
    <m/>
    <m/>
    <n v="15"/>
    <m/>
  </r>
  <r>
    <s v="Foto"/>
    <x v="15"/>
    <n v="1"/>
    <s v="Und"/>
    <x v="2"/>
    <m/>
    <m/>
    <m/>
    <x v="1"/>
    <n v="9959"/>
    <m/>
    <m/>
    <n v="16"/>
    <m/>
  </r>
  <r>
    <s v="Foto"/>
    <x v="15"/>
    <n v="1"/>
    <s v="Und"/>
    <x v="2"/>
    <m/>
    <m/>
    <m/>
    <x v="1"/>
    <n v="9959"/>
    <m/>
    <m/>
    <n v="17"/>
    <m/>
  </r>
  <r>
    <s v="Foto"/>
    <x v="15"/>
    <n v="1"/>
    <s v="Und"/>
    <x v="2"/>
    <m/>
    <m/>
    <m/>
    <x v="1"/>
    <n v="9959"/>
    <m/>
    <m/>
    <n v="18"/>
    <m/>
  </r>
  <r>
    <s v="grillete"/>
    <x v="24"/>
    <n v="2"/>
    <s v="Und"/>
    <x v="2"/>
    <m/>
    <m/>
    <m/>
    <x v="1"/>
    <n v="9959"/>
    <m/>
    <m/>
    <n v="1"/>
    <m/>
  </r>
  <r>
    <s v="grillete"/>
    <x v="24"/>
    <n v="2"/>
    <s v="Und"/>
    <x v="2"/>
    <m/>
    <m/>
    <m/>
    <x v="1"/>
    <n v="9959"/>
    <m/>
    <m/>
    <n v="7"/>
    <m/>
  </r>
  <r>
    <s v="grillete"/>
    <x v="24"/>
    <n v="2"/>
    <s v="Und"/>
    <x v="2"/>
    <m/>
    <m/>
    <m/>
    <x v="1"/>
    <n v="9959"/>
    <m/>
    <m/>
    <n v="13"/>
    <m/>
  </r>
  <r>
    <s v="hebilla"/>
    <x v="5"/>
    <n v="3"/>
    <s v="Und"/>
    <x v="2"/>
    <m/>
    <m/>
    <m/>
    <x v="1"/>
    <n v="9959"/>
    <m/>
    <m/>
    <n v="1"/>
    <m/>
  </r>
  <r>
    <s v="hebilla"/>
    <x v="5"/>
    <n v="3"/>
    <s v="Und"/>
    <x v="2"/>
    <m/>
    <m/>
    <m/>
    <x v="1"/>
    <n v="9959"/>
    <m/>
    <m/>
    <n v="7"/>
    <m/>
  </r>
  <r>
    <s v="hebilla"/>
    <x v="5"/>
    <n v="3"/>
    <s v="Und"/>
    <x v="2"/>
    <m/>
    <m/>
    <m/>
    <x v="1"/>
    <n v="9959"/>
    <m/>
    <m/>
    <n v="11"/>
    <m/>
  </r>
  <r>
    <s v="hebilla"/>
    <x v="5"/>
    <n v="4"/>
    <s v="Und"/>
    <x v="2"/>
    <m/>
    <m/>
    <m/>
    <x v="1"/>
    <n v="9959"/>
    <m/>
    <m/>
    <n v="13"/>
    <m/>
  </r>
  <r>
    <s v="hebilla"/>
    <x v="5"/>
    <n v="3"/>
    <s v="Und"/>
    <x v="2"/>
    <m/>
    <m/>
    <m/>
    <x v="1"/>
    <n v="9959"/>
    <m/>
    <m/>
    <n v="15"/>
    <m/>
  </r>
  <r>
    <s v="bandit"/>
    <x v="4"/>
    <n v="3"/>
    <s v="Mts"/>
    <x v="2"/>
    <m/>
    <m/>
    <m/>
    <x v="1"/>
    <n v="9959"/>
    <m/>
    <n v="2277506"/>
    <n v="15"/>
    <m/>
  </r>
  <r>
    <s v="lum-110"/>
    <x v="20"/>
    <n v="1"/>
    <s v="Und"/>
    <x v="2"/>
    <m/>
    <s v="CURRENT"/>
    <s v="6G00209"/>
    <x v="1"/>
    <n v="9959"/>
    <m/>
    <m/>
    <n v="1"/>
    <m/>
  </r>
  <r>
    <s v="lum-110"/>
    <x v="20"/>
    <n v="1"/>
    <s v="Und"/>
    <x v="2"/>
    <m/>
    <s v="CURRENT"/>
    <s v="6G00142"/>
    <x v="1"/>
    <n v="9959"/>
    <m/>
    <m/>
    <n v="7"/>
    <m/>
  </r>
  <r>
    <s v="lum-110"/>
    <x v="20"/>
    <n v="1"/>
    <s v="Und"/>
    <x v="2"/>
    <m/>
    <s v="CURRENT"/>
    <s v="6G00211"/>
    <x v="1"/>
    <n v="9959"/>
    <m/>
    <m/>
    <n v="13"/>
    <m/>
  </r>
  <r>
    <s v="pro-190"/>
    <x v="19"/>
    <n v="1"/>
    <s v="Und"/>
    <x v="0"/>
    <d v="2026-07-18T00:00:00"/>
    <s v="CURRENT"/>
    <s v="6PD0270"/>
    <x v="2"/>
    <n v="9972"/>
    <m/>
    <m/>
    <m/>
    <m/>
  </r>
  <r>
    <s v="pro-190"/>
    <x v="19"/>
    <n v="1"/>
    <s v="Und"/>
    <x v="2"/>
    <m/>
    <s v="CURRENT"/>
    <s v="6PD0270"/>
    <x v="2"/>
    <n v="9972"/>
    <m/>
    <n v="1901974"/>
    <n v="14"/>
    <m/>
  </r>
  <r>
    <s v="pro-190"/>
    <x v="19"/>
    <n v="1"/>
    <s v="Und"/>
    <x v="0"/>
    <d v="2026-07-18T00:00:00"/>
    <s v="CURRENT"/>
    <s v="6PD0273"/>
    <x v="2"/>
    <n v="9968"/>
    <m/>
    <m/>
    <m/>
    <m/>
  </r>
  <r>
    <s v="pro-190"/>
    <x v="19"/>
    <n v="1"/>
    <s v="Und"/>
    <x v="0"/>
    <d v="2026-07-18T00:00:00"/>
    <s v="CURRENT"/>
    <s v="6PD0276"/>
    <x v="2"/>
    <n v="9972"/>
    <m/>
    <m/>
    <m/>
    <m/>
  </r>
  <r>
    <s v="pro-190"/>
    <x v="19"/>
    <n v="1"/>
    <s v="Und"/>
    <x v="2"/>
    <m/>
    <s v="CURRENT"/>
    <s v="6PD0276"/>
    <x v="2"/>
    <n v="9972"/>
    <m/>
    <n v="2304333"/>
    <n v="11"/>
    <m/>
  </r>
  <r>
    <s v="pro-190"/>
    <x v="19"/>
    <n v="1"/>
    <s v="Und"/>
    <x v="0"/>
    <d v="2026-07-18T00:00:00"/>
    <s v="CURRENT"/>
    <s v="6PD0277"/>
    <x v="2"/>
    <n v="9972"/>
    <m/>
    <m/>
    <m/>
    <m/>
  </r>
  <r>
    <s v="pro-190"/>
    <x v="19"/>
    <n v="1"/>
    <s v="Und"/>
    <x v="2"/>
    <m/>
    <s v="CURRENT"/>
    <s v="6PD0277"/>
    <x v="2"/>
    <n v="9972"/>
    <m/>
    <n v="1901974"/>
    <n v="13"/>
    <m/>
  </r>
  <r>
    <s v="pro-190"/>
    <x v="19"/>
    <n v="1"/>
    <s v="Und"/>
    <x v="0"/>
    <d v="2026-07-18T00:00:00"/>
    <s v="CURRENT"/>
    <s v="6PD0278"/>
    <x v="2"/>
    <n v="9974"/>
    <m/>
    <m/>
    <m/>
    <m/>
  </r>
  <r>
    <s v="pro-190"/>
    <x v="19"/>
    <n v="1"/>
    <s v="Und"/>
    <x v="2"/>
    <m/>
    <s v="CURRENT"/>
    <s v="6PD0278"/>
    <x v="2"/>
    <n v="9974"/>
    <m/>
    <n v="1865331"/>
    <n v="9"/>
    <m/>
  </r>
  <r>
    <s v="pro-190"/>
    <x v="19"/>
    <n v="1"/>
    <s v="Und"/>
    <x v="0"/>
    <d v="2026-07-18T00:00:00"/>
    <s v="CURRENT"/>
    <s v="6PD0309"/>
    <x v="2"/>
    <n v="9973"/>
    <m/>
    <m/>
    <m/>
    <m/>
  </r>
  <r>
    <s v="pro-190"/>
    <x v="19"/>
    <n v="1"/>
    <s v="Und"/>
    <x v="2"/>
    <m/>
    <s v="CURRENT"/>
    <s v="6PD0309"/>
    <x v="2"/>
    <n v="9973"/>
    <m/>
    <n v="1865315"/>
    <n v="17"/>
    <m/>
  </r>
  <r>
    <s v="pro-190"/>
    <x v="19"/>
    <n v="1"/>
    <s v="Und"/>
    <x v="0"/>
    <d v="2026-07-18T00:00:00"/>
    <s v="CURRENT"/>
    <s v="6PD0310"/>
    <x v="2"/>
    <n v="9974"/>
    <m/>
    <m/>
    <m/>
    <m/>
  </r>
  <r>
    <s v="tapa2"/>
    <x v="14"/>
    <n v="1"/>
    <s v="Und"/>
    <x v="2"/>
    <m/>
    <m/>
    <m/>
    <x v="1"/>
    <n v="9959"/>
    <m/>
    <m/>
    <n v="1"/>
    <m/>
  </r>
  <r>
    <s v="tapa2"/>
    <x v="14"/>
    <n v="1"/>
    <s v="Und"/>
    <x v="2"/>
    <m/>
    <m/>
    <m/>
    <x v="1"/>
    <n v="9959"/>
    <m/>
    <m/>
    <n v="9"/>
    <m/>
  </r>
  <r>
    <s v="tapa2"/>
    <x v="14"/>
    <n v="1"/>
    <s v="Und"/>
    <x v="2"/>
    <m/>
    <m/>
    <m/>
    <x v="1"/>
    <n v="9959"/>
    <m/>
    <m/>
    <n v="14"/>
    <m/>
  </r>
  <r>
    <s v="tubo 3"/>
    <x v="12"/>
    <n v="0.5"/>
    <s v="Mts"/>
    <x v="2"/>
    <m/>
    <m/>
    <m/>
    <x v="1"/>
    <n v="9959"/>
    <m/>
    <m/>
    <n v="1"/>
    <m/>
  </r>
  <r>
    <s v="tubo 3"/>
    <x v="12"/>
    <n v="0.3"/>
    <s v="Mts"/>
    <x v="2"/>
    <m/>
    <m/>
    <m/>
    <x v="1"/>
    <n v="9959"/>
    <m/>
    <m/>
    <n v="7"/>
    <m/>
  </r>
  <r>
    <s v="tubo 3"/>
    <x v="12"/>
    <n v="0.6"/>
    <s v="Mts"/>
    <x v="2"/>
    <m/>
    <m/>
    <m/>
    <x v="1"/>
    <n v="9959"/>
    <m/>
    <m/>
    <n v="13"/>
    <m/>
  </r>
  <r>
    <s v="tubo 1"/>
    <x v="52"/>
    <n v="2"/>
    <s v="Und"/>
    <x v="2"/>
    <m/>
    <m/>
    <m/>
    <x v="1"/>
    <n v="9959"/>
    <m/>
    <m/>
    <n v="1"/>
    <m/>
  </r>
  <r>
    <s v="tubo 1"/>
    <x v="52"/>
    <n v="2"/>
    <s v="Und"/>
    <x v="2"/>
    <m/>
    <m/>
    <m/>
    <x v="1"/>
    <n v="9959"/>
    <m/>
    <m/>
    <n v="13"/>
    <m/>
  </r>
  <r>
    <s v="tubo 2"/>
    <x v="51"/>
    <n v="17"/>
    <s v="Und"/>
    <x v="2"/>
    <m/>
    <m/>
    <m/>
    <x v="1"/>
    <n v="9959"/>
    <m/>
    <m/>
    <n v="1"/>
    <m/>
  </r>
  <r>
    <s v="tubo 2"/>
    <x v="51"/>
    <n v="17"/>
    <s v="Und"/>
    <x v="2"/>
    <m/>
    <m/>
    <m/>
    <x v="1"/>
    <n v="9959"/>
    <m/>
    <m/>
    <n v="13"/>
    <m/>
  </r>
  <r>
    <s v="cooper"/>
    <x v="28"/>
    <n v="1"/>
    <s v="Und"/>
    <x v="2"/>
    <m/>
    <m/>
    <m/>
    <x v="1"/>
    <n v="9959"/>
    <m/>
    <m/>
    <n v="1"/>
    <m/>
  </r>
  <r>
    <s v="cooper"/>
    <x v="28"/>
    <n v="1"/>
    <s v="Und"/>
    <x v="2"/>
    <m/>
    <m/>
    <m/>
    <x v="1"/>
    <n v="9959"/>
    <m/>
    <m/>
    <n v="9"/>
    <m/>
  </r>
  <r>
    <s v="cooper"/>
    <x v="28"/>
    <n v="1"/>
    <s v="Und"/>
    <x v="2"/>
    <m/>
    <m/>
    <m/>
    <x v="1"/>
    <n v="9959"/>
    <m/>
    <m/>
    <n v="13"/>
    <m/>
  </r>
  <r>
    <s v="cooper"/>
    <x v="28"/>
    <n v="1"/>
    <s v="Und"/>
    <x v="2"/>
    <m/>
    <m/>
    <m/>
    <x v="1"/>
    <n v="9959"/>
    <m/>
    <m/>
    <n v="14"/>
    <m/>
  </r>
  <r>
    <s v="ciega1"/>
    <x v="44"/>
    <n v="2"/>
    <s v="Und"/>
    <x v="2"/>
    <m/>
    <m/>
    <m/>
    <x v="1"/>
    <n v="9960"/>
    <m/>
    <m/>
    <n v="1"/>
    <m/>
  </r>
  <r>
    <s v="ciega2"/>
    <x v="46"/>
    <n v="2"/>
    <s v="Und"/>
    <x v="2"/>
    <m/>
    <m/>
    <m/>
    <x v="1"/>
    <n v="9960"/>
    <m/>
    <m/>
    <n v="3"/>
    <m/>
  </r>
  <r>
    <s v="ciega2"/>
    <x v="46"/>
    <n v="2"/>
    <s v="Und"/>
    <x v="2"/>
    <m/>
    <m/>
    <m/>
    <x v="1"/>
    <n v="9960"/>
    <m/>
    <m/>
    <n v="5"/>
    <m/>
  </r>
  <r>
    <s v="ciega2"/>
    <x v="46"/>
    <n v="2"/>
    <s v="Und"/>
    <x v="2"/>
    <m/>
    <m/>
    <m/>
    <x v="1"/>
    <n v="9960"/>
    <m/>
    <m/>
    <n v="7"/>
    <m/>
  </r>
  <r>
    <s v="ciega2"/>
    <x v="46"/>
    <n v="2"/>
    <s v="Und"/>
    <x v="2"/>
    <m/>
    <m/>
    <m/>
    <x v="1"/>
    <n v="9960"/>
    <m/>
    <m/>
    <n v="9"/>
    <m/>
  </r>
  <r>
    <s v="ciega2"/>
    <x v="46"/>
    <n v="2"/>
    <s v="Und"/>
    <x v="2"/>
    <m/>
    <m/>
    <m/>
    <x v="1"/>
    <n v="9960"/>
    <m/>
    <m/>
    <n v="11"/>
    <m/>
  </r>
  <r>
    <s v="ciega2"/>
    <x v="46"/>
    <n v="2"/>
    <s v="Und"/>
    <x v="2"/>
    <m/>
    <m/>
    <m/>
    <x v="1"/>
    <n v="9960"/>
    <m/>
    <m/>
    <n v="13"/>
    <m/>
  </r>
  <r>
    <s v="ciega2"/>
    <x v="46"/>
    <n v="2"/>
    <s v="Und"/>
    <x v="2"/>
    <m/>
    <m/>
    <m/>
    <x v="1"/>
    <n v="9960"/>
    <m/>
    <m/>
    <n v="15"/>
    <m/>
  </r>
  <r>
    <s v="Aislador1"/>
    <x v="1"/>
    <n v="1"/>
    <s v="Und"/>
    <x v="2"/>
    <m/>
    <m/>
    <m/>
    <x v="1"/>
    <n v="9960"/>
    <m/>
    <m/>
    <n v="5"/>
    <m/>
  </r>
  <r>
    <s v="alambre 14"/>
    <x v="40"/>
    <n v="16"/>
    <s v="Mts"/>
    <x v="2"/>
    <m/>
    <m/>
    <m/>
    <x v="1"/>
    <n v="9960"/>
    <m/>
    <m/>
    <n v="9"/>
    <m/>
  </r>
  <r>
    <s v="alambre 14"/>
    <x v="40"/>
    <n v="1"/>
    <s v="Mts"/>
    <x v="2"/>
    <m/>
    <m/>
    <m/>
    <x v="1"/>
    <n v="9960"/>
    <m/>
    <m/>
    <n v="10"/>
    <m/>
  </r>
  <r>
    <s v="alambre 14"/>
    <x v="40"/>
    <n v="14"/>
    <s v="Mts"/>
    <x v="2"/>
    <m/>
    <m/>
    <m/>
    <x v="1"/>
    <n v="9960"/>
    <m/>
    <m/>
    <n v="13"/>
    <m/>
  </r>
  <r>
    <s v="#4"/>
    <x v="41"/>
    <n v="38"/>
    <s v="Mts"/>
    <x v="2"/>
    <m/>
    <m/>
    <m/>
    <x v="1"/>
    <n v="9960"/>
    <m/>
    <m/>
    <n v="8"/>
    <m/>
  </r>
  <r>
    <s v="#4"/>
    <x v="41"/>
    <n v="32"/>
    <s v="Mts"/>
    <x v="2"/>
    <m/>
    <m/>
    <m/>
    <x v="1"/>
    <n v="9960"/>
    <m/>
    <m/>
    <n v="9"/>
    <m/>
  </r>
  <r>
    <s v="#4"/>
    <x v="41"/>
    <n v="54"/>
    <s v="Mts"/>
    <x v="2"/>
    <m/>
    <m/>
    <m/>
    <x v="1"/>
    <n v="9960"/>
    <m/>
    <m/>
    <n v="14"/>
    <m/>
  </r>
  <r>
    <s v="3*14"/>
    <x v="3"/>
    <n v="10"/>
    <s v="Mts"/>
    <x v="2"/>
    <m/>
    <m/>
    <m/>
    <x v="1"/>
    <n v="9960"/>
    <m/>
    <m/>
    <n v="11"/>
    <m/>
  </r>
  <r>
    <s v="3*14"/>
    <x v="3"/>
    <n v="10"/>
    <s v="Mts"/>
    <x v="2"/>
    <m/>
    <m/>
    <m/>
    <x v="1"/>
    <n v="9960"/>
    <m/>
    <m/>
    <n v="13"/>
    <m/>
  </r>
  <r>
    <s v="3*14"/>
    <x v="3"/>
    <n v="10"/>
    <s v="Mts"/>
    <x v="2"/>
    <m/>
    <m/>
    <m/>
    <x v="1"/>
    <n v="9960"/>
    <m/>
    <m/>
    <n v="15"/>
    <m/>
  </r>
  <r>
    <s v="capacete"/>
    <x v="38"/>
    <n v="1"/>
    <s v="Und"/>
    <x v="2"/>
    <m/>
    <m/>
    <m/>
    <x v="1"/>
    <n v="9960"/>
    <m/>
    <m/>
    <n v="7"/>
    <m/>
  </r>
  <r>
    <s v="capacete"/>
    <x v="38"/>
    <n v="1"/>
    <s v="Und"/>
    <x v="2"/>
    <m/>
    <m/>
    <m/>
    <x v="1"/>
    <n v="9960"/>
    <m/>
    <m/>
    <n v="13"/>
    <m/>
  </r>
  <r>
    <s v="capacete"/>
    <x v="38"/>
    <n v="1"/>
    <s v="Und"/>
    <x v="2"/>
    <m/>
    <m/>
    <m/>
    <x v="1"/>
    <n v="9960"/>
    <m/>
    <m/>
    <n v="15"/>
    <m/>
  </r>
  <r>
    <s v="bandit"/>
    <x v="4"/>
    <n v="3"/>
    <s v="Und"/>
    <x v="2"/>
    <m/>
    <m/>
    <m/>
    <x v="1"/>
    <n v="9960"/>
    <m/>
    <m/>
    <n v="7"/>
    <m/>
  </r>
  <r>
    <s v="bandit"/>
    <x v="4"/>
    <n v="3"/>
    <s v="Und"/>
    <x v="2"/>
    <m/>
    <m/>
    <m/>
    <x v="1"/>
    <n v="9960"/>
    <m/>
    <m/>
    <n v="9"/>
    <m/>
  </r>
  <r>
    <s v="bandit"/>
    <x v="4"/>
    <n v="4"/>
    <s v="Und"/>
    <x v="2"/>
    <m/>
    <m/>
    <m/>
    <x v="1"/>
    <n v="9960"/>
    <m/>
    <m/>
    <n v="11"/>
    <m/>
  </r>
  <r>
    <s v="bandit"/>
    <x v="4"/>
    <n v="4"/>
    <s v="Und"/>
    <x v="2"/>
    <m/>
    <m/>
    <m/>
    <x v="1"/>
    <n v="9960"/>
    <m/>
    <m/>
    <n v="13"/>
    <m/>
  </r>
  <r>
    <s v="bandit"/>
    <x v="4"/>
    <n v="4"/>
    <s v="Und"/>
    <x v="2"/>
    <m/>
    <m/>
    <m/>
    <x v="1"/>
    <n v="9960"/>
    <m/>
    <m/>
    <n v="15"/>
    <m/>
  </r>
  <r>
    <s v="conec1"/>
    <x v="6"/>
    <n v="3"/>
    <s v="Und"/>
    <x v="2"/>
    <m/>
    <m/>
    <m/>
    <x v="1"/>
    <n v="9960"/>
    <m/>
    <m/>
    <n v="3"/>
    <m/>
  </r>
  <r>
    <s v="conec1"/>
    <x v="6"/>
    <n v="8"/>
    <s v="Und"/>
    <x v="2"/>
    <m/>
    <m/>
    <m/>
    <x v="1"/>
    <n v="9960"/>
    <m/>
    <m/>
    <n v="7"/>
    <m/>
  </r>
  <r>
    <s v="conec1"/>
    <x v="6"/>
    <n v="6"/>
    <s v="Und"/>
    <x v="2"/>
    <m/>
    <m/>
    <m/>
    <x v="1"/>
    <n v="9960"/>
    <m/>
    <m/>
    <n v="10"/>
    <m/>
  </r>
  <r>
    <s v="conec1"/>
    <x v="6"/>
    <n v="2"/>
    <s v="Und"/>
    <x v="2"/>
    <m/>
    <m/>
    <m/>
    <x v="1"/>
    <n v="9960"/>
    <m/>
    <m/>
    <n v="11"/>
    <m/>
  </r>
  <r>
    <s v="conec1"/>
    <x v="6"/>
    <n v="2"/>
    <s v="Und"/>
    <x v="2"/>
    <m/>
    <m/>
    <m/>
    <x v="1"/>
    <n v="9960"/>
    <m/>
    <m/>
    <n v="13"/>
    <m/>
  </r>
  <r>
    <s v="conec1"/>
    <x v="6"/>
    <n v="3"/>
    <s v="Und"/>
    <x v="2"/>
    <m/>
    <m/>
    <m/>
    <x v="1"/>
    <n v="9960"/>
    <m/>
    <m/>
    <n v="15"/>
    <m/>
  </r>
  <r>
    <s v="conec3"/>
    <x v="29"/>
    <n v="1"/>
    <s v="Und"/>
    <x v="2"/>
    <m/>
    <m/>
    <m/>
    <x v="1"/>
    <n v="9960"/>
    <m/>
    <m/>
    <n v="7"/>
    <m/>
  </r>
  <r>
    <s v="conec3"/>
    <x v="29"/>
    <n v="1"/>
    <s v="Und"/>
    <x v="2"/>
    <m/>
    <m/>
    <m/>
    <x v="1"/>
    <n v="9960"/>
    <m/>
    <m/>
    <n v="11"/>
    <m/>
  </r>
  <r>
    <s v="conec3"/>
    <x v="29"/>
    <n v="1"/>
    <s v="Und"/>
    <x v="2"/>
    <m/>
    <m/>
    <m/>
    <x v="1"/>
    <n v="9960"/>
    <m/>
    <m/>
    <n v="13"/>
    <m/>
  </r>
  <r>
    <s v="conec2"/>
    <x v="7"/>
    <n v="3"/>
    <s v="Und"/>
    <x v="2"/>
    <m/>
    <m/>
    <m/>
    <x v="1"/>
    <n v="9960"/>
    <m/>
    <m/>
    <n v="9"/>
    <m/>
  </r>
  <r>
    <s v="conec2"/>
    <x v="7"/>
    <n v="3"/>
    <s v="Und"/>
    <x v="2"/>
    <m/>
    <m/>
    <m/>
    <x v="1"/>
    <n v="9960"/>
    <m/>
    <m/>
    <n v="11"/>
    <m/>
  </r>
  <r>
    <s v="conec2"/>
    <x v="7"/>
    <n v="3"/>
    <s v="Und"/>
    <x v="2"/>
    <m/>
    <m/>
    <m/>
    <x v="1"/>
    <n v="9960"/>
    <m/>
    <m/>
    <n v="13"/>
    <m/>
  </r>
  <r>
    <s v="cruceta"/>
    <x v="32"/>
    <n v="2"/>
    <s v="Und"/>
    <x v="2"/>
    <m/>
    <m/>
    <m/>
    <x v="1"/>
    <n v="9960"/>
    <m/>
    <m/>
    <n v="10"/>
    <m/>
  </r>
  <r>
    <s v="gel1"/>
    <x v="8"/>
    <n v="4"/>
    <s v="Und"/>
    <x v="2"/>
    <m/>
    <m/>
    <m/>
    <x v="1"/>
    <n v="9960"/>
    <m/>
    <m/>
    <n v="1"/>
    <m/>
  </r>
  <r>
    <s v="gel1"/>
    <x v="8"/>
    <n v="2"/>
    <s v="Und"/>
    <x v="2"/>
    <m/>
    <m/>
    <m/>
    <x v="1"/>
    <n v="9960"/>
    <m/>
    <m/>
    <n v="7"/>
    <m/>
  </r>
  <r>
    <s v="gel1"/>
    <x v="8"/>
    <n v="2"/>
    <s v="Und"/>
    <x v="2"/>
    <m/>
    <m/>
    <m/>
    <x v="1"/>
    <n v="9960"/>
    <m/>
    <m/>
    <n v="11"/>
    <m/>
  </r>
  <r>
    <s v="gel1"/>
    <x v="8"/>
    <n v="2"/>
    <s v="Und"/>
    <x v="2"/>
    <m/>
    <m/>
    <m/>
    <x v="1"/>
    <n v="9960"/>
    <m/>
    <m/>
    <n v="13"/>
    <m/>
  </r>
  <r>
    <s v="gel1"/>
    <x v="8"/>
    <n v="2"/>
    <s v="Und"/>
    <x v="2"/>
    <m/>
    <m/>
    <m/>
    <x v="1"/>
    <n v="9960"/>
    <m/>
    <m/>
    <n v="13"/>
    <m/>
  </r>
  <r>
    <s v="Foto"/>
    <x v="15"/>
    <n v="1"/>
    <s v="Und"/>
    <x v="2"/>
    <m/>
    <m/>
    <m/>
    <x v="1"/>
    <n v="9960"/>
    <m/>
    <m/>
    <n v="1"/>
    <m/>
  </r>
  <r>
    <s v="Foto"/>
    <x v="15"/>
    <n v="1"/>
    <s v="Und"/>
    <x v="2"/>
    <m/>
    <m/>
    <m/>
    <x v="1"/>
    <n v="9960"/>
    <m/>
    <m/>
    <n v="2"/>
    <m/>
  </r>
  <r>
    <s v="Foto"/>
    <x v="15"/>
    <n v="1"/>
    <s v="Und"/>
    <x v="2"/>
    <m/>
    <m/>
    <m/>
    <x v="1"/>
    <n v="9960"/>
    <m/>
    <m/>
    <n v="3"/>
    <m/>
  </r>
  <r>
    <s v="Foto"/>
    <x v="15"/>
    <n v="1"/>
    <s v="Und"/>
    <x v="2"/>
    <m/>
    <m/>
    <m/>
    <x v="1"/>
    <n v="9960"/>
    <m/>
    <m/>
    <n v="4"/>
    <m/>
  </r>
  <r>
    <s v="Foto"/>
    <x v="15"/>
    <n v="1"/>
    <s v="Und"/>
    <x v="2"/>
    <m/>
    <m/>
    <m/>
    <x v="1"/>
    <n v="9960"/>
    <m/>
    <m/>
    <n v="5"/>
    <m/>
  </r>
  <r>
    <s v="Foto"/>
    <x v="15"/>
    <n v="1"/>
    <s v="Und"/>
    <x v="2"/>
    <m/>
    <m/>
    <m/>
    <x v="1"/>
    <n v="9960"/>
    <m/>
    <m/>
    <n v="6"/>
    <m/>
  </r>
  <r>
    <s v="Foto"/>
    <x v="15"/>
    <n v="1"/>
    <s v="Und"/>
    <x v="2"/>
    <m/>
    <m/>
    <m/>
    <x v="1"/>
    <n v="9960"/>
    <m/>
    <m/>
    <n v="7"/>
    <m/>
  </r>
  <r>
    <s v="Foto"/>
    <x v="15"/>
    <n v="1"/>
    <s v="Und"/>
    <x v="2"/>
    <m/>
    <m/>
    <m/>
    <x v="1"/>
    <n v="9960"/>
    <m/>
    <m/>
    <n v="8"/>
    <m/>
  </r>
  <r>
    <s v="Foto"/>
    <x v="15"/>
    <n v="1"/>
    <s v="Und"/>
    <x v="2"/>
    <m/>
    <m/>
    <m/>
    <x v="1"/>
    <n v="9960"/>
    <m/>
    <m/>
    <n v="9"/>
    <m/>
  </r>
  <r>
    <s v="Foto"/>
    <x v="15"/>
    <n v="1"/>
    <s v="Und"/>
    <x v="2"/>
    <m/>
    <m/>
    <m/>
    <x v="1"/>
    <n v="9960"/>
    <m/>
    <m/>
    <n v="10"/>
    <m/>
  </r>
  <r>
    <s v="Foto"/>
    <x v="15"/>
    <n v="1"/>
    <s v="Und"/>
    <x v="2"/>
    <m/>
    <m/>
    <m/>
    <x v="1"/>
    <n v="9960"/>
    <m/>
    <m/>
    <n v="11"/>
    <m/>
  </r>
  <r>
    <s v="Foto"/>
    <x v="15"/>
    <n v="1"/>
    <s v="Und"/>
    <x v="2"/>
    <m/>
    <m/>
    <m/>
    <x v="1"/>
    <n v="9960"/>
    <m/>
    <m/>
    <n v="12"/>
    <m/>
  </r>
  <r>
    <s v="Foto"/>
    <x v="15"/>
    <n v="1"/>
    <s v="Und"/>
    <x v="2"/>
    <m/>
    <m/>
    <m/>
    <x v="1"/>
    <n v="9960"/>
    <m/>
    <m/>
    <n v="13"/>
    <m/>
  </r>
  <r>
    <s v="Foto"/>
    <x v="15"/>
    <n v="1"/>
    <s v="Und"/>
    <x v="2"/>
    <m/>
    <m/>
    <m/>
    <x v="1"/>
    <n v="9960"/>
    <m/>
    <m/>
    <n v="14"/>
    <m/>
  </r>
  <r>
    <s v="Foto"/>
    <x v="15"/>
    <n v="1"/>
    <s v="Und"/>
    <x v="2"/>
    <m/>
    <m/>
    <m/>
    <x v="1"/>
    <n v="9960"/>
    <m/>
    <m/>
    <n v="15"/>
    <m/>
  </r>
  <r>
    <s v="Foto"/>
    <x v="15"/>
    <n v="1"/>
    <s v="Und"/>
    <x v="2"/>
    <m/>
    <m/>
    <m/>
    <x v="1"/>
    <n v="9960"/>
    <m/>
    <m/>
    <n v="16"/>
    <m/>
  </r>
  <r>
    <s v="grillete"/>
    <x v="24"/>
    <n v="2"/>
    <s v="Und"/>
    <x v="2"/>
    <m/>
    <m/>
    <m/>
    <x v="1"/>
    <n v="9960"/>
    <m/>
    <m/>
    <n v="1"/>
    <m/>
  </r>
  <r>
    <s v="grillete"/>
    <x v="24"/>
    <n v="2"/>
    <s v="Und"/>
    <x v="2"/>
    <m/>
    <m/>
    <m/>
    <x v="1"/>
    <n v="9960"/>
    <m/>
    <m/>
    <n v="2"/>
    <m/>
  </r>
  <r>
    <s v="grillete"/>
    <x v="24"/>
    <n v="2"/>
    <s v="Und"/>
    <x v="2"/>
    <m/>
    <m/>
    <m/>
    <x v="1"/>
    <n v="9960"/>
    <m/>
    <m/>
    <n v="3"/>
    <m/>
  </r>
  <r>
    <s v="grillete"/>
    <x v="24"/>
    <n v="2"/>
    <s v="Und"/>
    <x v="2"/>
    <m/>
    <m/>
    <m/>
    <x v="1"/>
    <n v="9960"/>
    <m/>
    <m/>
    <n v="4"/>
    <m/>
  </r>
  <r>
    <s v="grillete"/>
    <x v="24"/>
    <n v="2"/>
    <s v="Und"/>
    <x v="2"/>
    <m/>
    <m/>
    <m/>
    <x v="1"/>
    <n v="9960"/>
    <m/>
    <m/>
    <n v="5"/>
    <m/>
  </r>
  <r>
    <s v="grillete"/>
    <x v="24"/>
    <n v="2"/>
    <s v="Und"/>
    <x v="2"/>
    <m/>
    <m/>
    <m/>
    <x v="1"/>
    <n v="9960"/>
    <m/>
    <m/>
    <n v="6"/>
    <m/>
  </r>
  <r>
    <s v="grillete"/>
    <x v="24"/>
    <n v="2"/>
    <s v="Und"/>
    <x v="2"/>
    <m/>
    <m/>
    <m/>
    <x v="1"/>
    <n v="9960"/>
    <m/>
    <m/>
    <n v="7"/>
    <m/>
  </r>
  <r>
    <s v="grillete"/>
    <x v="24"/>
    <n v="2"/>
    <s v="Und"/>
    <x v="2"/>
    <m/>
    <m/>
    <m/>
    <x v="1"/>
    <n v="9960"/>
    <m/>
    <m/>
    <n v="8"/>
    <m/>
  </r>
  <r>
    <s v="grillete"/>
    <x v="24"/>
    <n v="2"/>
    <s v="Und"/>
    <x v="2"/>
    <m/>
    <m/>
    <m/>
    <x v="1"/>
    <n v="9960"/>
    <m/>
    <m/>
    <n v="9"/>
    <m/>
  </r>
  <r>
    <s v="grillete"/>
    <x v="24"/>
    <n v="2"/>
    <s v="Und"/>
    <x v="2"/>
    <m/>
    <m/>
    <m/>
    <x v="1"/>
    <n v="9960"/>
    <m/>
    <m/>
    <n v="10"/>
    <m/>
  </r>
  <r>
    <s v="grillete"/>
    <x v="24"/>
    <n v="2"/>
    <s v="Und"/>
    <x v="2"/>
    <m/>
    <m/>
    <m/>
    <x v="1"/>
    <n v="9960"/>
    <m/>
    <m/>
    <n v="11"/>
    <m/>
  </r>
  <r>
    <s v="grillete"/>
    <x v="24"/>
    <n v="2"/>
    <s v="Und"/>
    <x v="2"/>
    <m/>
    <m/>
    <m/>
    <x v="1"/>
    <n v="9960"/>
    <m/>
    <m/>
    <n v="12"/>
    <m/>
  </r>
  <r>
    <s v="grillete"/>
    <x v="24"/>
    <n v="2"/>
    <s v="Und"/>
    <x v="2"/>
    <m/>
    <m/>
    <m/>
    <x v="1"/>
    <n v="9960"/>
    <m/>
    <m/>
    <n v="13"/>
    <m/>
  </r>
  <r>
    <s v="grillete"/>
    <x v="24"/>
    <n v="2"/>
    <s v="Und"/>
    <x v="2"/>
    <m/>
    <m/>
    <m/>
    <x v="1"/>
    <n v="9960"/>
    <m/>
    <m/>
    <n v="14"/>
    <m/>
  </r>
  <r>
    <s v="grillete"/>
    <x v="24"/>
    <n v="2"/>
    <s v="Und"/>
    <x v="2"/>
    <m/>
    <m/>
    <m/>
    <x v="1"/>
    <n v="9960"/>
    <m/>
    <m/>
    <n v="15"/>
    <m/>
  </r>
  <r>
    <s v="grillete"/>
    <x v="24"/>
    <n v="2"/>
    <s v="Und"/>
    <x v="2"/>
    <m/>
    <m/>
    <m/>
    <x v="1"/>
    <n v="9960"/>
    <m/>
    <m/>
    <n v="16"/>
    <m/>
  </r>
  <r>
    <s v="hebilla"/>
    <x v="5"/>
    <n v="3"/>
    <s v="Und"/>
    <x v="2"/>
    <m/>
    <m/>
    <m/>
    <x v="1"/>
    <n v="9960"/>
    <m/>
    <m/>
    <n v="7"/>
    <m/>
  </r>
  <r>
    <s v="hebilla"/>
    <x v="5"/>
    <n v="3"/>
    <s v="Und"/>
    <x v="2"/>
    <m/>
    <m/>
    <m/>
    <x v="1"/>
    <n v="9960"/>
    <m/>
    <m/>
    <n v="9"/>
    <m/>
  </r>
  <r>
    <s v="hebilla"/>
    <x v="5"/>
    <n v="3"/>
    <s v="Und"/>
    <x v="2"/>
    <m/>
    <m/>
    <m/>
    <x v="1"/>
    <n v="9960"/>
    <m/>
    <m/>
    <n v="11"/>
    <m/>
  </r>
  <r>
    <s v="hebilla"/>
    <x v="5"/>
    <n v="4"/>
    <s v="Und"/>
    <x v="2"/>
    <m/>
    <m/>
    <m/>
    <x v="1"/>
    <n v="9960"/>
    <m/>
    <m/>
    <n v="13"/>
    <m/>
  </r>
  <r>
    <s v="hebilla"/>
    <x v="5"/>
    <n v="3"/>
    <s v="Und"/>
    <x v="2"/>
    <m/>
    <m/>
    <m/>
    <x v="1"/>
    <n v="9960"/>
    <m/>
    <m/>
    <n v="15"/>
    <m/>
  </r>
  <r>
    <s v="kit"/>
    <x v="10"/>
    <n v="1"/>
    <s v="Und"/>
    <x v="2"/>
    <m/>
    <m/>
    <m/>
    <x v="1"/>
    <n v="9960"/>
    <m/>
    <m/>
    <n v="1"/>
    <m/>
  </r>
  <r>
    <s v="kit"/>
    <x v="10"/>
    <n v="1"/>
    <s v="Und"/>
    <x v="2"/>
    <m/>
    <m/>
    <m/>
    <x v="1"/>
    <n v="9960"/>
    <m/>
    <m/>
    <n v="3"/>
    <m/>
  </r>
  <r>
    <s v="kit"/>
    <x v="10"/>
    <n v="1"/>
    <s v="Und"/>
    <x v="2"/>
    <m/>
    <m/>
    <m/>
    <x v="1"/>
    <n v="9960"/>
    <m/>
    <m/>
    <n v="5"/>
    <m/>
  </r>
  <r>
    <s v="lum-75"/>
    <x v="16"/>
    <n v="1"/>
    <s v="Und"/>
    <x v="2"/>
    <m/>
    <s v="CURRENT"/>
    <s v="6E00237"/>
    <x v="1"/>
    <n v="9960"/>
    <m/>
    <m/>
    <n v="1"/>
    <m/>
  </r>
  <r>
    <s v="lum-75"/>
    <x v="16"/>
    <n v="1"/>
    <s v="Und"/>
    <x v="2"/>
    <m/>
    <s v="CURRENT"/>
    <s v="6E00257"/>
    <x v="1"/>
    <n v="9960"/>
    <m/>
    <m/>
    <n v="2"/>
    <m/>
  </r>
  <r>
    <s v="lum-75"/>
    <x v="16"/>
    <n v="1"/>
    <s v="Und"/>
    <x v="2"/>
    <m/>
    <s v="CURRENT"/>
    <s v="6E00251"/>
    <x v="1"/>
    <n v="9960"/>
    <m/>
    <m/>
    <n v="3"/>
    <m/>
  </r>
  <r>
    <s v="lum-75"/>
    <x v="16"/>
    <n v="1"/>
    <s v="Und"/>
    <x v="2"/>
    <m/>
    <s v="CURRENT"/>
    <s v="6E00282"/>
    <x v="1"/>
    <n v="9960"/>
    <m/>
    <m/>
    <n v="4"/>
    <m/>
  </r>
  <r>
    <s v="lum-75"/>
    <x v="16"/>
    <n v="1"/>
    <s v="Und"/>
    <x v="2"/>
    <m/>
    <s v="CURRENT"/>
    <s v="6E00255"/>
    <x v="1"/>
    <n v="9960"/>
    <m/>
    <m/>
    <n v="5"/>
    <m/>
  </r>
  <r>
    <s v="lum-75"/>
    <x v="16"/>
    <n v="1"/>
    <s v="Und"/>
    <x v="2"/>
    <m/>
    <s v="CURRENT"/>
    <s v="6E00209"/>
    <x v="1"/>
    <n v="9960"/>
    <m/>
    <m/>
    <n v="6"/>
    <m/>
  </r>
  <r>
    <s v="lum-75"/>
    <x v="16"/>
    <n v="1"/>
    <s v="Und"/>
    <x v="2"/>
    <m/>
    <s v="CURRENT"/>
    <s v="6E00278"/>
    <x v="1"/>
    <n v="9960"/>
    <m/>
    <m/>
    <n v="7"/>
    <m/>
  </r>
  <r>
    <s v="lum-75"/>
    <x v="16"/>
    <n v="1"/>
    <s v="Und"/>
    <x v="2"/>
    <m/>
    <s v="CURRENT"/>
    <s v="6E00249"/>
    <x v="1"/>
    <n v="9960"/>
    <m/>
    <m/>
    <n v="8"/>
    <m/>
  </r>
  <r>
    <s v="lum-75"/>
    <x v="16"/>
    <n v="1"/>
    <s v="Und"/>
    <x v="2"/>
    <m/>
    <s v="CURRENT"/>
    <s v="6E00259"/>
    <x v="1"/>
    <n v="9960"/>
    <m/>
    <m/>
    <n v="9"/>
    <m/>
  </r>
  <r>
    <s v="lum-75"/>
    <x v="16"/>
    <n v="1"/>
    <s v="Und"/>
    <x v="2"/>
    <m/>
    <s v="CURRENT"/>
    <s v="6E00253"/>
    <x v="1"/>
    <n v="9960"/>
    <m/>
    <m/>
    <n v="10"/>
    <m/>
  </r>
  <r>
    <s v="lum-75"/>
    <x v="16"/>
    <n v="1"/>
    <s v="Und"/>
    <x v="2"/>
    <m/>
    <s v="CURRENT"/>
    <s v="6E00233"/>
    <x v="1"/>
    <n v="9960"/>
    <m/>
    <m/>
    <n v="11"/>
    <m/>
  </r>
  <r>
    <s v="lum-75"/>
    <x v="16"/>
    <n v="1"/>
    <s v="Und"/>
    <x v="2"/>
    <m/>
    <s v="CURRENT"/>
    <s v="6E00245"/>
    <x v="1"/>
    <n v="9960"/>
    <m/>
    <m/>
    <n v="12"/>
    <m/>
  </r>
  <r>
    <s v="lum-75"/>
    <x v="16"/>
    <n v="1"/>
    <s v="Und"/>
    <x v="2"/>
    <m/>
    <s v="CURRENT"/>
    <s v="6E00274"/>
    <x v="1"/>
    <n v="9960"/>
    <m/>
    <m/>
    <n v="13"/>
    <m/>
  </r>
  <r>
    <s v="lum-75"/>
    <x v="16"/>
    <n v="1"/>
    <s v="Und"/>
    <x v="2"/>
    <m/>
    <s v="CURRENT"/>
    <s v="6E00275"/>
    <x v="1"/>
    <n v="9960"/>
    <m/>
    <m/>
    <n v="14"/>
    <m/>
  </r>
  <r>
    <s v="lum-75"/>
    <x v="16"/>
    <n v="1"/>
    <s v="Und"/>
    <x v="2"/>
    <m/>
    <s v="CURRENT"/>
    <m/>
    <x v="1"/>
    <n v="9960"/>
    <m/>
    <m/>
    <n v="15"/>
    <m/>
  </r>
  <r>
    <s v="lum-75"/>
    <x v="16"/>
    <n v="1"/>
    <s v="Und"/>
    <x v="2"/>
    <m/>
    <s v="CURRENT"/>
    <m/>
    <x v="1"/>
    <n v="9960"/>
    <m/>
    <m/>
    <n v="16"/>
    <m/>
  </r>
  <r>
    <s v="percha1"/>
    <x v="11"/>
    <n v="1"/>
    <s v="Und"/>
    <x v="2"/>
    <m/>
    <m/>
    <m/>
    <x v="1"/>
    <n v="9960"/>
    <m/>
    <m/>
    <n v="5"/>
    <m/>
  </r>
  <r>
    <s v="perno2"/>
    <x v="55"/>
    <n v="1"/>
    <s v="Und"/>
    <x v="2"/>
    <m/>
    <m/>
    <m/>
    <x v="1"/>
    <n v="9960"/>
    <m/>
    <m/>
    <n v="5"/>
    <m/>
  </r>
  <r>
    <s v="poste 10"/>
    <x v="43"/>
    <n v="1"/>
    <s v="Und"/>
    <x v="2"/>
    <m/>
    <m/>
    <m/>
    <x v="1"/>
    <n v="9960"/>
    <m/>
    <m/>
    <n v="5"/>
    <m/>
  </r>
  <r>
    <s v="tapa2"/>
    <x v="14"/>
    <n v="1"/>
    <s v="Und"/>
    <x v="2"/>
    <m/>
    <m/>
    <m/>
    <x v="1"/>
    <n v="9960"/>
    <m/>
    <m/>
    <n v="7"/>
    <m/>
  </r>
  <r>
    <s v="tapa2"/>
    <x v="14"/>
    <n v="1"/>
    <s v="Und"/>
    <x v="2"/>
    <m/>
    <m/>
    <m/>
    <x v="1"/>
    <n v="9960"/>
    <m/>
    <m/>
    <n v="9"/>
    <m/>
  </r>
  <r>
    <s v="tapa2"/>
    <x v="14"/>
    <n v="1"/>
    <s v="Und"/>
    <x v="2"/>
    <m/>
    <m/>
    <m/>
    <x v="1"/>
    <n v="9960"/>
    <m/>
    <m/>
    <n v="11"/>
    <m/>
  </r>
  <r>
    <s v="tapa2"/>
    <x v="14"/>
    <n v="1"/>
    <s v="Und"/>
    <x v="2"/>
    <m/>
    <m/>
    <m/>
    <x v="1"/>
    <n v="9960"/>
    <m/>
    <m/>
    <n v="13"/>
    <m/>
  </r>
  <r>
    <s v="tapa2"/>
    <x v="14"/>
    <n v="1"/>
    <s v="Und"/>
    <x v="2"/>
    <m/>
    <m/>
    <m/>
    <x v="1"/>
    <n v="9960"/>
    <m/>
    <m/>
    <n v="15"/>
    <m/>
  </r>
  <r>
    <s v="tubo 3"/>
    <x v="12"/>
    <n v="0.5"/>
    <s v="Mts"/>
    <x v="2"/>
    <m/>
    <m/>
    <m/>
    <x v="1"/>
    <n v="9960"/>
    <m/>
    <m/>
    <n v="1"/>
    <m/>
  </r>
  <r>
    <s v="conduit"/>
    <x v="37"/>
    <n v="2"/>
    <s v="Und"/>
    <x v="2"/>
    <m/>
    <m/>
    <m/>
    <x v="1"/>
    <n v="9960"/>
    <m/>
    <m/>
    <n v="9"/>
    <m/>
  </r>
  <r>
    <s v="conduit"/>
    <x v="37"/>
    <n v="2"/>
    <s v="Und"/>
    <x v="2"/>
    <m/>
    <m/>
    <m/>
    <x v="1"/>
    <n v="9960"/>
    <m/>
    <m/>
    <n v="11"/>
    <m/>
  </r>
  <r>
    <s v="conduit"/>
    <x v="37"/>
    <n v="2"/>
    <s v="Und"/>
    <x v="2"/>
    <m/>
    <m/>
    <m/>
    <x v="1"/>
    <n v="9960"/>
    <m/>
    <m/>
    <n v="13"/>
    <m/>
  </r>
  <r>
    <s v="conduit"/>
    <x v="37"/>
    <n v="2"/>
    <s v="Und"/>
    <x v="2"/>
    <m/>
    <m/>
    <m/>
    <x v="1"/>
    <n v="9960"/>
    <m/>
    <m/>
    <n v="15"/>
    <m/>
  </r>
  <r>
    <s v="tuerca"/>
    <x v="27"/>
    <n v="1"/>
    <s v="Und"/>
    <x v="2"/>
    <m/>
    <m/>
    <m/>
    <x v="1"/>
    <n v="9960"/>
    <m/>
    <m/>
    <n v="5"/>
    <m/>
  </r>
  <r>
    <s v="cooper"/>
    <x v="28"/>
    <n v="1"/>
    <s v="Und"/>
    <x v="2"/>
    <m/>
    <m/>
    <m/>
    <x v="1"/>
    <n v="9960"/>
    <m/>
    <m/>
    <n v="9"/>
    <m/>
  </r>
  <r>
    <s v="cooper"/>
    <x v="28"/>
    <n v="1"/>
    <s v="Und"/>
    <x v="2"/>
    <m/>
    <m/>
    <m/>
    <x v="1"/>
    <n v="9960"/>
    <m/>
    <m/>
    <n v="11"/>
    <m/>
  </r>
  <r>
    <s v="cooper"/>
    <x v="28"/>
    <n v="1"/>
    <s v="Und"/>
    <x v="2"/>
    <m/>
    <m/>
    <m/>
    <x v="1"/>
    <n v="9960"/>
    <m/>
    <m/>
    <n v="13"/>
    <m/>
  </r>
  <r>
    <s v="cooper"/>
    <x v="28"/>
    <n v="1"/>
    <s v="Und"/>
    <x v="2"/>
    <m/>
    <m/>
    <m/>
    <x v="1"/>
    <n v="9960"/>
    <m/>
    <m/>
    <n v="15"/>
    <m/>
  </r>
  <r>
    <s v="conduit"/>
    <x v="37"/>
    <n v="3"/>
    <s v="Und"/>
    <x v="2"/>
    <d v="2026-06-27T00:00:00"/>
    <m/>
    <m/>
    <x v="1"/>
    <n v="9961"/>
    <s v="cr54cll 2oeste"/>
    <m/>
    <n v="14"/>
    <m/>
  </r>
  <r>
    <s v="conduit"/>
    <x v="37"/>
    <n v="2"/>
    <s v="Und"/>
    <x v="2"/>
    <d v="2026-06-27T00:00:00"/>
    <m/>
    <m/>
    <x v="1"/>
    <n v="9961"/>
    <s v="cr54cll 2oeste"/>
    <m/>
    <n v="17"/>
    <m/>
  </r>
  <r>
    <s v="perno2"/>
    <x v="55"/>
    <n v="1"/>
    <s v="Und"/>
    <x v="2"/>
    <d v="2026-06-27T00:00:00"/>
    <m/>
    <m/>
    <x v="1"/>
    <n v="9961"/>
    <s v="cr54cll 2oeste"/>
    <m/>
    <n v="23"/>
    <m/>
  </r>
  <r>
    <s v="perno2"/>
    <x v="55"/>
    <n v="1"/>
    <s v="Und"/>
    <x v="2"/>
    <d v="2026-06-27T00:00:00"/>
    <m/>
    <m/>
    <x v="1"/>
    <n v="9961"/>
    <s v="cr54cll 2oeste"/>
    <m/>
    <n v="24"/>
    <m/>
  </r>
  <r>
    <s v="perno2"/>
    <x v="55"/>
    <n v="1"/>
    <s v="Und"/>
    <x v="2"/>
    <d v="2026-06-27T00:00:00"/>
    <m/>
    <m/>
    <x v="1"/>
    <n v="9961"/>
    <s v="cr54cll 2oeste"/>
    <m/>
    <n v="25"/>
    <m/>
  </r>
  <r>
    <s v="perno2"/>
    <x v="55"/>
    <n v="1"/>
    <s v="Und"/>
    <x v="2"/>
    <d v="2026-06-27T00:00:00"/>
    <m/>
    <m/>
    <x v="1"/>
    <n v="9961"/>
    <s v="cr54cll 2oeste"/>
    <m/>
    <n v="26"/>
    <m/>
  </r>
  <r>
    <s v="tuerca"/>
    <x v="27"/>
    <n v="1"/>
    <s v="Und"/>
    <x v="2"/>
    <d v="2026-06-27T00:00:00"/>
    <m/>
    <m/>
    <x v="1"/>
    <n v="9961"/>
    <s v="cr54cll 2oeste"/>
    <m/>
    <n v="23"/>
    <m/>
  </r>
  <r>
    <s v="tuerca"/>
    <x v="27"/>
    <n v="1"/>
    <s v="Und"/>
    <x v="2"/>
    <d v="2026-06-27T00:00:00"/>
    <m/>
    <m/>
    <x v="1"/>
    <n v="9961"/>
    <s v="cr54cll 2oeste"/>
    <m/>
    <n v="24"/>
    <m/>
  </r>
  <r>
    <s v="tuerca"/>
    <x v="27"/>
    <n v="1"/>
    <s v="Und"/>
    <x v="2"/>
    <d v="2026-06-27T00:00:00"/>
    <m/>
    <m/>
    <x v="1"/>
    <n v="9961"/>
    <s v="cr54cll 2oeste"/>
    <m/>
    <n v="25"/>
    <m/>
  </r>
  <r>
    <s v="tuerca"/>
    <x v="27"/>
    <n v="1"/>
    <s v="Und"/>
    <x v="2"/>
    <d v="2026-06-27T00:00:00"/>
    <m/>
    <m/>
    <x v="1"/>
    <n v="9961"/>
    <s v="cr54cll 2oeste"/>
    <m/>
    <n v="26"/>
    <m/>
  </r>
  <r>
    <s v="marco"/>
    <x v="30"/>
    <n v="1"/>
    <s v="Und"/>
    <x v="2"/>
    <d v="2026-06-27T00:00:00"/>
    <m/>
    <m/>
    <x v="1"/>
    <n v="9961"/>
    <s v="cr54cll 2oeste"/>
    <m/>
    <n v="6"/>
    <m/>
  </r>
  <r>
    <s v="marco"/>
    <x v="30"/>
    <n v="1"/>
    <s v="Und"/>
    <x v="2"/>
    <d v="2026-06-27T00:00:00"/>
    <m/>
    <m/>
    <x v="1"/>
    <n v="9961"/>
    <s v="cr54cll 2oeste"/>
    <m/>
    <n v="7"/>
    <m/>
  </r>
  <r>
    <s v="marco"/>
    <x v="30"/>
    <n v="1"/>
    <s v="Und"/>
    <x v="2"/>
    <d v="2026-06-27T00:00:00"/>
    <m/>
    <m/>
    <x v="1"/>
    <n v="9961"/>
    <s v="cr54cll 2oeste"/>
    <m/>
    <n v="17"/>
    <m/>
  </r>
  <r>
    <s v="marco"/>
    <x v="30"/>
    <n v="1"/>
    <s v="Und"/>
    <x v="2"/>
    <d v="2026-06-27T00:00:00"/>
    <m/>
    <m/>
    <x v="1"/>
    <n v="9961"/>
    <s v="cr54cll 2oeste"/>
    <m/>
    <n v="20"/>
    <m/>
  </r>
  <r>
    <s v="perno2"/>
    <x v="55"/>
    <n v="1"/>
    <s v="Und"/>
    <x v="2"/>
    <d v="2026-07-08T00:00:00"/>
    <m/>
    <m/>
    <x v="1"/>
    <n v="9962"/>
    <s v="Mirador 360"/>
    <n v="3018792"/>
    <n v="1"/>
    <m/>
  </r>
  <r>
    <s v="perno2"/>
    <x v="55"/>
    <n v="1"/>
    <s v="Und"/>
    <x v="2"/>
    <d v="2026-07-08T00:00:00"/>
    <m/>
    <m/>
    <x v="1"/>
    <n v="9962"/>
    <s v="Mirador 360"/>
    <n v="3018784"/>
    <n v="2"/>
    <m/>
  </r>
  <r>
    <s v="perno2"/>
    <x v="55"/>
    <n v="2"/>
    <s v="Und"/>
    <x v="2"/>
    <d v="2026-07-08T00:00:00"/>
    <m/>
    <m/>
    <x v="1"/>
    <n v="9962"/>
    <s v="Mirador 360"/>
    <n v="3018776"/>
    <n v="3"/>
    <m/>
  </r>
  <r>
    <s v="perno2"/>
    <x v="55"/>
    <n v="1"/>
    <s v="Und"/>
    <x v="2"/>
    <d v="2026-07-08T00:00:00"/>
    <m/>
    <m/>
    <x v="1"/>
    <n v="9962"/>
    <s v="Mirador 360"/>
    <n v="3018750"/>
    <n v="4"/>
    <m/>
  </r>
  <r>
    <s v="perno2"/>
    <x v="55"/>
    <n v="1"/>
    <s v="Und"/>
    <x v="2"/>
    <d v="2026-07-08T00:00:00"/>
    <m/>
    <m/>
    <x v="1"/>
    <n v="9962"/>
    <s v="Mirador 360"/>
    <n v="3018741"/>
    <n v="5"/>
    <m/>
  </r>
  <r>
    <s v="perno2"/>
    <x v="55"/>
    <n v="2"/>
    <s v="Und"/>
    <x v="2"/>
    <d v="2026-07-08T00:00:00"/>
    <m/>
    <m/>
    <x v="1"/>
    <n v="9962"/>
    <s v="Mirador 360"/>
    <n v="3018733"/>
    <n v="6"/>
    <m/>
  </r>
  <r>
    <s v="perno2"/>
    <x v="55"/>
    <n v="1"/>
    <s v="Und"/>
    <x v="2"/>
    <d v="2026-07-08T00:00:00"/>
    <m/>
    <m/>
    <x v="1"/>
    <n v="9962"/>
    <s v="Mirador 360"/>
    <n v="3018679"/>
    <n v="7"/>
    <m/>
  </r>
  <r>
    <s v="perno2"/>
    <x v="55"/>
    <n v="1"/>
    <s v="Und"/>
    <x v="2"/>
    <d v="2026-07-08T00:00:00"/>
    <m/>
    <m/>
    <x v="1"/>
    <n v="9962"/>
    <s v="Mirador 360"/>
    <n v="3018687"/>
    <n v="8"/>
    <m/>
  </r>
  <r>
    <s v="perno2"/>
    <x v="55"/>
    <n v="1"/>
    <s v="Und"/>
    <x v="2"/>
    <d v="2026-07-08T00:00:00"/>
    <m/>
    <m/>
    <x v="1"/>
    <n v="9962"/>
    <s v="Mirador 360"/>
    <n v="3018695"/>
    <n v="9"/>
    <m/>
  </r>
  <r>
    <s v="perno2"/>
    <x v="55"/>
    <n v="1"/>
    <s v="Und"/>
    <x v="2"/>
    <d v="2026-07-08T00:00:00"/>
    <m/>
    <m/>
    <x v="1"/>
    <n v="9962"/>
    <s v="Mirador 360"/>
    <n v="3018709"/>
    <n v="10"/>
    <m/>
  </r>
  <r>
    <s v="perno2"/>
    <x v="55"/>
    <n v="1"/>
    <s v="Und"/>
    <x v="2"/>
    <d v="2026-07-08T00:00:00"/>
    <m/>
    <m/>
    <x v="1"/>
    <n v="9962"/>
    <s v="Mirador 360"/>
    <n v="3018717"/>
    <n v="11"/>
    <m/>
  </r>
  <r>
    <s v="perno2"/>
    <x v="55"/>
    <n v="1"/>
    <s v="Und"/>
    <x v="2"/>
    <d v="2026-07-08T00:00:00"/>
    <m/>
    <m/>
    <x v="1"/>
    <n v="9962"/>
    <s v="Mirador 360"/>
    <n v="3018725"/>
    <n v="12"/>
    <m/>
  </r>
  <r>
    <s v="tuerca"/>
    <x v="27"/>
    <n v="1"/>
    <s v="Und"/>
    <x v="2"/>
    <d v="2026-07-08T00:00:00"/>
    <m/>
    <m/>
    <x v="1"/>
    <n v="9962"/>
    <s v="Mirador 360"/>
    <n v="3018792"/>
    <n v="1"/>
    <m/>
  </r>
  <r>
    <s v="tuerca"/>
    <x v="27"/>
    <n v="1"/>
    <s v="Und"/>
    <x v="2"/>
    <d v="2026-07-08T00:00:00"/>
    <m/>
    <m/>
    <x v="1"/>
    <n v="9962"/>
    <s v="Mirador 360"/>
    <n v="3018784"/>
    <n v="2"/>
    <m/>
  </r>
  <r>
    <s v="tuerca"/>
    <x v="27"/>
    <n v="2"/>
    <s v="Und"/>
    <x v="2"/>
    <d v="2026-07-08T00:00:00"/>
    <m/>
    <m/>
    <x v="1"/>
    <n v="9962"/>
    <s v="Mirador 360"/>
    <n v="3018776"/>
    <n v="3"/>
    <m/>
  </r>
  <r>
    <s v="tuerca"/>
    <x v="27"/>
    <n v="1"/>
    <s v="Und"/>
    <x v="2"/>
    <d v="2026-07-08T00:00:00"/>
    <m/>
    <m/>
    <x v="1"/>
    <n v="9962"/>
    <s v="Mirador 360"/>
    <n v="3018750"/>
    <n v="4"/>
    <m/>
  </r>
  <r>
    <s v="tuerca"/>
    <x v="27"/>
    <n v="1"/>
    <s v="Und"/>
    <x v="2"/>
    <d v="2026-07-08T00:00:00"/>
    <m/>
    <m/>
    <x v="1"/>
    <n v="9962"/>
    <s v="Mirador 360"/>
    <n v="3018741"/>
    <n v="5"/>
    <m/>
  </r>
  <r>
    <s v="tuerca"/>
    <x v="27"/>
    <n v="2"/>
    <s v="Und"/>
    <x v="2"/>
    <d v="2026-07-08T00:00:00"/>
    <m/>
    <m/>
    <x v="1"/>
    <n v="9962"/>
    <s v="Mirador 360"/>
    <n v="3018733"/>
    <n v="6"/>
    <m/>
  </r>
  <r>
    <s v="tuerca"/>
    <x v="27"/>
    <n v="1"/>
    <s v="Und"/>
    <x v="2"/>
    <d v="2026-07-08T00:00:00"/>
    <m/>
    <m/>
    <x v="1"/>
    <n v="9962"/>
    <s v="Mirador 360"/>
    <n v="3018679"/>
    <n v="7"/>
    <m/>
  </r>
  <r>
    <s v="tuerca"/>
    <x v="27"/>
    <n v="1"/>
    <s v="Und"/>
    <x v="2"/>
    <d v="2026-07-08T00:00:00"/>
    <m/>
    <m/>
    <x v="1"/>
    <n v="9962"/>
    <s v="Mirador 360"/>
    <n v="3018687"/>
    <n v="8"/>
    <m/>
  </r>
  <r>
    <s v="tuerca"/>
    <x v="27"/>
    <n v="1"/>
    <s v="Und"/>
    <x v="2"/>
    <d v="2026-07-08T00:00:00"/>
    <m/>
    <m/>
    <x v="1"/>
    <n v="9962"/>
    <s v="Mirador 360"/>
    <n v="3018695"/>
    <n v="9"/>
    <m/>
  </r>
  <r>
    <s v="tuerca"/>
    <x v="27"/>
    <n v="1"/>
    <s v="Und"/>
    <x v="2"/>
    <d v="2026-07-08T00:00:00"/>
    <m/>
    <m/>
    <x v="1"/>
    <n v="9962"/>
    <s v="Mirador 360"/>
    <n v="3018709"/>
    <n v="10"/>
    <m/>
  </r>
  <r>
    <s v="tuerca"/>
    <x v="27"/>
    <n v="1"/>
    <s v="Und"/>
    <x v="2"/>
    <d v="2026-07-08T00:00:00"/>
    <m/>
    <m/>
    <x v="1"/>
    <n v="9962"/>
    <s v="Mirador 360"/>
    <n v="3018717"/>
    <n v="11"/>
    <m/>
  </r>
  <r>
    <s v="tuerca"/>
    <x v="27"/>
    <n v="1"/>
    <s v="Und"/>
    <x v="2"/>
    <d v="2026-07-08T00:00:00"/>
    <m/>
    <m/>
    <x v="1"/>
    <n v="9962"/>
    <s v="Mirador 360"/>
    <n v="3018725"/>
    <n v="12"/>
    <m/>
  </r>
  <r>
    <s v="super33"/>
    <x v="48"/>
    <n v="1"/>
    <s v="Und"/>
    <x v="2"/>
    <d v="2026-07-01T00:00:00"/>
    <m/>
    <m/>
    <x v="1"/>
    <n v="9963"/>
    <s v="cll 18oe cra 44"/>
    <n v="6529607"/>
    <n v="1"/>
    <m/>
  </r>
  <r>
    <s v="perno2"/>
    <x v="55"/>
    <n v="1"/>
    <s v="Und"/>
    <x v="2"/>
    <d v="2026-07-01T00:00:00"/>
    <m/>
    <m/>
    <x v="1"/>
    <n v="9963"/>
    <s v="cll 18oe cra 44"/>
    <n v="2295580"/>
    <n v="5"/>
    <m/>
  </r>
  <r>
    <s v="perno2"/>
    <x v="55"/>
    <n v="1"/>
    <s v="Und"/>
    <x v="2"/>
    <d v="2026-07-01T00:00:00"/>
    <m/>
    <m/>
    <x v="1"/>
    <n v="9963"/>
    <s v="cll 18oe cra 44"/>
    <n v="2295628"/>
    <n v="9"/>
    <m/>
  </r>
  <r>
    <s v="perno2"/>
    <x v="55"/>
    <n v="1"/>
    <s v="Und"/>
    <x v="2"/>
    <d v="2026-07-01T00:00:00"/>
    <m/>
    <m/>
    <x v="1"/>
    <n v="9963"/>
    <s v="cll 18oe cra 44"/>
    <n v="2295628"/>
    <n v="10"/>
    <m/>
  </r>
  <r>
    <s v="tuerca"/>
    <x v="27"/>
    <n v="3"/>
    <s v="Und"/>
    <x v="2"/>
    <d v="2026-07-01T00:00:00"/>
    <m/>
    <m/>
    <x v="1"/>
    <n v="9963"/>
    <s v="cll 18oe cra 44"/>
    <n v="2295580"/>
    <n v="5"/>
    <m/>
  </r>
  <r>
    <s v="tuerca"/>
    <x v="27"/>
    <n v="3"/>
    <s v="Und"/>
    <x v="2"/>
    <d v="2026-07-01T00:00:00"/>
    <m/>
    <m/>
    <x v="1"/>
    <n v="9963"/>
    <s v="cll 18oe cra 44"/>
    <n v="2295628"/>
    <n v="9"/>
    <m/>
  </r>
  <r>
    <s v="concertina"/>
    <x v="50"/>
    <n v="30"/>
    <s v="Und"/>
    <x v="0"/>
    <d v="2026-07-17T00:00:00"/>
    <m/>
    <m/>
    <x v="2"/>
    <n v="9966"/>
    <m/>
    <m/>
    <m/>
    <m/>
  </r>
  <r>
    <s v="CIEGA1"/>
    <x v="44"/>
    <n v="3"/>
    <s v="Und"/>
    <x v="2"/>
    <d v="2026-07-01T00:00:00"/>
    <m/>
    <m/>
    <x v="2"/>
    <n v="9967"/>
    <m/>
    <m/>
    <m/>
    <m/>
  </r>
  <r>
    <s v="banda1"/>
    <x v="22"/>
    <n v="6"/>
    <s v="Und"/>
    <x v="2"/>
    <d v="2026-07-01T00:00:00"/>
    <m/>
    <m/>
    <x v="2"/>
    <n v="9967"/>
    <m/>
    <m/>
    <m/>
    <m/>
  </r>
  <r>
    <s v="Aislador1"/>
    <x v="1"/>
    <n v="7"/>
    <s v="Und"/>
    <x v="2"/>
    <d v="2026-07-01T00:00:00"/>
    <m/>
    <m/>
    <x v="2"/>
    <n v="9967"/>
    <m/>
    <m/>
    <m/>
    <m/>
  </r>
  <r>
    <s v="brazo1"/>
    <x v="21"/>
    <n v="21"/>
    <s v="Und"/>
    <x v="2"/>
    <d v="2026-07-01T00:00:00"/>
    <m/>
    <m/>
    <x v="2"/>
    <n v="9967"/>
    <m/>
    <m/>
    <m/>
    <m/>
  </r>
  <r>
    <s v="brazo l"/>
    <x v="49"/>
    <n v="3"/>
    <s v="Und"/>
    <x v="2"/>
    <d v="2026-07-01T00:00:00"/>
    <m/>
    <m/>
    <x v="2"/>
    <n v="9967"/>
    <m/>
    <m/>
    <m/>
    <m/>
  </r>
  <r>
    <s v="tpx"/>
    <x v="23"/>
    <n v="42"/>
    <s v="Mts"/>
    <x v="2"/>
    <d v="2026-07-01T00:00:00"/>
    <m/>
    <m/>
    <x v="2"/>
    <n v="9967"/>
    <m/>
    <m/>
    <m/>
    <m/>
  </r>
  <r>
    <s v="3*14"/>
    <x v="3"/>
    <n v="60"/>
    <s v="Mts"/>
    <x v="2"/>
    <d v="2026-07-01T00:00:00"/>
    <m/>
    <m/>
    <x v="2"/>
    <n v="9967"/>
    <m/>
    <m/>
    <m/>
    <m/>
  </r>
  <r>
    <s v="super23"/>
    <x v="45"/>
    <n v="1"/>
    <s v="Und"/>
    <x v="2"/>
    <d v="2026-07-01T00:00:00"/>
    <m/>
    <m/>
    <x v="2"/>
    <n v="9967"/>
    <m/>
    <m/>
    <m/>
    <m/>
  </r>
  <r>
    <s v="conec1"/>
    <x v="6"/>
    <n v="51"/>
    <s v="Und"/>
    <x v="2"/>
    <d v="2026-07-01T00:00:00"/>
    <m/>
    <m/>
    <x v="2"/>
    <n v="9967"/>
    <m/>
    <m/>
    <m/>
    <m/>
  </r>
  <r>
    <s v="conec2"/>
    <x v="7"/>
    <n v="20"/>
    <s v="Und"/>
    <x v="2"/>
    <d v="2026-07-01T00:00:00"/>
    <m/>
    <m/>
    <x v="2"/>
    <n v="9967"/>
    <m/>
    <m/>
    <m/>
    <m/>
  </r>
  <r>
    <s v="gel1"/>
    <x v="8"/>
    <n v="10"/>
    <s v="Und"/>
    <x v="2"/>
    <d v="2026-07-01T00:00:00"/>
    <m/>
    <m/>
    <x v="2"/>
    <n v="9967"/>
    <m/>
    <m/>
    <m/>
    <m/>
  </r>
  <r>
    <s v="Foto"/>
    <x v="15"/>
    <n v="24"/>
    <s v="Und"/>
    <x v="2"/>
    <d v="2026-07-01T00:00:00"/>
    <m/>
    <m/>
    <x v="2"/>
    <n v="9967"/>
    <m/>
    <m/>
    <m/>
    <m/>
  </r>
  <r>
    <s v="grillete"/>
    <x v="24"/>
    <n v="16"/>
    <s v="Und"/>
    <x v="2"/>
    <d v="2026-07-01T00:00:00"/>
    <m/>
    <m/>
    <x v="2"/>
    <n v="9967"/>
    <m/>
    <m/>
    <m/>
    <m/>
  </r>
  <r>
    <s v="kit"/>
    <x v="10"/>
    <n v="6"/>
    <s v="Und"/>
    <x v="2"/>
    <d v="2026-07-01T00:00:00"/>
    <m/>
    <m/>
    <x v="2"/>
    <n v="9967"/>
    <m/>
    <m/>
    <m/>
    <m/>
  </r>
  <r>
    <s v="lum-75"/>
    <x v="16"/>
    <n v="24"/>
    <s v="Und"/>
    <x v="2"/>
    <d v="2026-07-01T00:00:00"/>
    <m/>
    <m/>
    <x v="2"/>
    <n v="9967"/>
    <m/>
    <m/>
    <m/>
    <m/>
  </r>
  <r>
    <s v="percha1"/>
    <x v="11"/>
    <n v="7"/>
    <s v="Und"/>
    <x v="2"/>
    <d v="2026-07-01T00:00:00"/>
    <m/>
    <m/>
    <x v="2"/>
    <n v="9967"/>
    <m/>
    <m/>
    <m/>
    <m/>
  </r>
  <r>
    <s v="marco"/>
    <x v="30"/>
    <n v="5"/>
    <s v="Und"/>
    <x v="2"/>
    <d v="2026-07-15T00:00:00"/>
    <m/>
    <m/>
    <x v="2"/>
    <n v="9967"/>
    <m/>
    <m/>
    <m/>
    <m/>
  </r>
  <r>
    <s v="tapa2"/>
    <x v="14"/>
    <n v="5"/>
    <s v="Und"/>
    <x v="2"/>
    <d v="2026-07-15T00:00:00"/>
    <m/>
    <m/>
    <x v="2"/>
    <n v="9967"/>
    <m/>
    <m/>
    <m/>
    <m/>
  </r>
  <r>
    <s v="ciega1"/>
    <x v="44"/>
    <n v="4"/>
    <s v="Und"/>
    <x v="2"/>
    <d v="2026-07-01T00:00:00"/>
    <m/>
    <m/>
    <x v="2"/>
    <n v="9968"/>
    <m/>
    <m/>
    <m/>
    <m/>
  </r>
  <r>
    <s v="#4"/>
    <x v="41"/>
    <n v="84"/>
    <s v="Mts"/>
    <x v="2"/>
    <d v="2026-07-01T00:00:00"/>
    <m/>
    <m/>
    <x v="2"/>
    <n v="9968"/>
    <m/>
    <m/>
    <m/>
    <m/>
  </r>
  <r>
    <s v="alambre 14"/>
    <x v="40"/>
    <n v="42"/>
    <s v="Mts"/>
    <x v="2"/>
    <d v="2026-07-01T00:00:00"/>
    <m/>
    <m/>
    <x v="2"/>
    <n v="9968"/>
    <m/>
    <m/>
    <m/>
    <m/>
  </r>
  <r>
    <s v="capacete"/>
    <x v="38"/>
    <n v="3"/>
    <s v="Und"/>
    <x v="2"/>
    <d v="2026-07-01T00:00:00"/>
    <m/>
    <m/>
    <x v="2"/>
    <n v="9968"/>
    <m/>
    <m/>
    <m/>
    <m/>
  </r>
  <r>
    <s v="super23"/>
    <x v="45"/>
    <n v="1"/>
    <s v="Und"/>
    <x v="2"/>
    <d v="2026-07-01T00:00:00"/>
    <m/>
    <m/>
    <x v="2"/>
    <n v="9968"/>
    <m/>
    <m/>
    <m/>
    <m/>
  </r>
  <r>
    <s v="bandit"/>
    <x v="4"/>
    <n v="3"/>
    <s v="Und"/>
    <x v="2"/>
    <d v="2026-07-01T00:00:00"/>
    <m/>
    <m/>
    <x v="2"/>
    <n v="9968"/>
    <m/>
    <m/>
    <m/>
    <m/>
  </r>
  <r>
    <s v="conec1"/>
    <x v="6"/>
    <n v="26"/>
    <s v="Und"/>
    <x v="2"/>
    <d v="2026-07-01T00:00:00"/>
    <m/>
    <m/>
    <x v="2"/>
    <n v="9968"/>
    <m/>
    <m/>
    <m/>
    <m/>
  </r>
  <r>
    <s v="conec2"/>
    <x v="7"/>
    <n v="13"/>
    <s v="Und"/>
    <x v="2"/>
    <d v="2026-07-01T00:00:00"/>
    <m/>
    <m/>
    <x v="2"/>
    <n v="9968"/>
    <m/>
    <m/>
    <m/>
    <m/>
  </r>
  <r>
    <s v="conec3"/>
    <x v="29"/>
    <n v="5"/>
    <s v="Und"/>
    <x v="2"/>
    <d v="2026-07-01T00:00:00"/>
    <m/>
    <m/>
    <x v="2"/>
    <n v="9968"/>
    <m/>
    <m/>
    <m/>
    <m/>
  </r>
  <r>
    <s v="gel1"/>
    <x v="8"/>
    <n v="12"/>
    <s v="Und"/>
    <x v="2"/>
    <d v="2026-07-01T00:00:00"/>
    <m/>
    <m/>
    <x v="2"/>
    <n v="9968"/>
    <m/>
    <m/>
    <m/>
    <m/>
  </r>
  <r>
    <s v="Foto"/>
    <x v="15"/>
    <n v="23"/>
    <s v="Und"/>
    <x v="2"/>
    <d v="2026-07-01T00:00:00"/>
    <m/>
    <m/>
    <x v="2"/>
    <n v="9968"/>
    <m/>
    <m/>
    <m/>
    <m/>
  </r>
  <r>
    <s v="grillete"/>
    <x v="24"/>
    <n v="2"/>
    <s v="Und"/>
    <x v="2"/>
    <d v="2026-07-01T00:00:00"/>
    <m/>
    <m/>
    <x v="2"/>
    <n v="9968"/>
    <m/>
    <m/>
    <m/>
    <m/>
  </r>
  <r>
    <s v="hebilla"/>
    <x v="5"/>
    <n v="3"/>
    <s v="Und"/>
    <x v="2"/>
    <d v="2026-07-01T00:00:00"/>
    <m/>
    <m/>
    <x v="2"/>
    <n v="9968"/>
    <m/>
    <m/>
    <m/>
    <m/>
  </r>
  <r>
    <s v="lum-75"/>
    <x v="16"/>
    <n v="9"/>
    <s v="Und"/>
    <x v="2"/>
    <d v="2026-07-01T00:00:00"/>
    <m/>
    <m/>
    <x v="2"/>
    <n v="9968"/>
    <m/>
    <m/>
    <m/>
    <m/>
  </r>
  <r>
    <s v="poste 10"/>
    <x v="43"/>
    <n v="1"/>
    <s v="Und"/>
    <x v="2"/>
    <d v="2026-07-01T00:00:00"/>
    <m/>
    <m/>
    <x v="2"/>
    <n v="9968"/>
    <m/>
    <m/>
    <m/>
    <m/>
  </r>
  <r>
    <s v="pro- 90"/>
    <x v="31"/>
    <n v="6"/>
    <s v="Und"/>
    <x v="2"/>
    <d v="2026-07-01T00:00:00"/>
    <m/>
    <m/>
    <x v="2"/>
    <n v="9968"/>
    <m/>
    <m/>
    <m/>
    <m/>
  </r>
  <r>
    <s v="pro-190"/>
    <x v="19"/>
    <n v="1"/>
    <s v="Und"/>
    <x v="2"/>
    <m/>
    <s v="CURRENT"/>
    <s v="6PD0310"/>
    <x v="2"/>
    <n v="9974"/>
    <m/>
    <n v="1865331"/>
    <n v="11"/>
    <m/>
  </r>
  <r>
    <s v="tubo 3"/>
    <x v="12"/>
    <n v="2"/>
    <s v="Und"/>
    <x v="2"/>
    <d v="2026-07-01T00:00:00"/>
    <m/>
    <m/>
    <x v="2"/>
    <n v="9968"/>
    <m/>
    <m/>
    <m/>
    <m/>
  </r>
  <r>
    <s v="conduit"/>
    <x v="37"/>
    <n v="2"/>
    <s v="Und"/>
    <x v="2"/>
    <d v="2026-07-01T00:00:00"/>
    <m/>
    <m/>
    <x v="2"/>
    <n v="9968"/>
    <m/>
    <m/>
    <m/>
    <m/>
  </r>
  <r>
    <s v="tubo 2"/>
    <x v="51"/>
    <n v="10"/>
    <s v="Und"/>
    <x v="2"/>
    <d v="2026-07-01T00:00:00"/>
    <m/>
    <m/>
    <x v="2"/>
    <n v="9968"/>
    <m/>
    <m/>
    <m/>
    <m/>
  </r>
  <r>
    <s v="tuerca"/>
    <x v="27"/>
    <n v="14"/>
    <s v="Und"/>
    <x v="2"/>
    <d v="2026-07-01T00:00:00"/>
    <m/>
    <m/>
    <x v="2"/>
    <n v="9968"/>
    <m/>
    <m/>
    <m/>
    <m/>
  </r>
  <r>
    <s v="cooper"/>
    <x v="28"/>
    <n v="5"/>
    <s v="Und"/>
    <x v="2"/>
    <d v="2026-07-01T00:00:00"/>
    <m/>
    <m/>
    <x v="2"/>
    <n v="9968"/>
    <m/>
    <m/>
    <m/>
    <m/>
  </r>
  <r>
    <s v="marco"/>
    <x v="30"/>
    <n v="6"/>
    <s v="Und"/>
    <x v="2"/>
    <d v="2026-07-15T00:00:00"/>
    <m/>
    <m/>
    <x v="2"/>
    <n v="9968"/>
    <m/>
    <m/>
    <m/>
    <m/>
  </r>
  <r>
    <s v="tapa2"/>
    <x v="14"/>
    <n v="6"/>
    <s v="Und"/>
    <x v="2"/>
    <d v="2026-07-15T00:00:00"/>
    <m/>
    <m/>
    <x v="2"/>
    <n v="9968"/>
    <m/>
    <m/>
    <m/>
    <m/>
  </r>
  <r>
    <s v="capacete"/>
    <x v="38"/>
    <n v="2"/>
    <s v="Und"/>
    <x v="2"/>
    <d v="2026-07-28T00:00:00"/>
    <m/>
    <m/>
    <x v="2"/>
    <n v="9968"/>
    <m/>
    <m/>
    <m/>
    <m/>
  </r>
  <r>
    <s v="cruceta"/>
    <x v="32"/>
    <n v="3"/>
    <s v="Und"/>
    <x v="0"/>
    <d v="2026-07-28T00:00:00"/>
    <m/>
    <m/>
    <x v="2"/>
    <n v="9968"/>
    <m/>
    <m/>
    <m/>
    <m/>
  </r>
  <r>
    <s v="angular"/>
    <x v="33"/>
    <n v="3"/>
    <s v="Und"/>
    <x v="0"/>
    <d v="2026-07-28T00:00:00"/>
    <m/>
    <m/>
    <x v="2"/>
    <n v="9968"/>
    <m/>
    <m/>
    <m/>
    <m/>
  </r>
  <r>
    <s v="perno2"/>
    <x v="55"/>
    <n v="14"/>
    <s v="Und"/>
    <x v="2"/>
    <d v="2026-07-28T00:00:00"/>
    <m/>
    <m/>
    <x v="2"/>
    <n v="9968"/>
    <m/>
    <m/>
    <m/>
    <m/>
  </r>
  <r>
    <s v="tuerca"/>
    <x v="27"/>
    <n v="14"/>
    <s v="Und"/>
    <x v="2"/>
    <d v="2026-07-28T00:00:00"/>
    <m/>
    <m/>
    <x v="2"/>
    <n v="9968"/>
    <m/>
    <m/>
    <m/>
    <m/>
  </r>
  <r>
    <s v="brazo1"/>
    <x v="21"/>
    <n v="18"/>
    <s v="Und"/>
    <x v="0"/>
    <d v="2026-07-16T00:00:00"/>
    <m/>
    <m/>
    <x v="2"/>
    <n v="9971"/>
    <m/>
    <m/>
    <m/>
    <m/>
  </r>
  <r>
    <s v="tapa2"/>
    <x v="14"/>
    <n v="1"/>
    <s v="Und"/>
    <x v="2"/>
    <d v="2026-07-22T00:00:00"/>
    <m/>
    <m/>
    <x v="2"/>
    <n v="9971"/>
    <m/>
    <n v="2261944"/>
    <n v="13"/>
    <m/>
  </r>
  <r>
    <s v="tapa2"/>
    <x v="14"/>
    <n v="1"/>
    <s v="Und"/>
    <x v="2"/>
    <d v="2026-07-22T00:00:00"/>
    <m/>
    <m/>
    <x v="2"/>
    <n v="9971"/>
    <m/>
    <n v="2261901"/>
    <n v="19"/>
    <m/>
  </r>
  <r>
    <s v="marco"/>
    <x v="30"/>
    <n v="1"/>
    <s v="Und"/>
    <x v="2"/>
    <d v="2026-07-22T00:00:00"/>
    <m/>
    <m/>
    <x v="2"/>
    <n v="9971"/>
    <m/>
    <n v="2261944"/>
    <n v="13"/>
    <m/>
  </r>
  <r>
    <s v="marco"/>
    <x v="30"/>
    <n v="1"/>
    <s v="Und"/>
    <x v="2"/>
    <d v="2026-07-22T00:00:00"/>
    <m/>
    <m/>
    <x v="2"/>
    <n v="9971"/>
    <m/>
    <n v="2261901"/>
    <n v="19"/>
    <m/>
  </r>
  <r>
    <s v="ciega1"/>
    <x v="44"/>
    <n v="2"/>
    <s v="Und"/>
    <x v="2"/>
    <m/>
    <m/>
    <m/>
    <x v="2"/>
    <n v="9972"/>
    <m/>
    <n v="2304333"/>
    <n v="8"/>
    <m/>
  </r>
  <r>
    <s v="alambre 14"/>
    <x v="40"/>
    <n v="16"/>
    <s v="Mts"/>
    <x v="2"/>
    <m/>
    <m/>
    <m/>
    <x v="2"/>
    <n v="9972"/>
    <m/>
    <n v="2304333"/>
    <n v="8"/>
    <m/>
  </r>
  <r>
    <s v="alambre 14"/>
    <x v="40"/>
    <n v="16"/>
    <s v="Mts"/>
    <x v="2"/>
    <m/>
    <m/>
    <m/>
    <x v="2"/>
    <n v="9972"/>
    <m/>
    <n v="1901974"/>
    <n v="13"/>
    <m/>
  </r>
  <r>
    <s v="angular"/>
    <x v="33"/>
    <n v="1"/>
    <s v="Und"/>
    <x v="2"/>
    <m/>
    <m/>
    <m/>
    <x v="2"/>
    <n v="9972"/>
    <m/>
    <n v="2304333"/>
    <n v="9"/>
    <m/>
  </r>
  <r>
    <s v="angular"/>
    <x v="33"/>
    <n v="1"/>
    <s v="Und"/>
    <x v="2"/>
    <m/>
    <m/>
    <m/>
    <x v="2"/>
    <n v="9972"/>
    <m/>
    <n v="1901974"/>
    <n v="13"/>
    <m/>
  </r>
  <r>
    <s v="#4"/>
    <x v="41"/>
    <n v="32"/>
    <s v="Mts"/>
    <x v="2"/>
    <m/>
    <m/>
    <m/>
    <x v="2"/>
    <n v="9972"/>
    <m/>
    <n v="2304333"/>
    <n v="8"/>
    <m/>
  </r>
  <r>
    <s v="#4"/>
    <x v="41"/>
    <n v="32"/>
    <s v="Mts"/>
    <x v="2"/>
    <m/>
    <m/>
    <m/>
    <x v="2"/>
    <n v="9972"/>
    <m/>
    <n v="1901974"/>
    <n v="13"/>
    <m/>
  </r>
  <r>
    <s v="3*14"/>
    <x v="3"/>
    <n v="16"/>
    <s v="Mts"/>
    <x v="2"/>
    <m/>
    <m/>
    <m/>
    <x v="2"/>
    <n v="9972"/>
    <m/>
    <n v="6774521"/>
    <n v="1"/>
    <m/>
  </r>
  <r>
    <s v="3*14"/>
    <x v="3"/>
    <n v="16"/>
    <s v="Mts"/>
    <x v="2"/>
    <m/>
    <m/>
    <m/>
    <x v="2"/>
    <n v="9972"/>
    <m/>
    <n v="1901834"/>
    <n v="2"/>
    <m/>
  </r>
  <r>
    <s v="3*14"/>
    <x v="3"/>
    <n v="16"/>
    <s v="Mts"/>
    <x v="2"/>
    <m/>
    <m/>
    <m/>
    <x v="2"/>
    <n v="9972"/>
    <m/>
    <n v="2304295"/>
    <n v="4"/>
    <m/>
  </r>
  <r>
    <s v="3*14"/>
    <x v="3"/>
    <n v="16"/>
    <s v="Mts"/>
    <x v="2"/>
    <m/>
    <m/>
    <m/>
    <x v="2"/>
    <n v="9972"/>
    <m/>
    <n v="1902016"/>
    <n v="6"/>
    <m/>
  </r>
  <r>
    <s v="3*14"/>
    <x v="3"/>
    <n v="16"/>
    <s v="Mts"/>
    <x v="2"/>
    <m/>
    <m/>
    <m/>
    <x v="2"/>
    <n v="9972"/>
    <m/>
    <n v="1901923"/>
    <n v="12"/>
    <m/>
  </r>
  <r>
    <s v="3*14"/>
    <x v="3"/>
    <n v="16"/>
    <s v="Mts"/>
    <x v="2"/>
    <m/>
    <m/>
    <m/>
    <x v="2"/>
    <n v="9972"/>
    <m/>
    <n v="1901893"/>
    <n v="17"/>
    <m/>
  </r>
  <r>
    <s v="3*14"/>
    <x v="3"/>
    <n v="16"/>
    <s v="Mts"/>
    <x v="2"/>
    <m/>
    <m/>
    <m/>
    <x v="2"/>
    <n v="9972"/>
    <m/>
    <n v="1901885"/>
    <n v="20"/>
    <m/>
  </r>
  <r>
    <s v="super23"/>
    <x v="45"/>
    <n v="1"/>
    <s v="Und"/>
    <x v="2"/>
    <m/>
    <m/>
    <m/>
    <x v="2"/>
    <n v="9972"/>
    <m/>
    <m/>
    <m/>
    <m/>
  </r>
  <r>
    <s v="bandit"/>
    <x v="4"/>
    <n v="3"/>
    <s v="Mts"/>
    <x v="2"/>
    <m/>
    <m/>
    <m/>
    <x v="2"/>
    <n v="9972"/>
    <m/>
    <n v="6774521"/>
    <n v="1"/>
    <m/>
  </r>
  <r>
    <s v="bandit"/>
    <x v="4"/>
    <n v="3"/>
    <s v="Mts"/>
    <x v="2"/>
    <m/>
    <m/>
    <m/>
    <x v="2"/>
    <n v="9972"/>
    <m/>
    <n v="2304333"/>
    <n v="8"/>
    <m/>
  </r>
  <r>
    <s v="bandit"/>
    <x v="4"/>
    <n v="3"/>
    <s v="Mts"/>
    <x v="2"/>
    <m/>
    <m/>
    <m/>
    <x v="2"/>
    <n v="9972"/>
    <m/>
    <n v="1901974"/>
    <n v="13"/>
    <m/>
  </r>
  <r>
    <s v="conec1"/>
    <x v="6"/>
    <n v="4"/>
    <s v="Und"/>
    <x v="2"/>
    <m/>
    <m/>
    <m/>
    <x v="2"/>
    <n v="9972"/>
    <m/>
    <n v="2304333"/>
    <n v="8"/>
    <m/>
  </r>
  <r>
    <s v="conec1"/>
    <x v="6"/>
    <n v="2"/>
    <s v="Und"/>
    <x v="2"/>
    <m/>
    <m/>
    <m/>
    <x v="2"/>
    <n v="9972"/>
    <m/>
    <n v="1901974"/>
    <n v="13"/>
    <m/>
  </r>
  <r>
    <s v="conec3"/>
    <x v="29"/>
    <n v="1"/>
    <s v="Und"/>
    <x v="2"/>
    <m/>
    <m/>
    <m/>
    <x v="2"/>
    <n v="9972"/>
    <m/>
    <n v="1901834"/>
    <n v="2"/>
    <m/>
  </r>
  <r>
    <s v="conec3"/>
    <x v="29"/>
    <n v="1"/>
    <s v="Und"/>
    <x v="2"/>
    <m/>
    <m/>
    <m/>
    <x v="2"/>
    <n v="9972"/>
    <m/>
    <n v="2304295"/>
    <n v="4"/>
    <m/>
  </r>
  <r>
    <s v="conec3"/>
    <x v="29"/>
    <n v="1"/>
    <s v="Und"/>
    <x v="2"/>
    <m/>
    <m/>
    <m/>
    <x v="2"/>
    <n v="9972"/>
    <m/>
    <n v="1902016"/>
    <n v="6"/>
    <m/>
  </r>
  <r>
    <s v="conec3"/>
    <x v="29"/>
    <n v="1"/>
    <s v="Und"/>
    <x v="2"/>
    <m/>
    <m/>
    <m/>
    <x v="2"/>
    <n v="9972"/>
    <m/>
    <n v="2304333"/>
    <n v="8"/>
    <m/>
  </r>
  <r>
    <s v="conec3"/>
    <x v="29"/>
    <n v="1"/>
    <s v="Und"/>
    <x v="2"/>
    <m/>
    <m/>
    <m/>
    <x v="2"/>
    <n v="9972"/>
    <m/>
    <n v="1901923"/>
    <n v="12"/>
    <m/>
  </r>
  <r>
    <s v="conec3"/>
    <x v="29"/>
    <n v="1"/>
    <s v="Und"/>
    <x v="2"/>
    <m/>
    <m/>
    <m/>
    <x v="2"/>
    <n v="9972"/>
    <m/>
    <n v="1901974"/>
    <n v="13"/>
    <m/>
  </r>
  <r>
    <s v="conec3"/>
    <x v="29"/>
    <n v="1"/>
    <s v="Und"/>
    <x v="2"/>
    <m/>
    <m/>
    <m/>
    <x v="2"/>
    <n v="9972"/>
    <m/>
    <n v="1901893"/>
    <n v="17"/>
    <m/>
  </r>
  <r>
    <s v="conec3"/>
    <x v="29"/>
    <n v="1"/>
    <s v="Und"/>
    <x v="2"/>
    <m/>
    <m/>
    <m/>
    <x v="2"/>
    <n v="9972"/>
    <m/>
    <n v="1901885"/>
    <n v="20"/>
    <m/>
  </r>
  <r>
    <s v="conec2"/>
    <x v="7"/>
    <n v="3"/>
    <s v="Und"/>
    <x v="2"/>
    <m/>
    <m/>
    <m/>
    <x v="2"/>
    <n v="9972"/>
    <m/>
    <n v="6774521"/>
    <n v="1"/>
    <m/>
  </r>
  <r>
    <s v="conec2"/>
    <x v="7"/>
    <n v="3"/>
    <s v="Und"/>
    <x v="2"/>
    <m/>
    <m/>
    <m/>
    <x v="2"/>
    <n v="9972"/>
    <m/>
    <n v="1901834"/>
    <n v="2"/>
    <m/>
  </r>
  <r>
    <s v="conec2"/>
    <x v="7"/>
    <n v="3"/>
    <s v="Und"/>
    <x v="2"/>
    <m/>
    <m/>
    <m/>
    <x v="2"/>
    <n v="9972"/>
    <m/>
    <n v="2304295"/>
    <n v="4"/>
    <m/>
  </r>
  <r>
    <s v="conec2"/>
    <x v="7"/>
    <n v="3"/>
    <s v="Und"/>
    <x v="2"/>
    <m/>
    <m/>
    <m/>
    <x v="2"/>
    <n v="9972"/>
    <m/>
    <n v="1902016"/>
    <n v="6"/>
    <m/>
  </r>
  <r>
    <s v="conec2"/>
    <x v="7"/>
    <n v="1"/>
    <s v="Und"/>
    <x v="2"/>
    <m/>
    <m/>
    <m/>
    <x v="2"/>
    <n v="9972"/>
    <m/>
    <n v="2304333"/>
    <n v="8"/>
    <m/>
  </r>
  <r>
    <s v="conec2"/>
    <x v="7"/>
    <n v="3"/>
    <s v="Und"/>
    <x v="2"/>
    <m/>
    <m/>
    <m/>
    <x v="2"/>
    <n v="9972"/>
    <m/>
    <n v="1901923"/>
    <n v="12"/>
    <m/>
  </r>
  <r>
    <s v="conec2"/>
    <x v="7"/>
    <n v="1"/>
    <s v="Und"/>
    <x v="2"/>
    <m/>
    <m/>
    <m/>
    <x v="2"/>
    <n v="9972"/>
    <m/>
    <n v="1901974"/>
    <n v="13"/>
    <m/>
  </r>
  <r>
    <s v="conec2"/>
    <x v="7"/>
    <n v="3"/>
    <s v="Und"/>
    <x v="2"/>
    <m/>
    <m/>
    <m/>
    <x v="2"/>
    <n v="9972"/>
    <m/>
    <n v="1901893"/>
    <n v="17"/>
    <m/>
  </r>
  <r>
    <s v="conec2"/>
    <x v="7"/>
    <n v="3"/>
    <s v="Und"/>
    <x v="2"/>
    <m/>
    <m/>
    <m/>
    <x v="2"/>
    <n v="9972"/>
    <m/>
    <n v="1888587"/>
    <n v="19"/>
    <m/>
  </r>
  <r>
    <s v="conec2"/>
    <x v="7"/>
    <n v="3"/>
    <s v="Und"/>
    <x v="2"/>
    <m/>
    <m/>
    <m/>
    <x v="2"/>
    <n v="9972"/>
    <m/>
    <n v="1901885"/>
    <n v="20"/>
    <m/>
  </r>
  <r>
    <s v="cruceta"/>
    <x v="32"/>
    <n v="1"/>
    <s v="Und"/>
    <x v="2"/>
    <m/>
    <m/>
    <m/>
    <x v="2"/>
    <n v="9972"/>
    <m/>
    <n v="2304333"/>
    <n v="9"/>
    <m/>
  </r>
  <r>
    <s v="cruceta"/>
    <x v="32"/>
    <n v="1"/>
    <s v="Und"/>
    <x v="2"/>
    <m/>
    <m/>
    <m/>
    <x v="2"/>
    <n v="9972"/>
    <m/>
    <n v="1901974"/>
    <n v="13"/>
    <m/>
  </r>
  <r>
    <s v="gel1"/>
    <x v="8"/>
    <n v="2"/>
    <s v="Und"/>
    <x v="2"/>
    <m/>
    <m/>
    <m/>
    <x v="2"/>
    <n v="9972"/>
    <m/>
    <n v="6774521"/>
    <n v="1"/>
    <m/>
  </r>
  <r>
    <s v="gel1"/>
    <x v="8"/>
    <n v="2"/>
    <s v="Und"/>
    <x v="2"/>
    <m/>
    <m/>
    <m/>
    <x v="2"/>
    <n v="9972"/>
    <m/>
    <n v="1901834"/>
    <n v="2"/>
    <m/>
  </r>
  <r>
    <s v="gel1"/>
    <x v="8"/>
    <n v="2"/>
    <s v="Und"/>
    <x v="2"/>
    <m/>
    <m/>
    <m/>
    <x v="2"/>
    <n v="9972"/>
    <m/>
    <n v="2304295"/>
    <n v="4"/>
    <m/>
  </r>
  <r>
    <s v="gel1"/>
    <x v="8"/>
    <n v="2"/>
    <s v="Und"/>
    <x v="2"/>
    <m/>
    <m/>
    <m/>
    <x v="2"/>
    <n v="9972"/>
    <m/>
    <n v="1902016"/>
    <n v="6"/>
    <m/>
  </r>
  <r>
    <s v="gel1"/>
    <x v="8"/>
    <n v="2"/>
    <s v="Und"/>
    <x v="2"/>
    <m/>
    <m/>
    <m/>
    <x v="2"/>
    <n v="9972"/>
    <m/>
    <n v="2304333"/>
    <n v="8"/>
    <m/>
  </r>
  <r>
    <s v="gel1"/>
    <x v="8"/>
    <n v="2"/>
    <s v="Und"/>
    <x v="2"/>
    <m/>
    <m/>
    <m/>
    <x v="2"/>
    <n v="9972"/>
    <m/>
    <n v="1901923"/>
    <n v="12"/>
    <m/>
  </r>
  <r>
    <s v="gel1"/>
    <x v="8"/>
    <n v="2"/>
    <s v="Und"/>
    <x v="2"/>
    <m/>
    <m/>
    <m/>
    <x v="2"/>
    <n v="9972"/>
    <m/>
    <n v="1901974"/>
    <n v="13"/>
    <m/>
  </r>
  <r>
    <s v="gel1"/>
    <x v="8"/>
    <n v="2"/>
    <s v="Und"/>
    <x v="2"/>
    <m/>
    <m/>
    <m/>
    <x v="2"/>
    <n v="9972"/>
    <m/>
    <n v="1901893"/>
    <n v="17"/>
    <m/>
  </r>
  <r>
    <s v="gel1"/>
    <x v="8"/>
    <n v="2"/>
    <s v="Und"/>
    <x v="2"/>
    <m/>
    <m/>
    <m/>
    <x v="2"/>
    <n v="9972"/>
    <m/>
    <n v="1901885"/>
    <n v="20"/>
    <m/>
  </r>
  <r>
    <s v="grillete"/>
    <x v="24"/>
    <n v="2"/>
    <s v="Und"/>
    <x v="2"/>
    <m/>
    <m/>
    <m/>
    <x v="2"/>
    <n v="9972"/>
    <m/>
    <n v="2304333"/>
    <n v="8"/>
    <m/>
  </r>
  <r>
    <s v="cooper"/>
    <x v="28"/>
    <n v="1"/>
    <s v="Und"/>
    <x v="2"/>
    <m/>
    <m/>
    <m/>
    <x v="2"/>
    <n v="9972"/>
    <m/>
    <n v="6774521"/>
    <n v="1"/>
    <m/>
  </r>
  <r>
    <s v="cooper"/>
    <x v="28"/>
    <n v="1"/>
    <s v="Und"/>
    <x v="2"/>
    <m/>
    <m/>
    <m/>
    <x v="2"/>
    <n v="9972"/>
    <m/>
    <n v="1902016"/>
    <n v="6"/>
    <m/>
  </r>
  <r>
    <s v="cooper"/>
    <x v="28"/>
    <n v="1"/>
    <s v="Und"/>
    <x v="2"/>
    <m/>
    <m/>
    <m/>
    <x v="2"/>
    <n v="9972"/>
    <m/>
    <n v="2304333"/>
    <n v="8"/>
    <m/>
  </r>
  <r>
    <s v="hebilla"/>
    <x v="5"/>
    <n v="3"/>
    <s v="Und"/>
    <x v="2"/>
    <m/>
    <m/>
    <m/>
    <x v="2"/>
    <n v="9972"/>
    <m/>
    <n v="6774521"/>
    <n v="1"/>
    <m/>
  </r>
  <r>
    <s v="hebilla"/>
    <x v="5"/>
    <n v="3"/>
    <s v="Und"/>
    <x v="2"/>
    <m/>
    <m/>
    <m/>
    <x v="2"/>
    <n v="9972"/>
    <m/>
    <n v="2304333"/>
    <n v="8"/>
    <m/>
  </r>
  <r>
    <s v="hebilla"/>
    <x v="5"/>
    <n v="3"/>
    <s v="Und"/>
    <x v="2"/>
    <m/>
    <m/>
    <m/>
    <x v="2"/>
    <n v="9972"/>
    <m/>
    <n v="1901974"/>
    <n v="13"/>
    <m/>
  </r>
  <r>
    <s v="tubo 3"/>
    <x v="12"/>
    <n v="0.3"/>
    <s v="Mts"/>
    <x v="2"/>
    <m/>
    <m/>
    <m/>
    <x v="2"/>
    <n v="9972"/>
    <m/>
    <n v="6774521"/>
    <n v="1"/>
    <m/>
  </r>
  <r>
    <s v="tubo 3"/>
    <x v="12"/>
    <n v="0.3"/>
    <s v="Mts"/>
    <x v="2"/>
    <m/>
    <m/>
    <m/>
    <x v="2"/>
    <n v="9972"/>
    <m/>
    <n v="1901834"/>
    <n v="2"/>
    <m/>
  </r>
  <r>
    <s v="tubo 3"/>
    <x v="12"/>
    <n v="0.3"/>
    <s v="Mts"/>
    <x v="2"/>
    <m/>
    <m/>
    <m/>
    <x v="2"/>
    <n v="9972"/>
    <m/>
    <n v="2304295"/>
    <n v="4"/>
    <m/>
  </r>
  <r>
    <s v="tubo 3"/>
    <x v="12"/>
    <n v="0.3"/>
    <s v="Mts"/>
    <x v="2"/>
    <m/>
    <m/>
    <m/>
    <x v="2"/>
    <n v="9972"/>
    <m/>
    <n v="1902016"/>
    <n v="6"/>
    <m/>
  </r>
  <r>
    <s v="tubo 3"/>
    <x v="12"/>
    <n v="0.3"/>
    <s v="Mts"/>
    <x v="2"/>
    <m/>
    <m/>
    <m/>
    <x v="2"/>
    <n v="9972"/>
    <m/>
    <n v="2304333"/>
    <n v="8"/>
    <m/>
  </r>
  <r>
    <s v="tubo 3"/>
    <x v="12"/>
    <n v="1"/>
    <s v="Mts"/>
    <x v="2"/>
    <m/>
    <m/>
    <m/>
    <x v="2"/>
    <n v="9972"/>
    <m/>
    <n v="1901923"/>
    <n v="12"/>
    <m/>
  </r>
  <r>
    <s v="tubo 3"/>
    <x v="12"/>
    <n v="0.3"/>
    <s v="Mts"/>
    <x v="2"/>
    <m/>
    <m/>
    <m/>
    <x v="2"/>
    <n v="9972"/>
    <m/>
    <n v="1901974"/>
    <n v="13"/>
    <m/>
  </r>
  <r>
    <s v="tubo 3"/>
    <x v="12"/>
    <n v="0.3"/>
    <s v="Mts"/>
    <x v="2"/>
    <m/>
    <m/>
    <m/>
    <x v="2"/>
    <n v="9972"/>
    <m/>
    <n v="1901893"/>
    <n v="17"/>
    <m/>
  </r>
  <r>
    <s v="tubo 3"/>
    <x v="12"/>
    <n v="1"/>
    <s v="Mts"/>
    <x v="2"/>
    <m/>
    <m/>
    <m/>
    <x v="2"/>
    <n v="9972"/>
    <m/>
    <n v="1901885"/>
    <n v="20"/>
    <m/>
  </r>
  <r>
    <s v="tapa2"/>
    <x v="14"/>
    <n v="1"/>
    <s v="Und"/>
    <x v="2"/>
    <m/>
    <m/>
    <m/>
    <x v="2"/>
    <n v="9972"/>
    <m/>
    <n v="6774521"/>
    <n v="1"/>
    <m/>
  </r>
  <r>
    <s v="tapa2"/>
    <x v="14"/>
    <n v="1"/>
    <s v="Und"/>
    <x v="2"/>
    <m/>
    <m/>
    <m/>
    <x v="2"/>
    <n v="9972"/>
    <m/>
    <n v="1901834"/>
    <n v="2"/>
    <m/>
  </r>
  <r>
    <s v="tapa2"/>
    <x v="14"/>
    <n v="1"/>
    <s v="Und"/>
    <x v="2"/>
    <m/>
    <m/>
    <m/>
    <x v="2"/>
    <n v="9972"/>
    <m/>
    <n v="1902016"/>
    <n v="6"/>
    <m/>
  </r>
  <r>
    <s v="tapa2"/>
    <x v="14"/>
    <n v="1"/>
    <s v="Und"/>
    <x v="2"/>
    <m/>
    <m/>
    <m/>
    <x v="2"/>
    <n v="9972"/>
    <m/>
    <n v="2304333"/>
    <n v="8"/>
    <m/>
  </r>
  <r>
    <s v="tapa2"/>
    <x v="14"/>
    <n v="1"/>
    <s v="Und"/>
    <x v="2"/>
    <m/>
    <m/>
    <m/>
    <x v="2"/>
    <n v="9972"/>
    <m/>
    <n v="1901923"/>
    <n v="12"/>
    <m/>
  </r>
  <r>
    <s v="tapa2"/>
    <x v="14"/>
    <n v="1"/>
    <s v="Und"/>
    <x v="2"/>
    <m/>
    <m/>
    <m/>
    <x v="2"/>
    <n v="9972"/>
    <m/>
    <n v="1901974"/>
    <n v="13"/>
    <m/>
  </r>
  <r>
    <s v="tapa2"/>
    <x v="14"/>
    <n v="1"/>
    <s v="Und"/>
    <x v="2"/>
    <m/>
    <m/>
    <m/>
    <x v="2"/>
    <n v="9972"/>
    <m/>
    <n v="1901893"/>
    <n v="17"/>
    <m/>
  </r>
  <r>
    <s v="tapa2"/>
    <x v="14"/>
    <n v="1"/>
    <s v="Und"/>
    <x v="2"/>
    <m/>
    <m/>
    <m/>
    <x v="2"/>
    <n v="9972"/>
    <m/>
    <n v="1901885"/>
    <n v="20"/>
    <m/>
  </r>
  <r>
    <s v="marco"/>
    <x v="30"/>
    <n v="1"/>
    <s v="Und"/>
    <x v="2"/>
    <m/>
    <m/>
    <m/>
    <x v="2"/>
    <n v="9972"/>
    <m/>
    <n v="6774521"/>
    <n v="1"/>
    <m/>
  </r>
  <r>
    <s v="marco"/>
    <x v="30"/>
    <n v="1"/>
    <s v="Und"/>
    <x v="2"/>
    <m/>
    <m/>
    <m/>
    <x v="2"/>
    <n v="9972"/>
    <m/>
    <n v="1901834"/>
    <n v="2"/>
    <m/>
  </r>
  <r>
    <s v="marco"/>
    <x v="30"/>
    <n v="1"/>
    <s v="Und"/>
    <x v="2"/>
    <m/>
    <m/>
    <m/>
    <x v="2"/>
    <n v="9972"/>
    <m/>
    <n v="1902016"/>
    <n v="6"/>
    <m/>
  </r>
  <r>
    <s v="marco"/>
    <x v="30"/>
    <n v="1"/>
    <s v="Und"/>
    <x v="2"/>
    <m/>
    <m/>
    <m/>
    <x v="2"/>
    <n v="9972"/>
    <m/>
    <n v="2304333"/>
    <n v="8"/>
    <m/>
  </r>
  <r>
    <s v="marco"/>
    <x v="30"/>
    <n v="1"/>
    <s v="Und"/>
    <x v="2"/>
    <m/>
    <m/>
    <m/>
    <x v="2"/>
    <n v="9972"/>
    <m/>
    <n v="1901923"/>
    <n v="12"/>
    <m/>
  </r>
  <r>
    <s v="marco"/>
    <x v="30"/>
    <n v="1"/>
    <s v="Und"/>
    <x v="2"/>
    <m/>
    <m/>
    <m/>
    <x v="2"/>
    <n v="9972"/>
    <m/>
    <n v="1901974"/>
    <n v="13"/>
    <m/>
  </r>
  <r>
    <s v="marco"/>
    <x v="30"/>
    <n v="1"/>
    <s v="Und"/>
    <x v="2"/>
    <m/>
    <m/>
    <m/>
    <x v="2"/>
    <n v="9972"/>
    <m/>
    <n v="1901893"/>
    <n v="17"/>
    <m/>
  </r>
  <r>
    <s v="marco"/>
    <x v="30"/>
    <n v="1"/>
    <s v="Und"/>
    <x v="2"/>
    <m/>
    <m/>
    <m/>
    <x v="2"/>
    <n v="9972"/>
    <m/>
    <n v="1901885"/>
    <n v="20"/>
    <m/>
  </r>
  <r>
    <s v="conduit"/>
    <x v="37"/>
    <n v="2"/>
    <s v="Und"/>
    <x v="2"/>
    <m/>
    <m/>
    <m/>
    <x v="2"/>
    <n v="9972"/>
    <m/>
    <n v="6774521"/>
    <n v="1"/>
    <m/>
  </r>
  <r>
    <s v="conduit"/>
    <x v="37"/>
    <n v="2"/>
    <s v="Und"/>
    <x v="2"/>
    <m/>
    <m/>
    <m/>
    <x v="2"/>
    <n v="9972"/>
    <m/>
    <n v="2304333"/>
    <n v="8"/>
    <m/>
  </r>
  <r>
    <s v="conduit"/>
    <x v="37"/>
    <n v="2"/>
    <s v="Und"/>
    <x v="2"/>
    <m/>
    <m/>
    <m/>
    <x v="2"/>
    <n v="9972"/>
    <m/>
    <n v="1901974"/>
    <n v="13"/>
    <m/>
  </r>
  <r>
    <s v="lum-110"/>
    <x v="20"/>
    <n v="1"/>
    <s v="Und"/>
    <x v="2"/>
    <m/>
    <s v="CURRENT"/>
    <s v="6G00204"/>
    <x v="2"/>
    <n v="9972"/>
    <m/>
    <n v="6774521"/>
    <n v="1"/>
    <m/>
  </r>
  <r>
    <s v="lum-110"/>
    <x v="20"/>
    <n v="1"/>
    <s v="Und"/>
    <x v="2"/>
    <m/>
    <s v="CURRENT"/>
    <s v="6G00143"/>
    <x v="2"/>
    <n v="9972"/>
    <m/>
    <n v="1901834"/>
    <n v="2"/>
    <m/>
  </r>
  <r>
    <s v="lum-110"/>
    <x v="20"/>
    <n v="1"/>
    <s v="Und"/>
    <x v="2"/>
    <m/>
    <s v="CURRENT"/>
    <s v="6G00199"/>
    <x v="2"/>
    <n v="9972"/>
    <m/>
    <n v="1901834"/>
    <n v="3"/>
    <m/>
  </r>
  <r>
    <s v="lum-110"/>
    <x v="20"/>
    <n v="1"/>
    <s v="Und"/>
    <x v="2"/>
    <m/>
    <s v="CURRENT"/>
    <s v="6G00154"/>
    <x v="2"/>
    <n v="9972"/>
    <m/>
    <n v="2304295"/>
    <n v="4"/>
    <m/>
  </r>
  <r>
    <s v="lum-110"/>
    <x v="20"/>
    <n v="1"/>
    <s v="Und"/>
    <x v="2"/>
    <m/>
    <s v="CURRENT"/>
    <s v="6G00200"/>
    <x v="2"/>
    <n v="9972"/>
    <m/>
    <n v="2304295"/>
    <n v="5"/>
    <m/>
  </r>
  <r>
    <s v="lum-110"/>
    <x v="20"/>
    <n v="1"/>
    <s v="Und"/>
    <x v="2"/>
    <m/>
    <s v="CURRENT"/>
    <s v="6G00183"/>
    <x v="2"/>
    <n v="9972"/>
    <m/>
    <n v="1902016"/>
    <n v="6"/>
    <m/>
  </r>
  <r>
    <s v="lum-110"/>
    <x v="20"/>
    <n v="1"/>
    <s v="Und"/>
    <x v="2"/>
    <m/>
    <s v="CURRENT"/>
    <s v="6G00176"/>
    <x v="2"/>
    <n v="9972"/>
    <m/>
    <n v="1902016"/>
    <n v="7"/>
    <m/>
  </r>
  <r>
    <s v="lum-110"/>
    <x v="20"/>
    <n v="1"/>
    <s v="Und"/>
    <x v="2"/>
    <m/>
    <s v="CURRENT"/>
    <s v="6G00170"/>
    <x v="2"/>
    <n v="9972"/>
    <m/>
    <n v="1901923"/>
    <n v="12"/>
    <m/>
  </r>
  <r>
    <s v="lum-110"/>
    <x v="20"/>
    <n v="1"/>
    <s v="Und"/>
    <x v="2"/>
    <m/>
    <s v="CURRENT"/>
    <s v="6G00166"/>
    <x v="2"/>
    <n v="9972"/>
    <m/>
    <n v="2304333"/>
    <n v="8"/>
    <m/>
  </r>
  <r>
    <s v="lum-110"/>
    <x v="20"/>
    <n v="1"/>
    <s v="Und"/>
    <x v="2"/>
    <m/>
    <s v="CURRENT"/>
    <s v="6G00192"/>
    <x v="2"/>
    <n v="9972"/>
    <m/>
    <n v="1901974"/>
    <n v="16"/>
    <m/>
  </r>
  <r>
    <s v="lum-110"/>
    <x v="20"/>
    <n v="1"/>
    <s v="Und"/>
    <x v="2"/>
    <m/>
    <s v="CURRENT"/>
    <s v="6G00174"/>
    <x v="2"/>
    <n v="9972"/>
    <m/>
    <n v="1901893"/>
    <n v="17"/>
    <m/>
  </r>
  <r>
    <s v="lum-110"/>
    <x v="20"/>
    <n v="1"/>
    <s v="Und"/>
    <x v="2"/>
    <m/>
    <s v="CURRENT"/>
    <s v="6G00138"/>
    <x v="2"/>
    <n v="9972"/>
    <m/>
    <n v="1901893"/>
    <n v="18"/>
    <m/>
  </r>
  <r>
    <s v="lum-110"/>
    <x v="20"/>
    <n v="1"/>
    <s v="Und"/>
    <x v="2"/>
    <m/>
    <s v="CURRENT"/>
    <s v="6G00171"/>
    <x v="2"/>
    <n v="9972"/>
    <m/>
    <n v="1888587"/>
    <n v="19"/>
    <m/>
  </r>
  <r>
    <s v="lum-110"/>
    <x v="20"/>
    <n v="1"/>
    <s v="Und"/>
    <x v="2"/>
    <m/>
    <s v="CURRENT"/>
    <s v="6G00147"/>
    <x v="2"/>
    <n v="9972"/>
    <m/>
    <n v="1901885"/>
    <n v="20"/>
    <m/>
  </r>
  <r>
    <s v="lum-110"/>
    <x v="20"/>
    <n v="1"/>
    <s v="Und"/>
    <x v="2"/>
    <m/>
    <s v="CURRENT"/>
    <s v="6G00175"/>
    <x v="2"/>
    <n v="9972"/>
    <m/>
    <n v="1901885"/>
    <n v="21"/>
    <m/>
  </r>
  <r>
    <s v="pro-190"/>
    <x v="19"/>
    <n v="1"/>
    <s v="Und"/>
    <x v="0"/>
    <d v="2026-07-18T00:00:00"/>
    <s v="CURRENT"/>
    <s v="6PD0311"/>
    <x v="2"/>
    <n v="9974"/>
    <m/>
    <m/>
    <m/>
    <m/>
  </r>
  <r>
    <s v="pro-190"/>
    <x v="19"/>
    <n v="1"/>
    <s v="Und"/>
    <x v="2"/>
    <m/>
    <s v="CURRENT"/>
    <s v="6PD0311"/>
    <x v="2"/>
    <n v="9974"/>
    <m/>
    <n v="1865323"/>
    <n v="21"/>
    <m/>
  </r>
  <r>
    <s v="pro-190"/>
    <x v="19"/>
    <n v="1"/>
    <s v="Und"/>
    <x v="0"/>
    <d v="2026-07-18T00:00:00"/>
    <s v="CURRENT"/>
    <s v="6PD0312"/>
    <x v="2"/>
    <n v="9974"/>
    <m/>
    <m/>
    <m/>
    <m/>
  </r>
  <r>
    <s v="pro-190"/>
    <x v="19"/>
    <n v="1"/>
    <s v="Und"/>
    <x v="2"/>
    <m/>
    <s v="CURRENT"/>
    <s v="6PD0312"/>
    <x v="2"/>
    <n v="9974"/>
    <m/>
    <n v="1865331"/>
    <n v="10"/>
    <m/>
  </r>
  <r>
    <s v="pro-190"/>
    <x v="19"/>
    <n v="1"/>
    <s v="Und"/>
    <x v="0"/>
    <d v="2026-07-18T00:00:00"/>
    <s v="CURRENT"/>
    <s v="6PD0313"/>
    <x v="2"/>
    <n v="9974"/>
    <m/>
    <m/>
    <m/>
    <m/>
  </r>
  <r>
    <s v="pro-190"/>
    <x v="19"/>
    <n v="1"/>
    <s v="Und"/>
    <x v="2"/>
    <m/>
    <s v="CURRENT"/>
    <s v="6PD0313"/>
    <x v="2"/>
    <n v="9974"/>
    <m/>
    <n v="1865331"/>
    <n v="8"/>
    <m/>
  </r>
  <r>
    <s v="conec3"/>
    <x v="29"/>
    <n v="1"/>
    <s v="Und"/>
    <x v="2"/>
    <m/>
    <m/>
    <m/>
    <x v="2"/>
    <n v="9972"/>
    <m/>
    <n v="6774521"/>
    <n v="1"/>
    <m/>
  </r>
  <r>
    <s v="Foto"/>
    <x v="15"/>
    <n v="1"/>
    <s v="Und"/>
    <x v="2"/>
    <m/>
    <m/>
    <m/>
    <x v="2"/>
    <n v="9972"/>
    <m/>
    <n v="6774521"/>
    <n v="1"/>
    <m/>
  </r>
  <r>
    <s v="Foto"/>
    <x v="15"/>
    <n v="1"/>
    <s v="Und"/>
    <x v="2"/>
    <m/>
    <m/>
    <m/>
    <x v="2"/>
    <n v="9972"/>
    <m/>
    <n v="1901834"/>
    <n v="2"/>
    <m/>
  </r>
  <r>
    <s v="grillete"/>
    <x v="24"/>
    <n v="2"/>
    <s v="Und"/>
    <x v="2"/>
    <m/>
    <m/>
    <m/>
    <x v="2"/>
    <n v="9972"/>
    <m/>
    <n v="6774521"/>
    <n v="1"/>
    <m/>
  </r>
  <r>
    <s v="Foto"/>
    <x v="15"/>
    <n v="1"/>
    <s v="Und"/>
    <x v="2"/>
    <m/>
    <m/>
    <m/>
    <x v="2"/>
    <n v="9972"/>
    <m/>
    <n v="1901834"/>
    <n v="3"/>
    <m/>
  </r>
  <r>
    <s v="Foto"/>
    <x v="15"/>
    <n v="1"/>
    <s v="Und"/>
    <x v="2"/>
    <m/>
    <m/>
    <m/>
    <x v="2"/>
    <n v="9972"/>
    <m/>
    <n v="2304295"/>
    <n v="4"/>
    <m/>
  </r>
  <r>
    <s v="Foto"/>
    <x v="15"/>
    <n v="1"/>
    <s v="Und"/>
    <x v="2"/>
    <m/>
    <m/>
    <m/>
    <x v="2"/>
    <n v="9972"/>
    <m/>
    <n v="2304295"/>
    <n v="5"/>
    <m/>
  </r>
  <r>
    <s v="Foto"/>
    <x v="15"/>
    <n v="1"/>
    <s v="Und"/>
    <x v="2"/>
    <m/>
    <m/>
    <m/>
    <x v="2"/>
    <n v="9972"/>
    <m/>
    <n v="1902016"/>
    <n v="6"/>
    <m/>
  </r>
  <r>
    <s v="Foto"/>
    <x v="15"/>
    <n v="1"/>
    <s v="Und"/>
    <x v="2"/>
    <m/>
    <m/>
    <m/>
    <x v="2"/>
    <n v="9972"/>
    <m/>
    <n v="1902016"/>
    <n v="7"/>
    <m/>
  </r>
  <r>
    <s v="Foto"/>
    <x v="15"/>
    <n v="1"/>
    <s v="Und"/>
    <x v="2"/>
    <m/>
    <m/>
    <m/>
    <x v="2"/>
    <n v="9972"/>
    <m/>
    <n v="2304333"/>
    <n v="8"/>
    <m/>
  </r>
  <r>
    <s v="Foto"/>
    <x v="15"/>
    <n v="1"/>
    <s v="Und"/>
    <x v="2"/>
    <m/>
    <m/>
    <m/>
    <x v="2"/>
    <n v="9972"/>
    <m/>
    <n v="2304333"/>
    <n v="9"/>
    <m/>
  </r>
  <r>
    <s v="Foto"/>
    <x v="15"/>
    <n v="1"/>
    <s v="Und"/>
    <x v="2"/>
    <m/>
    <m/>
    <m/>
    <x v="2"/>
    <n v="9972"/>
    <m/>
    <n v="2304333"/>
    <n v="10"/>
    <m/>
  </r>
  <r>
    <s v="Foto"/>
    <x v="15"/>
    <n v="1"/>
    <s v="Und"/>
    <x v="2"/>
    <m/>
    <m/>
    <m/>
    <x v="2"/>
    <n v="9972"/>
    <m/>
    <n v="2304333"/>
    <n v="11"/>
    <m/>
  </r>
  <r>
    <s v="Foto"/>
    <x v="15"/>
    <n v="1"/>
    <s v="Und"/>
    <x v="2"/>
    <m/>
    <m/>
    <m/>
    <x v="2"/>
    <n v="9972"/>
    <m/>
    <n v="1901923"/>
    <n v="12"/>
    <m/>
  </r>
  <r>
    <s v="Foto"/>
    <x v="15"/>
    <n v="1"/>
    <s v="Und"/>
    <x v="2"/>
    <m/>
    <m/>
    <m/>
    <x v="2"/>
    <n v="9972"/>
    <m/>
    <n v="1901974"/>
    <n v="13"/>
    <m/>
  </r>
  <r>
    <s v="Foto"/>
    <x v="15"/>
    <n v="1"/>
    <s v="Und"/>
    <x v="2"/>
    <m/>
    <m/>
    <m/>
    <x v="2"/>
    <n v="9972"/>
    <m/>
    <n v="1901974"/>
    <n v="14"/>
    <m/>
  </r>
  <r>
    <s v="Foto"/>
    <x v="15"/>
    <n v="1"/>
    <s v="Und"/>
    <x v="2"/>
    <m/>
    <m/>
    <m/>
    <x v="2"/>
    <n v="9972"/>
    <m/>
    <n v="1901974"/>
    <n v="15"/>
    <m/>
  </r>
  <r>
    <s v="Foto"/>
    <x v="15"/>
    <n v="1"/>
    <s v="Und"/>
    <x v="2"/>
    <m/>
    <m/>
    <m/>
    <x v="2"/>
    <n v="9972"/>
    <m/>
    <n v="1901974"/>
    <n v="16"/>
    <m/>
  </r>
  <r>
    <s v="Foto"/>
    <x v="15"/>
    <n v="1"/>
    <s v="Und"/>
    <x v="2"/>
    <m/>
    <m/>
    <m/>
    <x v="2"/>
    <n v="9972"/>
    <m/>
    <n v="1901893"/>
    <n v="17"/>
    <m/>
  </r>
  <r>
    <s v="Foto"/>
    <x v="15"/>
    <n v="1"/>
    <s v="Und"/>
    <x v="2"/>
    <m/>
    <m/>
    <m/>
    <x v="2"/>
    <n v="9972"/>
    <m/>
    <n v="1901893"/>
    <n v="18"/>
    <m/>
  </r>
  <r>
    <s v="Foto"/>
    <x v="15"/>
    <n v="1"/>
    <s v="Und"/>
    <x v="2"/>
    <m/>
    <m/>
    <m/>
    <x v="2"/>
    <n v="9972"/>
    <m/>
    <n v="1888587"/>
    <n v="19"/>
    <m/>
  </r>
  <r>
    <s v="Foto"/>
    <x v="15"/>
    <n v="1"/>
    <s v="Und"/>
    <x v="2"/>
    <m/>
    <m/>
    <m/>
    <x v="2"/>
    <n v="9972"/>
    <m/>
    <n v="1901885"/>
    <n v="20"/>
    <m/>
  </r>
  <r>
    <s v="Foto"/>
    <x v="15"/>
    <n v="1"/>
    <s v="Und"/>
    <x v="2"/>
    <m/>
    <m/>
    <m/>
    <x v="2"/>
    <n v="9972"/>
    <m/>
    <n v="1901885"/>
    <n v="21"/>
    <m/>
  </r>
  <r>
    <s v="conec1"/>
    <x v="6"/>
    <n v="3"/>
    <s v="Und"/>
    <x v="2"/>
    <m/>
    <m/>
    <m/>
    <x v="2"/>
    <n v="9973"/>
    <m/>
    <n v="1449451"/>
    <n v="1"/>
    <m/>
  </r>
  <r>
    <s v="conec1"/>
    <x v="6"/>
    <n v="3"/>
    <s v="Und"/>
    <x v="2"/>
    <m/>
    <m/>
    <m/>
    <x v="2"/>
    <n v="9973"/>
    <m/>
    <n v="1449486"/>
    <n v="2"/>
    <m/>
  </r>
  <r>
    <s v="conec1"/>
    <x v="6"/>
    <n v="3"/>
    <s v="Und"/>
    <x v="2"/>
    <m/>
    <m/>
    <m/>
    <x v="2"/>
    <n v="9973"/>
    <m/>
    <n v="1449494"/>
    <n v="3"/>
    <m/>
  </r>
  <r>
    <s v="conec1"/>
    <x v="6"/>
    <n v="3"/>
    <s v="Und"/>
    <x v="2"/>
    <m/>
    <m/>
    <m/>
    <x v="2"/>
    <n v="9973"/>
    <m/>
    <n v="1449508"/>
    <n v="4"/>
    <m/>
  </r>
  <r>
    <s v="conec1"/>
    <x v="6"/>
    <n v="3"/>
    <s v="Und"/>
    <x v="2"/>
    <m/>
    <m/>
    <m/>
    <x v="2"/>
    <n v="9973"/>
    <m/>
    <n v="1449516"/>
    <n v="5"/>
    <m/>
  </r>
  <r>
    <s v="conec1"/>
    <x v="6"/>
    <n v="3"/>
    <s v="Und"/>
    <x v="2"/>
    <m/>
    <m/>
    <m/>
    <x v="2"/>
    <n v="9973"/>
    <m/>
    <n v="1449524"/>
    <n v="6"/>
    <m/>
  </r>
  <r>
    <s v="conec1"/>
    <x v="6"/>
    <n v="3"/>
    <s v="Und"/>
    <x v="2"/>
    <m/>
    <m/>
    <m/>
    <x v="2"/>
    <n v="9973"/>
    <m/>
    <n v="1449532"/>
    <n v="7"/>
    <m/>
  </r>
  <r>
    <s v="conec1"/>
    <x v="6"/>
    <n v="3"/>
    <s v="Und"/>
    <x v="2"/>
    <m/>
    <m/>
    <m/>
    <x v="2"/>
    <n v="9973"/>
    <m/>
    <n v="1449541"/>
    <n v="8"/>
    <m/>
  </r>
  <r>
    <s v="conec1"/>
    <x v="6"/>
    <n v="8"/>
    <s v="Und"/>
    <x v="2"/>
    <m/>
    <m/>
    <m/>
    <x v="2"/>
    <n v="9973"/>
    <m/>
    <n v="1865315"/>
    <n v="14"/>
    <m/>
  </r>
  <r>
    <s v="Foto"/>
    <x v="15"/>
    <n v="1"/>
    <s v="Und"/>
    <x v="2"/>
    <m/>
    <m/>
    <m/>
    <x v="2"/>
    <n v="9973"/>
    <m/>
    <n v="1449451"/>
    <n v="1"/>
    <m/>
  </r>
  <r>
    <s v="Foto"/>
    <x v="15"/>
    <n v="1"/>
    <s v="Und"/>
    <x v="2"/>
    <m/>
    <m/>
    <m/>
    <x v="2"/>
    <n v="9973"/>
    <m/>
    <n v="1449486"/>
    <n v="2"/>
    <m/>
  </r>
  <r>
    <s v="Foto"/>
    <x v="15"/>
    <n v="1"/>
    <s v="Und"/>
    <x v="2"/>
    <m/>
    <m/>
    <m/>
    <x v="2"/>
    <n v="9973"/>
    <m/>
    <n v="1449494"/>
    <n v="3"/>
    <m/>
  </r>
  <r>
    <s v="Foto"/>
    <x v="15"/>
    <n v="1"/>
    <s v="Und"/>
    <x v="2"/>
    <m/>
    <m/>
    <m/>
    <x v="2"/>
    <n v="9973"/>
    <m/>
    <n v="1449508"/>
    <n v="4"/>
    <m/>
  </r>
  <r>
    <s v="Foto"/>
    <x v="15"/>
    <n v="1"/>
    <s v="Und"/>
    <x v="2"/>
    <m/>
    <m/>
    <m/>
    <x v="2"/>
    <n v="9973"/>
    <m/>
    <n v="1449516"/>
    <n v="5"/>
    <m/>
  </r>
  <r>
    <s v="Foto"/>
    <x v="15"/>
    <n v="1"/>
    <s v="Und"/>
    <x v="2"/>
    <m/>
    <m/>
    <m/>
    <x v="2"/>
    <n v="9973"/>
    <m/>
    <n v="1449524"/>
    <n v="6"/>
    <m/>
  </r>
  <r>
    <s v="Foto"/>
    <x v="15"/>
    <n v="1"/>
    <s v="Und"/>
    <x v="2"/>
    <m/>
    <m/>
    <m/>
    <x v="2"/>
    <n v="9973"/>
    <m/>
    <n v="1449532"/>
    <n v="7"/>
    <m/>
  </r>
  <r>
    <s v="Foto"/>
    <x v="15"/>
    <n v="1"/>
    <s v="Und"/>
    <x v="2"/>
    <m/>
    <m/>
    <m/>
    <x v="2"/>
    <n v="9973"/>
    <m/>
    <n v="1449541"/>
    <n v="8"/>
    <m/>
  </r>
  <r>
    <s v="Foto"/>
    <x v="15"/>
    <n v="1"/>
    <s v="Und"/>
    <x v="2"/>
    <m/>
    <m/>
    <m/>
    <x v="2"/>
    <n v="9973"/>
    <m/>
    <n v="9215255"/>
    <n v="9"/>
    <m/>
  </r>
  <r>
    <s v="Foto"/>
    <x v="15"/>
    <n v="1"/>
    <s v="Und"/>
    <x v="2"/>
    <m/>
    <m/>
    <m/>
    <x v="2"/>
    <n v="9973"/>
    <m/>
    <n v="1865315"/>
    <n v="10"/>
    <m/>
  </r>
  <r>
    <s v="Foto"/>
    <x v="15"/>
    <n v="1"/>
    <s v="Und"/>
    <x v="2"/>
    <m/>
    <m/>
    <m/>
    <x v="2"/>
    <n v="9973"/>
    <m/>
    <n v="1865315"/>
    <n v="11"/>
    <m/>
  </r>
  <r>
    <s v="Foto"/>
    <x v="15"/>
    <n v="1"/>
    <s v="Und"/>
    <x v="2"/>
    <m/>
    <m/>
    <m/>
    <x v="2"/>
    <n v="9973"/>
    <m/>
    <n v="1865315"/>
    <n v="12"/>
    <m/>
  </r>
  <r>
    <s v="Foto"/>
    <x v="15"/>
    <n v="1"/>
    <s v="Und"/>
    <x v="2"/>
    <m/>
    <m/>
    <m/>
    <x v="2"/>
    <n v="9973"/>
    <m/>
    <n v="1865315"/>
    <n v="13"/>
    <m/>
  </r>
  <r>
    <s v="Foto"/>
    <x v="15"/>
    <n v="1"/>
    <s v="Und"/>
    <x v="2"/>
    <m/>
    <m/>
    <m/>
    <x v="2"/>
    <n v="9973"/>
    <m/>
    <n v="1865315"/>
    <n v="14"/>
    <m/>
  </r>
  <r>
    <s v="Foto"/>
    <x v="15"/>
    <n v="1"/>
    <s v="Und"/>
    <x v="2"/>
    <m/>
    <m/>
    <m/>
    <x v="2"/>
    <n v="9973"/>
    <m/>
    <n v="1865315"/>
    <n v="15"/>
    <m/>
  </r>
  <r>
    <s v="Foto"/>
    <x v="15"/>
    <n v="1"/>
    <s v="Und"/>
    <x v="2"/>
    <m/>
    <m/>
    <m/>
    <x v="2"/>
    <n v="9973"/>
    <m/>
    <n v="1865315"/>
    <n v="16"/>
    <m/>
  </r>
  <r>
    <s v="Foto"/>
    <x v="15"/>
    <n v="1"/>
    <s v="Und"/>
    <x v="2"/>
    <m/>
    <m/>
    <m/>
    <x v="2"/>
    <n v="9973"/>
    <m/>
    <n v="1865315"/>
    <n v="17"/>
    <m/>
  </r>
  <r>
    <s v="lum-75"/>
    <x v="16"/>
    <n v="1"/>
    <s v="Und"/>
    <x v="2"/>
    <m/>
    <s v="CURRENT"/>
    <s v="6E00425"/>
    <x v="2"/>
    <n v="9973"/>
    <m/>
    <n v="1449451"/>
    <n v="1"/>
    <m/>
  </r>
  <r>
    <s v="lum-75"/>
    <x v="16"/>
    <n v="1"/>
    <s v="Und"/>
    <x v="2"/>
    <m/>
    <s v="CURRENT"/>
    <s v="6E00431"/>
    <x v="2"/>
    <n v="9973"/>
    <m/>
    <n v="1449486"/>
    <n v="2"/>
    <m/>
  </r>
  <r>
    <s v="lum-75"/>
    <x v="16"/>
    <n v="1"/>
    <s v="Und"/>
    <x v="2"/>
    <m/>
    <s v="CURRENT"/>
    <s v="6E00394"/>
    <x v="2"/>
    <n v="9973"/>
    <m/>
    <n v="1449494"/>
    <n v="3"/>
    <m/>
  </r>
  <r>
    <s v="lum-75"/>
    <x v="16"/>
    <n v="1"/>
    <s v="Und"/>
    <x v="2"/>
    <m/>
    <s v="CURRENT"/>
    <s v="6E00415"/>
    <x v="2"/>
    <n v="9973"/>
    <m/>
    <n v="1449508"/>
    <n v="4"/>
    <m/>
  </r>
  <r>
    <s v="lum-75"/>
    <x v="16"/>
    <n v="1"/>
    <s v="Und"/>
    <x v="2"/>
    <m/>
    <s v="CURRENT"/>
    <s v="6E00326"/>
    <x v="2"/>
    <n v="9973"/>
    <m/>
    <n v="1449516"/>
    <n v="5"/>
    <m/>
  </r>
  <r>
    <s v="lum-75"/>
    <x v="16"/>
    <n v="1"/>
    <s v="Und"/>
    <x v="2"/>
    <m/>
    <s v="CURRENT"/>
    <s v="6E00478"/>
    <x v="2"/>
    <n v="9973"/>
    <m/>
    <n v="1449524"/>
    <n v="6"/>
    <m/>
  </r>
  <r>
    <s v="lum-75"/>
    <x v="16"/>
    <n v="1"/>
    <s v="Und"/>
    <x v="2"/>
    <m/>
    <s v="CURRENT"/>
    <s v="6E00450"/>
    <x v="2"/>
    <n v="9973"/>
    <m/>
    <n v="1449532"/>
    <n v="7"/>
    <m/>
  </r>
  <r>
    <s v="lum-75"/>
    <x v="16"/>
    <n v="1"/>
    <s v="Und"/>
    <x v="2"/>
    <m/>
    <s v="CURRENT"/>
    <s v="6E00404"/>
    <x v="2"/>
    <n v="9973"/>
    <m/>
    <n v="1449541"/>
    <n v="8"/>
    <m/>
  </r>
  <r>
    <s v="lum-75"/>
    <x v="16"/>
    <n v="1"/>
    <s v="Und"/>
    <x v="2"/>
    <m/>
    <s v="CURRENT"/>
    <s v="6E00500"/>
    <x v="2"/>
    <n v="9973"/>
    <m/>
    <n v="9215255"/>
    <n v="9"/>
    <m/>
  </r>
  <r>
    <s v="banda1"/>
    <x v="22"/>
    <n v="1"/>
    <s v="Und"/>
    <x v="2"/>
    <m/>
    <m/>
    <m/>
    <x v="2"/>
    <n v="9973"/>
    <m/>
    <n v="9215255"/>
    <n v="9"/>
    <m/>
  </r>
  <r>
    <s v="banda1"/>
    <x v="22"/>
    <n v="2"/>
    <s v="Und"/>
    <x v="2"/>
    <m/>
    <m/>
    <m/>
    <x v="2"/>
    <n v="9973"/>
    <m/>
    <n v="1865315"/>
    <n v="14"/>
    <m/>
  </r>
  <r>
    <s v="Aislador1"/>
    <x v="1"/>
    <n v="1"/>
    <s v="Und"/>
    <x v="2"/>
    <m/>
    <m/>
    <m/>
    <x v="2"/>
    <n v="9973"/>
    <m/>
    <n v="9215255"/>
    <n v="9"/>
    <m/>
  </r>
  <r>
    <s v="alambre 14"/>
    <x v="40"/>
    <n v="16"/>
    <s v="Mts"/>
    <x v="2"/>
    <m/>
    <m/>
    <m/>
    <x v="2"/>
    <n v="9973"/>
    <m/>
    <n v="1865315"/>
    <n v="14"/>
    <m/>
  </r>
  <r>
    <s v="bandit"/>
    <x v="4"/>
    <n v="3"/>
    <s v="Und"/>
    <x v="2"/>
    <m/>
    <m/>
    <m/>
    <x v="2"/>
    <n v="9973"/>
    <m/>
    <n v="9215255"/>
    <n v="9"/>
    <m/>
  </r>
  <r>
    <s v="hebilla"/>
    <x v="5"/>
    <n v="3"/>
    <s v="Und"/>
    <x v="2"/>
    <m/>
    <m/>
    <m/>
    <x v="2"/>
    <n v="9973"/>
    <m/>
    <n v="9215255"/>
    <n v="9"/>
    <m/>
  </r>
  <r>
    <s v="kit"/>
    <x v="10"/>
    <n v="1"/>
    <s v="Und"/>
    <x v="2"/>
    <m/>
    <m/>
    <m/>
    <x v="2"/>
    <n v="9973"/>
    <m/>
    <n v="9215255"/>
    <n v="9"/>
    <m/>
  </r>
  <r>
    <s v="percha1"/>
    <x v="11"/>
    <n v="1"/>
    <s v="Und"/>
    <x v="2"/>
    <m/>
    <m/>
    <m/>
    <x v="2"/>
    <n v="9973"/>
    <m/>
    <n v="9215255"/>
    <n v="9"/>
    <m/>
  </r>
  <r>
    <s v="perno2"/>
    <x v="55"/>
    <n v="1"/>
    <s v="Und"/>
    <x v="2"/>
    <m/>
    <m/>
    <m/>
    <x v="2"/>
    <n v="9973"/>
    <m/>
    <n v="9215255"/>
    <n v="9"/>
    <m/>
  </r>
  <r>
    <s v="tuerca"/>
    <x v="27"/>
    <n v="1"/>
    <s v="Und"/>
    <x v="2"/>
    <m/>
    <m/>
    <m/>
    <x v="2"/>
    <n v="9973"/>
    <m/>
    <n v="9215255"/>
    <n v="9"/>
    <m/>
  </r>
  <r>
    <s v="angular"/>
    <x v="33"/>
    <n v="2"/>
    <s v="Und"/>
    <x v="2"/>
    <m/>
    <m/>
    <m/>
    <x v="2"/>
    <n v="9973"/>
    <m/>
    <n v="1865315"/>
    <n v="10"/>
    <m/>
  </r>
  <r>
    <s v="marco"/>
    <x v="30"/>
    <n v="1"/>
    <s v="Und"/>
    <x v="2"/>
    <m/>
    <m/>
    <m/>
    <x v="2"/>
    <n v="9973"/>
    <m/>
    <n v="1865315"/>
    <n v="10"/>
    <m/>
  </r>
  <r>
    <s v="cruceta"/>
    <x v="32"/>
    <n v="2"/>
    <s v="Und"/>
    <x v="2"/>
    <m/>
    <m/>
    <m/>
    <x v="2"/>
    <n v="9973"/>
    <m/>
    <n v="1865315"/>
    <n v="10"/>
    <m/>
  </r>
  <r>
    <s v="tapa2"/>
    <x v="14"/>
    <n v="1"/>
    <s v="Und"/>
    <x v="2"/>
    <m/>
    <m/>
    <m/>
    <x v="2"/>
    <n v="9973"/>
    <m/>
    <n v="1865315"/>
    <n v="10"/>
    <m/>
  </r>
  <r>
    <s v="tubo 3"/>
    <x v="12"/>
    <n v="0.3"/>
    <s v="Mts"/>
    <x v="2"/>
    <m/>
    <m/>
    <m/>
    <x v="2"/>
    <n v="9973"/>
    <m/>
    <n v="1865315"/>
    <n v="10"/>
    <m/>
  </r>
  <r>
    <s v="PVC#4"/>
    <x v="53"/>
    <n v="32"/>
    <s v="Mts"/>
    <x v="2"/>
    <m/>
    <m/>
    <m/>
    <x v="2"/>
    <n v="9973"/>
    <m/>
    <n v="1865315"/>
    <n v="14"/>
    <m/>
  </r>
  <r>
    <s v="conec3"/>
    <x v="29"/>
    <n v="1"/>
    <s v="Und"/>
    <x v="2"/>
    <m/>
    <m/>
    <m/>
    <x v="2"/>
    <n v="9973"/>
    <m/>
    <n v="1865315"/>
    <n v="14"/>
    <m/>
  </r>
  <r>
    <s v="gel1"/>
    <x v="8"/>
    <n v="2"/>
    <s v="Und"/>
    <x v="2"/>
    <m/>
    <m/>
    <m/>
    <x v="2"/>
    <n v="9973"/>
    <m/>
    <n v="1865315"/>
    <n v="14"/>
    <m/>
  </r>
  <r>
    <s v="tubo 3"/>
    <x v="12"/>
    <n v="0.3"/>
    <s v="Mts"/>
    <x v="2"/>
    <m/>
    <m/>
    <m/>
    <x v="2"/>
    <n v="9973"/>
    <m/>
    <n v="1865315"/>
    <n v="14"/>
    <m/>
  </r>
  <r>
    <s v="cooper"/>
    <x v="28"/>
    <n v="1"/>
    <s v="Und"/>
    <x v="2"/>
    <m/>
    <m/>
    <m/>
    <x v="2"/>
    <n v="9973"/>
    <m/>
    <n v="1865315"/>
    <n v="14"/>
    <m/>
  </r>
  <r>
    <s v="pro-190"/>
    <x v="19"/>
    <n v="1"/>
    <s v="Und"/>
    <x v="0"/>
    <d v="2026-07-18T00:00:00"/>
    <s v="CURRENT"/>
    <s v="6PD0315"/>
    <x v="2"/>
    <n v="9973"/>
    <m/>
    <m/>
    <m/>
    <m/>
  </r>
  <r>
    <s v="pro-190"/>
    <x v="19"/>
    <n v="1"/>
    <s v="Und"/>
    <x v="2"/>
    <m/>
    <s v="CURRENT"/>
    <s v="6PD0315"/>
    <x v="2"/>
    <n v="9973"/>
    <m/>
    <n v="1865315"/>
    <n v="10"/>
    <m/>
  </r>
  <r>
    <s v="pro-190"/>
    <x v="19"/>
    <n v="1"/>
    <s v="Und"/>
    <x v="0"/>
    <d v="2026-07-18T00:00:00"/>
    <s v="CURRENT"/>
    <s v="6PD0316"/>
    <x v="2"/>
    <n v="9973"/>
    <m/>
    <m/>
    <m/>
    <m/>
  </r>
  <r>
    <s v="pro-190"/>
    <x v="19"/>
    <n v="1"/>
    <s v="Und"/>
    <x v="2"/>
    <m/>
    <s v="CURRENT"/>
    <s v="6PD0316"/>
    <x v="2"/>
    <n v="9973"/>
    <m/>
    <n v="1865315"/>
    <n v="16"/>
    <m/>
  </r>
  <r>
    <s v="pro-190"/>
    <x v="19"/>
    <n v="1"/>
    <s v="Und"/>
    <x v="0"/>
    <d v="2026-07-18T00:00:00"/>
    <s v="CURRENT"/>
    <s v="6PD0317"/>
    <x v="2"/>
    <n v="9973"/>
    <m/>
    <m/>
    <m/>
    <m/>
  </r>
  <r>
    <s v="pro-190"/>
    <x v="19"/>
    <n v="1"/>
    <s v="Und"/>
    <x v="2"/>
    <m/>
    <s v="CURRENT"/>
    <s v="6PD0317"/>
    <x v="2"/>
    <n v="9973"/>
    <m/>
    <n v="1865315"/>
    <n v="14"/>
    <m/>
  </r>
  <r>
    <s v="pro-190"/>
    <x v="19"/>
    <n v="1"/>
    <s v="Und"/>
    <x v="0"/>
    <d v="2026-07-18T00:00:00"/>
    <s v="CURRENT"/>
    <s v="6PD0319"/>
    <x v="2"/>
    <n v="9973"/>
    <m/>
    <m/>
    <m/>
    <m/>
  </r>
  <r>
    <s v="pro-190"/>
    <x v="19"/>
    <n v="1"/>
    <s v="Und"/>
    <x v="2"/>
    <m/>
    <s v="CURRENT"/>
    <s v="6PD0319"/>
    <x v="2"/>
    <n v="9973"/>
    <m/>
    <n v="1865315"/>
    <n v="11"/>
    <m/>
  </r>
  <r>
    <s v="ciega1"/>
    <x v="44"/>
    <n v="2"/>
    <s v="Und"/>
    <x v="2"/>
    <m/>
    <m/>
    <m/>
    <x v="2"/>
    <n v="9974"/>
    <m/>
    <n v="1865323"/>
    <n v="14"/>
    <m/>
  </r>
  <r>
    <s v="banda1"/>
    <x v="22"/>
    <n v="2"/>
    <s v="Und"/>
    <x v="2"/>
    <m/>
    <m/>
    <m/>
    <x v="2"/>
    <n v="9974"/>
    <m/>
    <n v="1865331"/>
    <n v="10"/>
    <m/>
  </r>
  <r>
    <s v="banda1"/>
    <x v="22"/>
    <n v="2"/>
    <s v="Und"/>
    <x v="2"/>
    <m/>
    <m/>
    <m/>
    <x v="2"/>
    <n v="9974"/>
    <m/>
    <n v="1865323"/>
    <n v="16"/>
    <m/>
  </r>
  <r>
    <s v="Aislador1"/>
    <x v="1"/>
    <n v="1"/>
    <s v="Und"/>
    <x v="2"/>
    <m/>
    <m/>
    <m/>
    <x v="2"/>
    <n v="9974"/>
    <m/>
    <n v="1865340"/>
    <n v="3"/>
    <m/>
  </r>
  <r>
    <s v="Aislador1"/>
    <x v="1"/>
    <n v="1"/>
    <s v="Und"/>
    <x v="2"/>
    <m/>
    <m/>
    <m/>
    <x v="2"/>
    <n v="9974"/>
    <m/>
    <n v="1437682"/>
    <n v="4"/>
    <m/>
  </r>
  <r>
    <s v="Aislador1"/>
    <x v="1"/>
    <n v="1"/>
    <s v="Und"/>
    <x v="2"/>
    <m/>
    <m/>
    <m/>
    <x v="2"/>
    <n v="9974"/>
    <m/>
    <n v="1437691"/>
    <n v="5"/>
    <m/>
  </r>
  <r>
    <s v="alambre 14"/>
    <x v="40"/>
    <n v="14"/>
    <s v="Mts"/>
    <x v="2"/>
    <m/>
    <m/>
    <m/>
    <x v="2"/>
    <n v="9974"/>
    <m/>
    <n v="1865331"/>
    <n v="10"/>
    <m/>
  </r>
  <r>
    <s v="alambre 14"/>
    <x v="40"/>
    <n v="14"/>
    <s v="Mts"/>
    <x v="2"/>
    <m/>
    <m/>
    <m/>
    <x v="2"/>
    <n v="9974"/>
    <m/>
    <n v="1865323"/>
    <n v="14"/>
    <m/>
  </r>
  <r>
    <s v="angular"/>
    <x v="33"/>
    <n v="1"/>
    <s v="Und"/>
    <x v="2"/>
    <m/>
    <m/>
    <m/>
    <x v="2"/>
    <n v="9974"/>
    <m/>
    <n v="1865331"/>
    <n v="6"/>
    <m/>
  </r>
  <r>
    <s v="angular"/>
    <x v="33"/>
    <n v="1"/>
    <s v="Und"/>
    <x v="2"/>
    <m/>
    <m/>
    <m/>
    <x v="2"/>
    <n v="9974"/>
    <m/>
    <n v="1865323"/>
    <n v="14"/>
    <m/>
  </r>
  <r>
    <s v="#4"/>
    <x v="41"/>
    <n v="28"/>
    <s v="Mts"/>
    <x v="2"/>
    <m/>
    <m/>
    <m/>
    <x v="2"/>
    <n v="9974"/>
    <m/>
    <n v="1865331"/>
    <n v="10"/>
    <m/>
  </r>
  <r>
    <s v="#4"/>
    <x v="41"/>
    <n v="28"/>
    <s v="Mts"/>
    <x v="2"/>
    <m/>
    <m/>
    <m/>
    <x v="2"/>
    <n v="9974"/>
    <m/>
    <n v="1865323"/>
    <n v="14"/>
    <m/>
  </r>
  <r>
    <s v="tpx"/>
    <x v="23"/>
    <n v="29"/>
    <s v="Mts"/>
    <x v="2"/>
    <m/>
    <m/>
    <m/>
    <x v="2"/>
    <n v="9974"/>
    <m/>
    <n v="1437691"/>
    <n v="5"/>
    <m/>
  </r>
  <r>
    <s v="3*14"/>
    <x v="3"/>
    <n v="10"/>
    <s v="Mts"/>
    <x v="2"/>
    <m/>
    <m/>
    <m/>
    <x v="2"/>
    <n v="9974"/>
    <m/>
    <n v="2260883"/>
    <n v="1"/>
    <m/>
  </r>
  <r>
    <s v="conec1"/>
    <x v="6"/>
    <n v="3"/>
    <s v="Und"/>
    <x v="2"/>
    <m/>
    <m/>
    <m/>
    <x v="2"/>
    <n v="9974"/>
    <m/>
    <n v="1865340"/>
    <n v="3"/>
    <m/>
  </r>
  <r>
    <s v="conec1"/>
    <x v="6"/>
    <n v="3"/>
    <s v="Und"/>
    <x v="2"/>
    <m/>
    <m/>
    <m/>
    <x v="2"/>
    <n v="9974"/>
    <m/>
    <n v="1437682"/>
    <n v="4"/>
    <m/>
  </r>
  <r>
    <s v="conec1"/>
    <x v="6"/>
    <n v="6"/>
    <s v="Und"/>
    <x v="2"/>
    <m/>
    <m/>
    <m/>
    <x v="2"/>
    <n v="9974"/>
    <m/>
    <n v="1437691"/>
    <n v="5"/>
    <m/>
  </r>
  <r>
    <s v="conec1"/>
    <x v="6"/>
    <n v="8"/>
    <s v="Und"/>
    <x v="2"/>
    <m/>
    <m/>
    <m/>
    <x v="2"/>
    <n v="9974"/>
    <m/>
    <n v="1865331"/>
    <n v="10"/>
    <m/>
  </r>
  <r>
    <s v="conec1"/>
    <x v="6"/>
    <n v="10"/>
    <s v="Und"/>
    <x v="2"/>
    <m/>
    <m/>
    <m/>
    <x v="2"/>
    <n v="9974"/>
    <m/>
    <n v="1865323"/>
    <n v="14"/>
    <m/>
  </r>
  <r>
    <s v="conec3"/>
    <x v="29"/>
    <n v="1"/>
    <s v="Und"/>
    <x v="2"/>
    <m/>
    <m/>
    <m/>
    <x v="2"/>
    <n v="9974"/>
    <m/>
    <n v="2260883"/>
    <n v="1"/>
    <m/>
  </r>
  <r>
    <s v="conec3"/>
    <x v="29"/>
    <n v="1"/>
    <s v="Und"/>
    <x v="2"/>
    <m/>
    <m/>
    <m/>
    <x v="2"/>
    <n v="9974"/>
    <m/>
    <n v="1865331"/>
    <n v="10"/>
    <m/>
  </r>
  <r>
    <s v="conec3"/>
    <x v="29"/>
    <n v="1"/>
    <s v="Und"/>
    <x v="2"/>
    <m/>
    <m/>
    <m/>
    <x v="2"/>
    <n v="9974"/>
    <m/>
    <n v="1865323"/>
    <n v="14"/>
    <m/>
  </r>
  <r>
    <s v="conec2"/>
    <x v="7"/>
    <n v="3"/>
    <s v="Und"/>
    <x v="2"/>
    <m/>
    <m/>
    <m/>
    <x v="2"/>
    <n v="9974"/>
    <m/>
    <n v="2260883"/>
    <n v="1"/>
    <m/>
  </r>
  <r>
    <s v="conec2"/>
    <x v="7"/>
    <n v="2"/>
    <s v="Und"/>
    <x v="2"/>
    <m/>
    <m/>
    <m/>
    <x v="2"/>
    <n v="9974"/>
    <m/>
    <n v="1865331"/>
    <n v="10"/>
    <m/>
  </r>
  <r>
    <s v="conec2"/>
    <x v="7"/>
    <n v="3"/>
    <s v="Und"/>
    <x v="2"/>
    <m/>
    <m/>
    <m/>
    <x v="2"/>
    <n v="9974"/>
    <m/>
    <n v="1865323"/>
    <n v="14"/>
    <m/>
  </r>
  <r>
    <s v="cruceta"/>
    <x v="32"/>
    <n v="1"/>
    <s v="Und"/>
    <x v="2"/>
    <m/>
    <m/>
    <m/>
    <x v="2"/>
    <n v="9974"/>
    <m/>
    <n v="1865331"/>
    <n v="6"/>
    <m/>
  </r>
  <r>
    <s v="cruceta"/>
    <x v="32"/>
    <n v="1"/>
    <s v="Und"/>
    <x v="2"/>
    <m/>
    <m/>
    <m/>
    <x v="2"/>
    <n v="9974"/>
    <m/>
    <n v="1865323"/>
    <n v="14"/>
    <m/>
  </r>
  <r>
    <s v="gel1"/>
    <x v="8"/>
    <n v="2"/>
    <s v="Und"/>
    <x v="2"/>
    <m/>
    <m/>
    <m/>
    <x v="2"/>
    <n v="9974"/>
    <m/>
    <n v="2260883"/>
    <n v="1"/>
    <m/>
  </r>
  <r>
    <s v="gel1"/>
    <x v="8"/>
    <n v="2"/>
    <s v="Und"/>
    <x v="2"/>
    <m/>
    <m/>
    <m/>
    <x v="2"/>
    <n v="9974"/>
    <m/>
    <n v="1865331"/>
    <n v="10"/>
    <m/>
  </r>
  <r>
    <s v="gel1"/>
    <x v="8"/>
    <n v="2"/>
    <s v="Und"/>
    <x v="2"/>
    <m/>
    <m/>
    <m/>
    <x v="2"/>
    <n v="9974"/>
    <m/>
    <n v="1865323"/>
    <n v="14"/>
    <m/>
  </r>
  <r>
    <s v="Foto"/>
    <x v="15"/>
    <n v="1"/>
    <s v="Und"/>
    <x v="2"/>
    <m/>
    <m/>
    <m/>
    <x v="2"/>
    <n v="9974"/>
    <m/>
    <n v="2260883"/>
    <n v="1"/>
    <m/>
  </r>
  <r>
    <s v="Foto"/>
    <x v="15"/>
    <n v="1"/>
    <s v="Und"/>
    <x v="2"/>
    <m/>
    <m/>
    <m/>
    <x v="2"/>
    <n v="9974"/>
    <m/>
    <n v="2260883"/>
    <n v="2"/>
    <m/>
  </r>
  <r>
    <s v="Foto"/>
    <x v="15"/>
    <n v="1"/>
    <s v="Und"/>
    <x v="2"/>
    <m/>
    <m/>
    <m/>
    <x v="2"/>
    <n v="9974"/>
    <m/>
    <n v="1865340"/>
    <n v="3"/>
    <m/>
  </r>
  <r>
    <s v="Foto"/>
    <x v="15"/>
    <n v="1"/>
    <s v="Und"/>
    <x v="2"/>
    <m/>
    <m/>
    <m/>
    <x v="2"/>
    <n v="9974"/>
    <m/>
    <n v="1437682"/>
    <n v="4"/>
    <m/>
  </r>
  <r>
    <s v="Foto"/>
    <x v="15"/>
    <n v="1"/>
    <s v="Und"/>
    <x v="2"/>
    <m/>
    <m/>
    <m/>
    <x v="2"/>
    <n v="9974"/>
    <m/>
    <n v="1437691"/>
    <n v="5"/>
    <m/>
  </r>
  <r>
    <s v="Foto"/>
    <x v="15"/>
    <n v="1"/>
    <s v="Und"/>
    <x v="2"/>
    <m/>
    <m/>
    <m/>
    <x v="2"/>
    <n v="9974"/>
    <m/>
    <n v="1865331"/>
    <n v="6"/>
    <m/>
  </r>
  <r>
    <s v="Foto"/>
    <x v="15"/>
    <n v="1"/>
    <s v="Und"/>
    <x v="2"/>
    <m/>
    <m/>
    <m/>
    <x v="2"/>
    <n v="9974"/>
    <m/>
    <n v="1865331"/>
    <n v="7"/>
    <m/>
  </r>
  <r>
    <s v="Foto"/>
    <x v="15"/>
    <n v="1"/>
    <s v="Und"/>
    <x v="2"/>
    <m/>
    <m/>
    <m/>
    <x v="2"/>
    <n v="9974"/>
    <m/>
    <n v="1865331"/>
    <n v="8"/>
    <m/>
  </r>
  <r>
    <s v="Foto"/>
    <x v="15"/>
    <n v="1"/>
    <s v="Und"/>
    <x v="2"/>
    <m/>
    <m/>
    <m/>
    <x v="2"/>
    <n v="9974"/>
    <m/>
    <n v="1865331"/>
    <n v="9"/>
    <m/>
  </r>
  <r>
    <s v="Foto"/>
    <x v="15"/>
    <n v="1"/>
    <s v="Und"/>
    <x v="2"/>
    <m/>
    <m/>
    <m/>
    <x v="2"/>
    <n v="9974"/>
    <m/>
    <n v="1865331"/>
    <n v="10"/>
    <m/>
  </r>
  <r>
    <s v="Foto"/>
    <x v="15"/>
    <n v="1"/>
    <s v="Und"/>
    <x v="2"/>
    <m/>
    <m/>
    <m/>
    <x v="2"/>
    <n v="9974"/>
    <m/>
    <n v="1865331"/>
    <n v="11"/>
    <m/>
  </r>
  <r>
    <s v="Foto"/>
    <x v="15"/>
    <n v="1"/>
    <s v="Und"/>
    <x v="2"/>
    <m/>
    <m/>
    <m/>
    <x v="2"/>
    <n v="9974"/>
    <m/>
    <n v="1865331"/>
    <n v="12"/>
    <m/>
  </r>
  <r>
    <s v="Foto"/>
    <x v="15"/>
    <n v="1"/>
    <s v="Und"/>
    <x v="2"/>
    <m/>
    <m/>
    <m/>
    <x v="2"/>
    <n v="9974"/>
    <m/>
    <n v="1865331"/>
    <n v="13"/>
    <m/>
  </r>
  <r>
    <s v="Foto"/>
    <x v="15"/>
    <n v="1"/>
    <s v="Und"/>
    <x v="2"/>
    <m/>
    <m/>
    <m/>
    <x v="2"/>
    <n v="9974"/>
    <m/>
    <n v="1865323"/>
    <n v="14"/>
    <m/>
  </r>
  <r>
    <s v="Foto"/>
    <x v="15"/>
    <n v="1"/>
    <s v="Und"/>
    <x v="2"/>
    <m/>
    <m/>
    <m/>
    <x v="2"/>
    <n v="9974"/>
    <m/>
    <n v="1865323"/>
    <n v="15"/>
    <m/>
  </r>
  <r>
    <s v="Foto"/>
    <x v="15"/>
    <n v="1"/>
    <s v="Und"/>
    <x v="2"/>
    <m/>
    <m/>
    <m/>
    <x v="2"/>
    <n v="9974"/>
    <m/>
    <n v="1865323"/>
    <n v="16"/>
    <m/>
  </r>
  <r>
    <s v="Foto"/>
    <x v="15"/>
    <n v="1"/>
    <s v="Und"/>
    <x v="2"/>
    <m/>
    <m/>
    <m/>
    <x v="2"/>
    <n v="9974"/>
    <m/>
    <n v="1865323"/>
    <n v="17"/>
    <m/>
  </r>
  <r>
    <s v="Foto"/>
    <x v="15"/>
    <n v="1"/>
    <s v="Und"/>
    <x v="2"/>
    <m/>
    <m/>
    <m/>
    <x v="2"/>
    <n v="9974"/>
    <m/>
    <n v="1865323"/>
    <n v="18"/>
    <m/>
  </r>
  <r>
    <s v="Foto"/>
    <x v="15"/>
    <n v="1"/>
    <s v="Und"/>
    <x v="2"/>
    <m/>
    <m/>
    <m/>
    <x v="2"/>
    <n v="9974"/>
    <m/>
    <n v="1865323"/>
    <n v="19"/>
    <m/>
  </r>
  <r>
    <s v="Foto"/>
    <x v="15"/>
    <n v="1"/>
    <s v="Und"/>
    <x v="2"/>
    <m/>
    <m/>
    <m/>
    <x v="2"/>
    <n v="9974"/>
    <m/>
    <n v="1865323"/>
    <n v="20"/>
    <m/>
  </r>
  <r>
    <s v="Foto"/>
    <x v="15"/>
    <n v="1"/>
    <s v="Und"/>
    <x v="2"/>
    <m/>
    <m/>
    <m/>
    <x v="2"/>
    <n v="9974"/>
    <m/>
    <n v="1865323"/>
    <n v="21"/>
    <m/>
  </r>
  <r>
    <s v="Foto"/>
    <x v="15"/>
    <n v="1"/>
    <s v="Und"/>
    <x v="2"/>
    <m/>
    <m/>
    <m/>
    <x v="2"/>
    <n v="9974"/>
    <m/>
    <n v="1865323"/>
    <n v="22"/>
    <m/>
  </r>
  <r>
    <s v="grillete"/>
    <x v="24"/>
    <n v="2"/>
    <s v="Und"/>
    <x v="2"/>
    <m/>
    <m/>
    <m/>
    <x v="2"/>
    <n v="9974"/>
    <m/>
    <n v="1865340"/>
    <n v="3"/>
    <m/>
  </r>
  <r>
    <s v="grillete"/>
    <x v="24"/>
    <n v="2"/>
    <s v="Und"/>
    <x v="2"/>
    <m/>
    <m/>
    <m/>
    <x v="2"/>
    <n v="9974"/>
    <m/>
    <n v="1865323"/>
    <n v="14"/>
    <m/>
  </r>
  <r>
    <s v="lum-75"/>
    <x v="16"/>
    <n v="1"/>
    <s v="Und"/>
    <x v="2"/>
    <m/>
    <s v="CURRENT"/>
    <s v="6E00416"/>
    <x v="2"/>
    <n v="9974"/>
    <m/>
    <n v="2260883"/>
    <n v="1"/>
    <m/>
  </r>
  <r>
    <s v="lum-75"/>
    <x v="16"/>
    <n v="1"/>
    <s v="Und"/>
    <x v="2"/>
    <m/>
    <s v="CURRENT"/>
    <s v="6E00445"/>
    <x v="2"/>
    <n v="9974"/>
    <m/>
    <n v="2260883"/>
    <n v="2"/>
    <m/>
  </r>
  <r>
    <s v="lum-75"/>
    <x v="16"/>
    <n v="1"/>
    <s v="Und"/>
    <x v="2"/>
    <m/>
    <s v="CURRENT"/>
    <s v="6E00454"/>
    <x v="2"/>
    <n v="9974"/>
    <m/>
    <n v="1865340"/>
    <n v="3"/>
    <m/>
  </r>
  <r>
    <s v="lum-75"/>
    <x v="16"/>
    <n v="1"/>
    <s v="Und"/>
    <x v="2"/>
    <m/>
    <s v="CURRENT"/>
    <s v="6E00150"/>
    <x v="2"/>
    <n v="9974"/>
    <m/>
    <n v="1437682"/>
    <n v="4"/>
    <m/>
  </r>
  <r>
    <s v="lum-75"/>
    <x v="16"/>
    <n v="1"/>
    <s v="Und"/>
    <x v="2"/>
    <m/>
    <s v="CURRENT"/>
    <s v="6E00473"/>
    <x v="2"/>
    <n v="9974"/>
    <m/>
    <n v="1437691"/>
    <n v="5"/>
    <m/>
  </r>
  <r>
    <s v="lum-75"/>
    <x v="16"/>
    <n v="1"/>
    <s v="Und"/>
    <x v="2"/>
    <m/>
    <s v="CURRENT"/>
    <s v="6E00280"/>
    <x v="2"/>
    <n v="9974"/>
    <m/>
    <n v="1865323"/>
    <n v="14"/>
    <m/>
  </r>
  <r>
    <s v="percha1"/>
    <x v="11"/>
    <n v="1"/>
    <s v="Und"/>
    <x v="2"/>
    <m/>
    <m/>
    <m/>
    <x v="2"/>
    <n v="9974"/>
    <m/>
    <n v="1865340"/>
    <n v="3"/>
    <m/>
  </r>
  <r>
    <s v="percha1"/>
    <x v="11"/>
    <n v="1"/>
    <s v="Und"/>
    <x v="2"/>
    <m/>
    <m/>
    <m/>
    <x v="2"/>
    <n v="9974"/>
    <m/>
    <n v="1437682"/>
    <n v="4"/>
    <m/>
  </r>
  <r>
    <s v="percha1"/>
    <x v="11"/>
    <n v="1"/>
    <s v="Und"/>
    <x v="2"/>
    <m/>
    <m/>
    <m/>
    <x v="2"/>
    <n v="9974"/>
    <m/>
    <n v="1437691"/>
    <n v="5"/>
    <m/>
  </r>
  <r>
    <s v="Perno1 "/>
    <x v="25"/>
    <n v="1"/>
    <s v="Und"/>
    <x v="2"/>
    <m/>
    <m/>
    <m/>
    <x v="2"/>
    <n v="9974"/>
    <m/>
    <n v="1865340"/>
    <n v="3"/>
    <m/>
  </r>
  <r>
    <s v="Perno1 "/>
    <x v="25"/>
    <n v="1"/>
    <s v="Und"/>
    <x v="2"/>
    <m/>
    <m/>
    <m/>
    <x v="2"/>
    <n v="9974"/>
    <m/>
    <n v="1437682"/>
    <n v="4"/>
    <m/>
  </r>
  <r>
    <s v="Perno1 "/>
    <x v="25"/>
    <n v="1"/>
    <s v="Und"/>
    <x v="2"/>
    <m/>
    <m/>
    <m/>
    <x v="2"/>
    <n v="9974"/>
    <m/>
    <n v="1437691"/>
    <n v="5"/>
    <m/>
  </r>
  <r>
    <s v="perno2"/>
    <x v="55"/>
    <n v="8"/>
    <s v="Und"/>
    <x v="2"/>
    <m/>
    <m/>
    <m/>
    <x v="2"/>
    <n v="9974"/>
    <m/>
    <n v="1865331"/>
    <n v="6"/>
    <m/>
  </r>
  <r>
    <s v="perno2"/>
    <x v="55"/>
    <n v="1"/>
    <s v="Und"/>
    <x v="2"/>
    <m/>
    <m/>
    <m/>
    <x v="2"/>
    <n v="9974"/>
    <m/>
    <n v="1865323"/>
    <n v="15"/>
    <m/>
  </r>
  <r>
    <s v="perno2"/>
    <x v="55"/>
    <n v="1"/>
    <s v="Und"/>
    <x v="2"/>
    <m/>
    <m/>
    <m/>
    <x v="2"/>
    <n v="9974"/>
    <m/>
    <n v="1865323"/>
    <n v="16"/>
    <m/>
  </r>
  <r>
    <s v="perno2"/>
    <x v="55"/>
    <n v="1"/>
    <s v="Und"/>
    <x v="2"/>
    <m/>
    <m/>
    <m/>
    <x v="2"/>
    <n v="9974"/>
    <m/>
    <n v="1865323"/>
    <n v="17"/>
    <m/>
  </r>
  <r>
    <s v="perno2"/>
    <x v="55"/>
    <n v="1"/>
    <s v="Und"/>
    <x v="2"/>
    <m/>
    <m/>
    <m/>
    <x v="2"/>
    <n v="9974"/>
    <m/>
    <n v="1865323"/>
    <n v="18"/>
    <m/>
  </r>
  <r>
    <s v="perno2"/>
    <x v="55"/>
    <n v="1"/>
    <s v="Und"/>
    <x v="2"/>
    <m/>
    <m/>
    <m/>
    <x v="2"/>
    <n v="9974"/>
    <m/>
    <n v="1865323"/>
    <n v="19"/>
    <m/>
  </r>
  <r>
    <s v="perno2"/>
    <x v="55"/>
    <n v="1"/>
    <s v="Und"/>
    <x v="2"/>
    <m/>
    <m/>
    <m/>
    <x v="2"/>
    <n v="9974"/>
    <m/>
    <n v="1865323"/>
    <n v="20"/>
    <m/>
  </r>
  <r>
    <s v="perno2"/>
    <x v="55"/>
    <n v="1"/>
    <s v="Und"/>
    <x v="2"/>
    <m/>
    <m/>
    <m/>
    <x v="2"/>
    <n v="9974"/>
    <m/>
    <n v="1865323"/>
    <n v="21"/>
    <m/>
  </r>
  <r>
    <s v="perno2"/>
    <x v="55"/>
    <n v="1"/>
    <s v="Und"/>
    <x v="2"/>
    <m/>
    <m/>
    <m/>
    <x v="2"/>
    <n v="9974"/>
    <m/>
    <n v="1865323"/>
    <n v="22"/>
    <m/>
  </r>
  <r>
    <s v="pro-190"/>
    <x v="19"/>
    <n v="1"/>
    <s v="Und"/>
    <x v="0"/>
    <d v="2026-07-18T00:00:00"/>
    <s v="CURRENT"/>
    <s v="6PD0320"/>
    <x v="2"/>
    <n v="9974"/>
    <m/>
    <m/>
    <m/>
    <m/>
  </r>
  <r>
    <s v="pro-190"/>
    <x v="19"/>
    <n v="1"/>
    <s v="Und"/>
    <x v="2"/>
    <m/>
    <s v="CURRENT"/>
    <s v="6PD0320"/>
    <x v="2"/>
    <n v="9974"/>
    <m/>
    <n v="1865323"/>
    <n v="19"/>
    <m/>
  </r>
  <r>
    <s v="pro-190"/>
    <x v="19"/>
    <n v="1"/>
    <s v="Und"/>
    <x v="0"/>
    <d v="2026-07-18T00:00:00"/>
    <s v="CURRENT"/>
    <s v="6PD0321"/>
    <x v="2"/>
    <n v="9974"/>
    <m/>
    <m/>
    <m/>
    <m/>
  </r>
  <r>
    <s v="pro-190"/>
    <x v="19"/>
    <n v="1"/>
    <s v="Und"/>
    <x v="2"/>
    <m/>
    <s v="CURRENT"/>
    <s v="6PD0321"/>
    <x v="2"/>
    <n v="9974"/>
    <m/>
    <n v="1865331"/>
    <n v="12"/>
    <m/>
  </r>
  <r>
    <s v="pro-190"/>
    <x v="19"/>
    <n v="1"/>
    <s v="Und"/>
    <x v="0"/>
    <d v="2026-07-18T00:00:00"/>
    <s v="CURRENT"/>
    <s v="6PD0323"/>
    <x v="2"/>
    <n v="9973"/>
    <m/>
    <m/>
    <m/>
    <m/>
  </r>
  <r>
    <s v="pro-190"/>
    <x v="19"/>
    <n v="1"/>
    <s v="Und"/>
    <x v="2"/>
    <m/>
    <s v="CURRENT"/>
    <s v="6PD0323"/>
    <x v="2"/>
    <n v="9973"/>
    <m/>
    <n v="1865315"/>
    <n v="13"/>
    <m/>
  </r>
  <r>
    <s v="pro-190"/>
    <x v="19"/>
    <n v="1"/>
    <s v="Und"/>
    <x v="0"/>
    <d v="2026-07-18T00:00:00"/>
    <s v="CURRENT"/>
    <s v="6PD0325"/>
    <x v="2"/>
    <n v="9974"/>
    <m/>
    <m/>
    <m/>
    <m/>
  </r>
  <r>
    <s v="pro-190"/>
    <x v="19"/>
    <n v="1"/>
    <s v="Und"/>
    <x v="2"/>
    <m/>
    <s v="CURRENT"/>
    <s v="6PD0325"/>
    <x v="2"/>
    <n v="9974"/>
    <m/>
    <n v="1865331"/>
    <n v="6"/>
    <m/>
  </r>
  <r>
    <s v="pro-190"/>
    <x v="19"/>
    <n v="1"/>
    <s v="Und"/>
    <x v="0"/>
    <d v="2026-07-18T00:00:00"/>
    <s v="CURRENT"/>
    <s v="6PD0326"/>
    <x v="2"/>
    <n v="9973"/>
    <m/>
    <m/>
    <m/>
    <m/>
  </r>
  <r>
    <s v="pro-190"/>
    <x v="19"/>
    <n v="1"/>
    <s v="Und"/>
    <x v="2"/>
    <m/>
    <s v="CURRENT"/>
    <s v="6PD0326"/>
    <x v="2"/>
    <n v="9973"/>
    <m/>
    <n v="1865315"/>
    <n v="12"/>
    <m/>
  </r>
  <r>
    <s v="pro-190"/>
    <x v="19"/>
    <n v="1"/>
    <s v="Und"/>
    <x v="0"/>
    <d v="2026-07-18T00:00:00"/>
    <s v="CURRENT"/>
    <s v="6PD0327"/>
    <x v="2"/>
    <n v="9974"/>
    <m/>
    <m/>
    <m/>
    <m/>
  </r>
  <r>
    <s v="pro-190"/>
    <x v="19"/>
    <n v="1"/>
    <s v="Und"/>
    <x v="2"/>
    <m/>
    <s v="CURRENT"/>
    <s v="6PD0327"/>
    <x v="2"/>
    <n v="9974"/>
    <m/>
    <n v="1865323"/>
    <n v="22"/>
    <m/>
  </r>
  <r>
    <s v="pro-190"/>
    <x v="19"/>
    <n v="1"/>
    <s v="Und"/>
    <x v="0"/>
    <d v="2026-07-18T00:00:00"/>
    <s v="CURRENT"/>
    <s v="6PD0328"/>
    <x v="2"/>
    <n v="9974"/>
    <m/>
    <m/>
    <m/>
    <m/>
  </r>
  <r>
    <s v="pro-190"/>
    <x v="19"/>
    <n v="1"/>
    <s v="Und"/>
    <x v="2"/>
    <m/>
    <s v="CURRENT"/>
    <s v="6PD0328"/>
    <x v="2"/>
    <n v="9974"/>
    <m/>
    <n v="1865323"/>
    <n v="20"/>
    <m/>
  </r>
  <r>
    <s v="pro-190"/>
    <x v="19"/>
    <n v="1"/>
    <s v="Und"/>
    <x v="0"/>
    <d v="2026-07-18T00:00:00"/>
    <s v="CURRENT"/>
    <s v="6PD0329"/>
    <x v="2"/>
    <n v="9973"/>
    <m/>
    <m/>
    <m/>
    <m/>
  </r>
  <r>
    <s v="pro-190"/>
    <x v="19"/>
    <n v="1"/>
    <s v="Und"/>
    <x v="2"/>
    <m/>
    <s v="CURRENT"/>
    <s v="6PD0329"/>
    <x v="2"/>
    <n v="9973"/>
    <m/>
    <n v="1865315"/>
    <n v="15"/>
    <m/>
  </r>
  <r>
    <s v="tapa2"/>
    <x v="14"/>
    <n v="1"/>
    <s v="Und"/>
    <x v="2"/>
    <m/>
    <m/>
    <m/>
    <x v="2"/>
    <n v="9974"/>
    <m/>
    <n v="2260883"/>
    <n v="1"/>
    <m/>
  </r>
  <r>
    <s v="tapa2"/>
    <x v="14"/>
    <n v="1"/>
    <s v="Und"/>
    <x v="2"/>
    <m/>
    <m/>
    <m/>
    <x v="2"/>
    <n v="9974"/>
    <m/>
    <n v="1865331"/>
    <n v="10"/>
    <m/>
  </r>
  <r>
    <s v="tapa2"/>
    <x v="14"/>
    <n v="1"/>
    <s v="Und"/>
    <x v="2"/>
    <m/>
    <m/>
    <m/>
    <x v="2"/>
    <n v="9974"/>
    <m/>
    <n v="1865323"/>
    <n v="14"/>
    <m/>
  </r>
  <r>
    <s v="Maquina"/>
    <x v="26"/>
    <n v="8"/>
    <s v="Und"/>
    <x v="2"/>
    <m/>
    <m/>
    <m/>
    <x v="2"/>
    <n v="9974"/>
    <m/>
    <n v="1865331"/>
    <n v="6"/>
    <m/>
  </r>
  <r>
    <s v="Maquina"/>
    <x v="26"/>
    <n v="8"/>
    <s v="Und"/>
    <x v="2"/>
    <m/>
    <m/>
    <m/>
    <x v="2"/>
    <n v="9974"/>
    <m/>
    <n v="1865323"/>
    <n v="14"/>
    <m/>
  </r>
  <r>
    <s v="tubo 3"/>
    <x v="12"/>
    <n v="0.3"/>
    <s v="Und"/>
    <x v="2"/>
    <m/>
    <m/>
    <m/>
    <x v="2"/>
    <n v="9974"/>
    <m/>
    <n v="2260883"/>
    <n v="1"/>
    <m/>
  </r>
  <r>
    <s v="tubo 3"/>
    <x v="12"/>
    <n v="0.3"/>
    <s v="Und"/>
    <x v="2"/>
    <m/>
    <m/>
    <m/>
    <x v="2"/>
    <n v="9974"/>
    <m/>
    <n v="1865331"/>
    <n v="10"/>
    <m/>
  </r>
  <r>
    <s v="tubo 3"/>
    <x v="12"/>
    <n v="0.3"/>
    <s v="Und"/>
    <x v="2"/>
    <m/>
    <m/>
    <m/>
    <x v="2"/>
    <n v="9974"/>
    <m/>
    <n v="1865323"/>
    <n v="14"/>
    <m/>
  </r>
  <r>
    <s v="tuerca"/>
    <x v="27"/>
    <n v="1"/>
    <s v="Und"/>
    <x v="2"/>
    <m/>
    <m/>
    <m/>
    <x v="2"/>
    <n v="9974"/>
    <m/>
    <n v="1865340"/>
    <n v="3"/>
    <m/>
  </r>
  <r>
    <s v="tuerca"/>
    <x v="27"/>
    <n v="1"/>
    <s v="Und"/>
    <x v="2"/>
    <m/>
    <m/>
    <m/>
    <x v="2"/>
    <n v="9974"/>
    <m/>
    <n v="1437682"/>
    <n v="4"/>
    <m/>
  </r>
  <r>
    <s v="tuerca"/>
    <x v="27"/>
    <n v="1"/>
    <s v="Und"/>
    <x v="2"/>
    <m/>
    <m/>
    <m/>
    <x v="2"/>
    <n v="9974"/>
    <m/>
    <n v="1437691"/>
    <n v="5"/>
    <m/>
  </r>
  <r>
    <s v="tuerca"/>
    <x v="27"/>
    <n v="16"/>
    <s v="Und"/>
    <x v="2"/>
    <m/>
    <m/>
    <m/>
    <x v="2"/>
    <n v="9974"/>
    <m/>
    <n v="1865331"/>
    <n v="6"/>
    <m/>
  </r>
  <r>
    <s v="tuerca"/>
    <x v="27"/>
    <n v="2"/>
    <s v="Und"/>
    <x v="2"/>
    <m/>
    <m/>
    <m/>
    <x v="2"/>
    <n v="9974"/>
    <m/>
    <n v="1865323"/>
    <n v="15"/>
    <m/>
  </r>
  <r>
    <s v="tuerca"/>
    <x v="27"/>
    <n v="2"/>
    <s v="Und"/>
    <x v="2"/>
    <m/>
    <m/>
    <m/>
    <x v="2"/>
    <n v="9974"/>
    <m/>
    <n v="1865323"/>
    <n v="16"/>
    <m/>
  </r>
  <r>
    <s v="tuerca"/>
    <x v="27"/>
    <n v="2"/>
    <s v="Und"/>
    <x v="2"/>
    <m/>
    <m/>
    <m/>
    <x v="2"/>
    <n v="9974"/>
    <m/>
    <n v="1865323"/>
    <n v="17"/>
    <m/>
  </r>
  <r>
    <s v="tuerca"/>
    <x v="27"/>
    <n v="2"/>
    <s v="Und"/>
    <x v="2"/>
    <m/>
    <m/>
    <m/>
    <x v="2"/>
    <n v="9974"/>
    <m/>
    <n v="1865323"/>
    <n v="18"/>
    <m/>
  </r>
  <r>
    <s v="tuerca"/>
    <x v="27"/>
    <n v="2"/>
    <s v="Und"/>
    <x v="2"/>
    <m/>
    <m/>
    <m/>
    <x v="2"/>
    <n v="9974"/>
    <m/>
    <n v="1865323"/>
    <n v="19"/>
    <m/>
  </r>
  <r>
    <s v="tuerca"/>
    <x v="27"/>
    <n v="2"/>
    <s v="Und"/>
    <x v="2"/>
    <m/>
    <m/>
    <m/>
    <x v="2"/>
    <n v="9974"/>
    <m/>
    <n v="1865323"/>
    <n v="20"/>
    <m/>
  </r>
  <r>
    <s v="tuerca"/>
    <x v="27"/>
    <n v="2"/>
    <s v="Und"/>
    <x v="2"/>
    <m/>
    <m/>
    <m/>
    <x v="2"/>
    <n v="9974"/>
    <m/>
    <n v="1865323"/>
    <n v="21"/>
    <m/>
  </r>
  <r>
    <s v="tuerca"/>
    <x v="27"/>
    <n v="2"/>
    <s v="Und"/>
    <x v="2"/>
    <m/>
    <m/>
    <m/>
    <x v="2"/>
    <n v="9974"/>
    <m/>
    <n v="1865323"/>
    <n v="22"/>
    <m/>
  </r>
  <r>
    <s v="cooper"/>
    <x v="28"/>
    <n v="1"/>
    <s v="Und"/>
    <x v="2"/>
    <m/>
    <m/>
    <m/>
    <x v="2"/>
    <n v="9974"/>
    <m/>
    <n v="2260883"/>
    <n v="1"/>
    <m/>
  </r>
  <r>
    <s v="cooper"/>
    <x v="28"/>
    <n v="1"/>
    <s v="Und"/>
    <x v="2"/>
    <m/>
    <m/>
    <m/>
    <x v="2"/>
    <n v="9974"/>
    <m/>
    <n v="1865331"/>
    <n v="10"/>
    <m/>
  </r>
  <r>
    <s v="cooper"/>
    <x v="28"/>
    <n v="1"/>
    <s v="Und"/>
    <x v="2"/>
    <m/>
    <m/>
    <m/>
    <x v="2"/>
    <n v="9974"/>
    <m/>
    <n v="1865323"/>
    <n v="14"/>
    <m/>
  </r>
  <r>
    <s v="Banda2"/>
    <x v="0"/>
    <n v="20"/>
    <s v="Und"/>
    <x v="0"/>
    <d v="2026-07-21T00:00:00"/>
    <m/>
    <m/>
    <x v="2"/>
    <n v="9967"/>
    <m/>
    <m/>
    <m/>
    <m/>
  </r>
  <r>
    <s v="Aislador1"/>
    <x v="1"/>
    <n v="20"/>
    <s v="Und"/>
    <x v="0"/>
    <d v="2026-07-21T00:00:00"/>
    <m/>
    <m/>
    <x v="2"/>
    <n v="9967"/>
    <m/>
    <m/>
    <m/>
    <m/>
  </r>
  <r>
    <s v="#6"/>
    <x v="2"/>
    <n v="210"/>
    <s v="Mts"/>
    <x v="0"/>
    <d v="2026-07-21T00:00:00"/>
    <m/>
    <m/>
    <x v="2"/>
    <n v="9967"/>
    <m/>
    <m/>
    <m/>
    <m/>
  </r>
  <r>
    <s v="capacete2"/>
    <x v="56"/>
    <n v="1"/>
    <s v="Und"/>
    <x v="0"/>
    <d v="2026-07-21T00:00:00"/>
    <m/>
    <m/>
    <x v="2"/>
    <n v="9967"/>
    <m/>
    <m/>
    <m/>
    <m/>
  </r>
  <r>
    <s v="percha1"/>
    <x v="11"/>
    <n v="20"/>
    <s v="Und"/>
    <x v="0"/>
    <d v="2026-07-21T00:00:00"/>
    <m/>
    <m/>
    <x v="2"/>
    <n v="9967"/>
    <m/>
    <m/>
    <m/>
    <m/>
  </r>
  <r>
    <s v="tubo 3"/>
    <x v="12"/>
    <n v="30"/>
    <s v="Mts"/>
    <x v="0"/>
    <d v="2026-07-21T00:00:00"/>
    <m/>
    <m/>
    <x v="2"/>
    <n v="9967"/>
    <m/>
    <m/>
    <m/>
    <m/>
  </r>
  <r>
    <s v="conduit"/>
    <x v="37"/>
    <n v="2"/>
    <s v="Und"/>
    <x v="0"/>
    <d v="2026-07-21T00:00:00"/>
    <m/>
    <m/>
    <x v="2"/>
    <n v="9967"/>
    <m/>
    <m/>
    <m/>
    <m/>
  </r>
  <r>
    <s v="brazo1"/>
    <x v="21"/>
    <n v="9"/>
    <s v="Und"/>
    <x v="2"/>
    <d v="2026-06-05T00:00:00"/>
    <m/>
    <m/>
    <x v="0"/>
    <n v="9821"/>
    <s v="cra 5 cll71"/>
    <m/>
    <m/>
    <m/>
  </r>
  <r>
    <s v="brazo1"/>
    <x v="21"/>
    <n v="3"/>
    <s v="Und"/>
    <x v="2"/>
    <m/>
    <m/>
    <m/>
    <x v="1"/>
    <n v="9959"/>
    <m/>
    <m/>
    <m/>
    <m/>
  </r>
  <r>
    <s v="bandit"/>
    <x v="4"/>
    <n v="3"/>
    <s v="Mts"/>
    <x v="2"/>
    <m/>
    <m/>
    <m/>
    <x v="1"/>
    <n v="9959"/>
    <m/>
    <n v="2277549"/>
    <n v="11"/>
    <m/>
  </r>
  <r>
    <s v="conec3"/>
    <x v="29"/>
    <n v="1"/>
    <s v="Und"/>
    <x v="2"/>
    <m/>
    <m/>
    <m/>
    <x v="1"/>
    <n v="9959"/>
    <m/>
    <n v="2277506"/>
    <n v="14"/>
    <m/>
  </r>
  <r>
    <s v="brazo1"/>
    <x v="21"/>
    <n v="19"/>
    <s v="Und"/>
    <x v="2"/>
    <d v="2026-06-27T00:00:00"/>
    <m/>
    <m/>
    <x v="1"/>
    <n v="9961"/>
    <s v="cr54cll 2oeste"/>
    <m/>
    <m/>
    <m/>
  </r>
  <r>
    <s v="coraza"/>
    <x v="36"/>
    <n v="0.8"/>
    <s v="Mts"/>
    <x v="2"/>
    <d v="2026-06-27T00:00:00"/>
    <m/>
    <m/>
    <x v="1"/>
    <n v="9961"/>
    <s v="cr54cll 2oeste"/>
    <m/>
    <n v="12"/>
    <m/>
  </r>
  <r>
    <s v="coraza"/>
    <x v="36"/>
    <n v="0.4"/>
    <s v="Mts"/>
    <x v="2"/>
    <d v="2026-06-27T00:00:00"/>
    <m/>
    <m/>
    <x v="1"/>
    <n v="9961"/>
    <s v="cr54cll 2oeste"/>
    <m/>
    <n v="14"/>
    <m/>
  </r>
  <r>
    <s v="coraza"/>
    <x v="36"/>
    <n v="0.8"/>
    <s v="Mts"/>
    <x v="2"/>
    <d v="2026-06-27T00:00:00"/>
    <m/>
    <m/>
    <x v="1"/>
    <n v="9961"/>
    <s v="cr54cll 2oeste"/>
    <m/>
    <n v="17"/>
    <m/>
  </r>
  <r>
    <s v="coraza"/>
    <x v="36"/>
    <n v="0.5"/>
    <s v="Mts"/>
    <x v="2"/>
    <d v="2026-06-27T00:00:00"/>
    <m/>
    <m/>
    <x v="1"/>
    <n v="9961"/>
    <s v="cr54cll 2oeste"/>
    <m/>
    <n v="19"/>
    <m/>
  </r>
  <r>
    <s v="coraza"/>
    <x v="36"/>
    <n v="0.5"/>
    <s v="Mts"/>
    <x v="2"/>
    <d v="2026-06-27T00:00:00"/>
    <m/>
    <m/>
    <x v="1"/>
    <n v="9961"/>
    <s v="cr54cll 2oeste"/>
    <m/>
    <n v="23"/>
    <m/>
  </r>
  <r>
    <s v="Foto"/>
    <x v="15"/>
    <n v="1"/>
    <s v="Und"/>
    <x v="2"/>
    <d v="2026-06-27T00:00:00"/>
    <m/>
    <m/>
    <x v="1"/>
    <n v="9961"/>
    <s v="cr54cll 2oeste"/>
    <n v="1588419"/>
    <n v="13"/>
    <m/>
  </r>
  <r>
    <s v="brazo1"/>
    <x v="21"/>
    <n v="5"/>
    <s v="Und"/>
    <x v="2"/>
    <d v="2026-07-01T00:00:00"/>
    <m/>
    <m/>
    <x v="1"/>
    <n v="9963"/>
    <s v="cll 18oe cra 44"/>
    <m/>
    <m/>
    <m/>
  </r>
  <r>
    <s v="angular"/>
    <x v="33"/>
    <n v="1"/>
    <s v="Und"/>
    <x v="2"/>
    <d v="2026-07-22T00:00:00"/>
    <m/>
    <m/>
    <x v="2"/>
    <n v="9966"/>
    <m/>
    <n v="2262487"/>
    <n v="17"/>
    <m/>
  </r>
  <r>
    <s v="brazo1"/>
    <x v="21"/>
    <n v="18"/>
    <s v="Und"/>
    <x v="2"/>
    <d v="2026-07-22T00:00:00"/>
    <m/>
    <m/>
    <x v="2"/>
    <n v="9966"/>
    <m/>
    <m/>
    <m/>
    <m/>
  </r>
  <r>
    <s v="tpx"/>
    <x v="23"/>
    <n v="27"/>
    <s v="Mts"/>
    <x v="2"/>
    <d v="2026-07-22T00:00:00"/>
    <m/>
    <m/>
    <x v="2"/>
    <n v="9966"/>
    <m/>
    <n v="2085887"/>
    <n v="3"/>
    <m/>
  </r>
  <r>
    <s v="conec3"/>
    <x v="29"/>
    <n v="1"/>
    <s v="Und"/>
    <x v="2"/>
    <d v="2026-07-22T00:00:00"/>
    <m/>
    <m/>
    <x v="2"/>
    <n v="9966"/>
    <m/>
    <n v="2262215"/>
    <n v="1"/>
    <m/>
  </r>
  <r>
    <s v="conec3"/>
    <x v="29"/>
    <n v="1"/>
    <s v="Und"/>
    <x v="2"/>
    <d v="2026-07-22T00:00:00"/>
    <m/>
    <m/>
    <x v="2"/>
    <n v="9966"/>
    <m/>
    <n v="2085887"/>
    <n v="3"/>
    <m/>
  </r>
  <r>
    <s v="conec3"/>
    <x v="29"/>
    <n v="1"/>
    <s v="Und"/>
    <x v="2"/>
    <d v="2026-07-22T00:00:00"/>
    <m/>
    <m/>
    <x v="2"/>
    <n v="9966"/>
    <m/>
    <n v="2262177"/>
    <n v="5"/>
    <m/>
  </r>
  <r>
    <s v="conec3"/>
    <x v="29"/>
    <n v="1"/>
    <s v="Und"/>
    <x v="2"/>
    <d v="2026-07-22T00:00:00"/>
    <m/>
    <m/>
    <x v="2"/>
    <n v="9966"/>
    <m/>
    <n v="2262258"/>
    <n v="7"/>
    <m/>
  </r>
  <r>
    <s v="conec3"/>
    <x v="29"/>
    <n v="1"/>
    <s v="Und"/>
    <x v="2"/>
    <d v="2026-07-22T00:00:00"/>
    <m/>
    <m/>
    <x v="2"/>
    <n v="9966"/>
    <m/>
    <n v="2262304"/>
    <n v="9"/>
    <m/>
  </r>
  <r>
    <s v="conec3"/>
    <x v="29"/>
    <n v="1"/>
    <s v="Und"/>
    <x v="2"/>
    <d v="2026-07-22T00:00:00"/>
    <m/>
    <m/>
    <x v="2"/>
    <n v="9966"/>
    <m/>
    <n v="2262347"/>
    <n v="11"/>
    <m/>
  </r>
  <r>
    <s v="conec3"/>
    <x v="29"/>
    <n v="1"/>
    <s v="Und"/>
    <x v="2"/>
    <d v="2026-07-22T00:00:00"/>
    <m/>
    <m/>
    <x v="2"/>
    <n v="9966"/>
    <m/>
    <n v="2262126"/>
    <n v="21"/>
    <m/>
  </r>
  <r>
    <s v="conec3"/>
    <x v="29"/>
    <n v="1"/>
    <s v="Und"/>
    <x v="2"/>
    <d v="2026-07-22T00:00:00"/>
    <m/>
    <m/>
    <x v="2"/>
    <n v="9966"/>
    <m/>
    <n v="2262487"/>
    <n v="17"/>
    <m/>
  </r>
  <r>
    <s v="conec3"/>
    <x v="29"/>
    <n v="1"/>
    <s v="Und"/>
    <x v="2"/>
    <d v="2026-07-22T00:00:00"/>
    <m/>
    <m/>
    <x v="2"/>
    <n v="9966"/>
    <m/>
    <n v="2262126"/>
    <n v="15"/>
    <m/>
  </r>
  <r>
    <s v="conec3"/>
    <x v="29"/>
    <n v="1"/>
    <s v="Und"/>
    <x v="2"/>
    <d v="2026-07-22T00:00:00"/>
    <m/>
    <m/>
    <x v="2"/>
    <n v="9966"/>
    <m/>
    <n v="2262436"/>
    <n v="23"/>
    <m/>
  </r>
  <r>
    <s v="cruceta"/>
    <x v="32"/>
    <n v="1"/>
    <s v="Und"/>
    <x v="2"/>
    <d v="2026-07-22T00:00:00"/>
    <m/>
    <m/>
    <x v="2"/>
    <n v="9966"/>
    <m/>
    <n v="2262487"/>
    <n v="17"/>
    <m/>
  </r>
  <r>
    <s v="gel1"/>
    <x v="8"/>
    <n v="2"/>
    <s v="Und"/>
    <x v="2"/>
    <d v="2026-07-22T00:00:00"/>
    <m/>
    <m/>
    <x v="2"/>
    <n v="9966"/>
    <m/>
    <n v="2262215"/>
    <n v="1"/>
    <m/>
  </r>
  <r>
    <s v="gel1"/>
    <x v="8"/>
    <n v="2"/>
    <s v="Und"/>
    <x v="2"/>
    <d v="2026-07-22T00:00:00"/>
    <m/>
    <m/>
    <x v="2"/>
    <n v="9966"/>
    <m/>
    <n v="2085887"/>
    <n v="3"/>
    <m/>
  </r>
  <r>
    <s v="gel1"/>
    <x v="8"/>
    <n v="2"/>
    <s v="Und"/>
    <x v="2"/>
    <d v="2026-07-22T00:00:00"/>
    <m/>
    <m/>
    <x v="2"/>
    <n v="9966"/>
    <m/>
    <n v="2262177"/>
    <n v="5"/>
    <m/>
  </r>
  <r>
    <s v="gel1"/>
    <x v="8"/>
    <n v="2"/>
    <s v="Und"/>
    <x v="2"/>
    <d v="2026-07-22T00:00:00"/>
    <m/>
    <m/>
    <x v="2"/>
    <n v="9966"/>
    <m/>
    <n v="2262258"/>
    <n v="7"/>
    <m/>
  </r>
  <r>
    <s v="gel1"/>
    <x v="8"/>
    <n v="2"/>
    <s v="Und"/>
    <x v="2"/>
    <d v="2026-07-22T00:00:00"/>
    <m/>
    <m/>
    <x v="2"/>
    <n v="9966"/>
    <m/>
    <n v="2262304"/>
    <n v="9"/>
    <m/>
  </r>
  <r>
    <s v="gel1"/>
    <x v="8"/>
    <n v="2"/>
    <s v="Und"/>
    <x v="2"/>
    <d v="2026-07-22T00:00:00"/>
    <m/>
    <m/>
    <x v="2"/>
    <n v="9966"/>
    <m/>
    <n v="2262347"/>
    <n v="11"/>
    <m/>
  </r>
  <r>
    <s v="gel1"/>
    <x v="8"/>
    <n v="2"/>
    <s v="Und"/>
    <x v="2"/>
    <d v="2026-07-22T00:00:00"/>
    <m/>
    <m/>
    <x v="2"/>
    <n v="9966"/>
    <m/>
    <n v="2262436"/>
    <n v="23"/>
    <m/>
  </r>
  <r>
    <s v="gel1"/>
    <x v="8"/>
    <n v="2"/>
    <s v="Und"/>
    <x v="2"/>
    <d v="2026-07-22T00:00:00"/>
    <m/>
    <m/>
    <x v="2"/>
    <n v="9966"/>
    <m/>
    <n v="2262126"/>
    <n v="21"/>
    <m/>
  </r>
  <r>
    <s v="gel1"/>
    <x v="8"/>
    <n v="2"/>
    <s v="Und"/>
    <x v="2"/>
    <d v="2026-07-22T00:00:00"/>
    <m/>
    <m/>
    <x v="2"/>
    <n v="9966"/>
    <m/>
    <n v="2262487"/>
    <n v="17"/>
    <m/>
  </r>
  <r>
    <s v="gel1"/>
    <x v="8"/>
    <n v="2"/>
    <s v="Und"/>
    <x v="2"/>
    <d v="2026-07-22T00:00:00"/>
    <m/>
    <m/>
    <x v="2"/>
    <n v="9966"/>
    <m/>
    <n v="2262126"/>
    <n v="15"/>
    <m/>
  </r>
  <r>
    <s v="Perno2"/>
    <x v="55"/>
    <n v="1"/>
    <s v="Und"/>
    <x v="2"/>
    <d v="2026-07-22T00:00:00"/>
    <m/>
    <m/>
    <x v="2"/>
    <n v="9966"/>
    <m/>
    <n v="2085887"/>
    <n v="3"/>
    <m/>
  </r>
  <r>
    <s v="Perno2"/>
    <x v="55"/>
    <n v="1"/>
    <s v="Und"/>
    <x v="2"/>
    <d v="2026-07-22T00:00:00"/>
    <m/>
    <m/>
    <x v="2"/>
    <n v="9966"/>
    <m/>
    <n v="2262487"/>
    <n v="17"/>
    <m/>
  </r>
  <r>
    <s v="Perno2"/>
    <x v="55"/>
    <n v="1"/>
    <s v="Und"/>
    <x v="2"/>
    <d v="2026-07-22T00:00:00"/>
    <m/>
    <m/>
    <x v="2"/>
    <n v="9966"/>
    <m/>
    <n v="2262487"/>
    <n v="18"/>
    <m/>
  </r>
  <r>
    <s v="Perno2"/>
    <x v="55"/>
    <n v="1"/>
    <s v="Und"/>
    <x v="2"/>
    <d v="2026-07-22T00:00:00"/>
    <m/>
    <m/>
    <x v="2"/>
    <n v="9966"/>
    <m/>
    <n v="2262487"/>
    <n v="19"/>
    <m/>
  </r>
  <r>
    <s v="Perno2"/>
    <x v="55"/>
    <n v="1"/>
    <s v="Und"/>
    <x v="2"/>
    <d v="2026-07-22T00:00:00"/>
    <m/>
    <m/>
    <x v="2"/>
    <n v="9966"/>
    <m/>
    <n v="2262398"/>
    <n v="13"/>
    <m/>
  </r>
  <r>
    <s v="Perno2"/>
    <x v="55"/>
    <n v="1"/>
    <s v="Und"/>
    <x v="2"/>
    <d v="2026-07-22T00:00:00"/>
    <m/>
    <m/>
    <x v="2"/>
    <n v="9966"/>
    <m/>
    <n v="2262398"/>
    <n v="14"/>
    <m/>
  </r>
  <r>
    <s v="Perno2"/>
    <x v="55"/>
    <n v="1"/>
    <s v="Und"/>
    <x v="2"/>
    <d v="2026-07-22T00:00:00"/>
    <m/>
    <m/>
    <x v="2"/>
    <n v="9966"/>
    <m/>
    <n v="2262126"/>
    <n v="15"/>
    <m/>
  </r>
  <r>
    <s v="tuerca"/>
    <x v="27"/>
    <n v="1"/>
    <s v="Und"/>
    <x v="2"/>
    <d v="2026-07-22T00:00:00"/>
    <m/>
    <m/>
    <x v="2"/>
    <n v="9966"/>
    <m/>
    <n v="2085887"/>
    <n v="3"/>
    <m/>
  </r>
  <r>
    <s v="tuerca"/>
    <x v="27"/>
    <n v="1"/>
    <s v="Und"/>
    <x v="2"/>
    <d v="2026-07-22T00:00:00"/>
    <m/>
    <m/>
    <x v="2"/>
    <n v="9966"/>
    <m/>
    <n v="2262487"/>
    <n v="17"/>
    <m/>
  </r>
  <r>
    <s v="tuerca"/>
    <x v="27"/>
    <n v="1"/>
    <s v="Und"/>
    <x v="2"/>
    <d v="2026-07-22T00:00:00"/>
    <m/>
    <m/>
    <x v="2"/>
    <n v="9966"/>
    <m/>
    <n v="2262487"/>
    <n v="18"/>
    <m/>
  </r>
  <r>
    <s v="tuerca"/>
    <x v="27"/>
    <n v="1"/>
    <s v="Und"/>
    <x v="2"/>
    <d v="2026-07-22T00:00:00"/>
    <m/>
    <m/>
    <x v="2"/>
    <n v="9966"/>
    <m/>
    <n v="2262487"/>
    <n v="19"/>
    <m/>
  </r>
  <r>
    <s v="tuerca"/>
    <x v="27"/>
    <n v="1"/>
    <s v="Und"/>
    <x v="2"/>
    <d v="2026-07-22T00:00:00"/>
    <m/>
    <m/>
    <x v="2"/>
    <n v="9966"/>
    <m/>
    <n v="2262398"/>
    <n v="13"/>
    <m/>
  </r>
  <r>
    <s v="tuerca"/>
    <x v="27"/>
    <n v="1"/>
    <s v="Und"/>
    <x v="2"/>
    <d v="2026-07-22T00:00:00"/>
    <m/>
    <m/>
    <x v="2"/>
    <n v="9966"/>
    <m/>
    <n v="2262398"/>
    <n v="14"/>
    <m/>
  </r>
  <r>
    <s v="tuerca"/>
    <x v="27"/>
    <n v="1"/>
    <s v="Und"/>
    <x v="2"/>
    <d v="2026-07-22T00:00:00"/>
    <m/>
    <m/>
    <x v="2"/>
    <n v="9966"/>
    <m/>
    <n v="2262126"/>
    <n v="15"/>
    <m/>
  </r>
  <r>
    <s v="cooper"/>
    <x v="28"/>
    <n v="1"/>
    <s v="Und"/>
    <x v="2"/>
    <d v="2026-07-22T00:00:00"/>
    <m/>
    <m/>
    <x v="2"/>
    <n v="9966"/>
    <m/>
    <n v="2262487"/>
    <n v="17"/>
    <m/>
  </r>
  <r>
    <s v="cooper"/>
    <x v="28"/>
    <n v="1"/>
    <s v="Und"/>
    <x v="2"/>
    <d v="2026-07-22T00:00:00"/>
    <m/>
    <m/>
    <x v="2"/>
    <n v="9966"/>
    <m/>
    <n v="2262126"/>
    <n v="21"/>
    <m/>
  </r>
  <r>
    <s v="cooper"/>
    <x v="28"/>
    <n v="1"/>
    <s v="Und"/>
    <x v="2"/>
    <d v="2026-07-22T00:00:00"/>
    <m/>
    <m/>
    <x v="2"/>
    <n v="9966"/>
    <m/>
    <n v="2262436"/>
    <n v="23"/>
    <m/>
  </r>
  <r>
    <s v="perno2"/>
    <x v="55"/>
    <n v="7"/>
    <s v="Und"/>
    <x v="2"/>
    <d v="2026-07-15T00:00:00"/>
    <m/>
    <m/>
    <x v="2"/>
    <n v="9967"/>
    <m/>
    <m/>
    <m/>
    <m/>
  </r>
  <r>
    <s v="brazo1"/>
    <x v="21"/>
    <n v="7"/>
    <s v="Und"/>
    <x v="2"/>
    <d v="2026-07-28T00:00:00"/>
    <m/>
    <m/>
    <x v="2"/>
    <n v="9968"/>
    <m/>
    <m/>
    <m/>
    <m/>
  </r>
  <r>
    <s v="brazo L"/>
    <x v="49"/>
    <n v="2"/>
    <s v="Und"/>
    <x v="2"/>
    <d v="2026-07-28T00:00:00"/>
    <m/>
    <m/>
    <x v="2"/>
    <n v="9968"/>
    <m/>
    <m/>
    <m/>
    <m/>
  </r>
  <r>
    <s v="3*14"/>
    <x v="3"/>
    <n v="36"/>
    <s v="Und"/>
    <x v="2"/>
    <d v="2026-07-28T00:00:00"/>
    <m/>
    <m/>
    <x v="2"/>
    <n v="9968"/>
    <m/>
    <m/>
    <m/>
    <m/>
  </r>
  <r>
    <s v="brazo1"/>
    <x v="21"/>
    <n v="19"/>
    <s v="Und"/>
    <x v="2"/>
    <d v="2026-07-22T00:00:00"/>
    <m/>
    <m/>
    <x v="2"/>
    <n v="9971"/>
    <m/>
    <m/>
    <m/>
    <m/>
  </r>
  <r>
    <s v="brazo1"/>
    <x v="21"/>
    <n v="6"/>
    <s v="Und"/>
    <x v="2"/>
    <m/>
    <m/>
    <m/>
    <x v="2"/>
    <n v="9974"/>
    <m/>
    <m/>
    <m/>
    <m/>
  </r>
  <r>
    <s v="brazo1"/>
    <x v="21"/>
    <n v="9"/>
    <s v="Und"/>
    <x v="0"/>
    <d v="2026-06-05T00:00:00"/>
    <m/>
    <m/>
    <x v="0"/>
    <n v="9821"/>
    <s v="cra 5 cll71"/>
    <m/>
    <m/>
    <m/>
  </r>
  <r>
    <s v="conec1"/>
    <x v="6"/>
    <n v="30"/>
    <s v="Und"/>
    <x v="0"/>
    <d v="2026-07-30T00:00:00"/>
    <m/>
    <m/>
    <x v="1"/>
    <n v="9959"/>
    <s v="cr42b-cl11/13"/>
    <m/>
    <m/>
    <m/>
  </r>
  <r>
    <s v="brazo1"/>
    <x v="21"/>
    <n v="16"/>
    <s v="Und"/>
    <x v="2"/>
    <m/>
    <m/>
    <m/>
    <x v="1"/>
    <n v="9960"/>
    <m/>
    <m/>
    <m/>
    <m/>
  </r>
  <r>
    <s v="brazo1"/>
    <x v="21"/>
    <n v="19"/>
    <s v="Und"/>
    <x v="0"/>
    <d v="2026-06-27T00:00:00"/>
    <m/>
    <m/>
    <x v="1"/>
    <n v="9961"/>
    <m/>
    <m/>
    <m/>
    <m/>
  </r>
  <r>
    <s v="brazo1"/>
    <x v="21"/>
    <n v="4"/>
    <s v="Und"/>
    <x v="0"/>
    <d v="2026-06-27T00:00:00"/>
    <m/>
    <m/>
    <x v="1"/>
    <n v="9963"/>
    <s v="parque y cancha cl 18 oe kra 44"/>
    <m/>
    <m/>
    <m/>
  </r>
  <r>
    <s v="lum-75"/>
    <x v="16"/>
    <n v="1"/>
    <s v="Und"/>
    <x v="0"/>
    <d v="2026-07-17T00:00:00"/>
    <s v="CURRENT"/>
    <s v="6E00430"/>
    <x v="2"/>
    <n v="9966"/>
    <m/>
    <m/>
    <m/>
    <m/>
  </r>
  <r>
    <s v="angular"/>
    <x v="33"/>
    <n v="3"/>
    <s v="Und"/>
    <x v="2"/>
    <m/>
    <m/>
    <m/>
    <x v="2"/>
    <n v="9968"/>
    <m/>
    <m/>
    <m/>
    <m/>
  </r>
  <r>
    <s v="cruceta"/>
    <x v="32"/>
    <n v="3"/>
    <s v="Und"/>
    <x v="2"/>
    <m/>
    <m/>
    <m/>
    <x v="2"/>
    <n v="9968"/>
    <m/>
    <m/>
    <m/>
    <m/>
  </r>
  <r>
    <s v="brazo1"/>
    <x v="21"/>
    <n v="9"/>
    <s v="Und"/>
    <x v="0"/>
    <d v="2026-07-18T00:00:00"/>
    <m/>
    <m/>
    <x v="2"/>
    <n v="9973"/>
    <m/>
    <m/>
    <m/>
    <m/>
  </r>
  <r>
    <s v="brazo1"/>
    <x v="21"/>
    <n v="9"/>
    <s v="Und"/>
    <x v="2"/>
    <m/>
    <m/>
    <m/>
    <x v="2"/>
    <n v="9973"/>
    <m/>
    <m/>
    <m/>
    <m/>
  </r>
  <r>
    <s v="marco"/>
    <x v="30"/>
    <n v="1"/>
    <s v="Und"/>
    <x v="2"/>
    <m/>
    <m/>
    <m/>
    <x v="2"/>
    <n v="9974"/>
    <m/>
    <n v="2260883"/>
    <n v="1"/>
    <m/>
  </r>
  <r>
    <s v="marco"/>
    <x v="30"/>
    <n v="1"/>
    <s v="Und"/>
    <x v="2"/>
    <m/>
    <m/>
    <m/>
    <x v="2"/>
    <n v="9974"/>
    <m/>
    <n v="1865331"/>
    <n v="10"/>
    <m/>
  </r>
  <r>
    <s v="marco"/>
    <x v="30"/>
    <n v="1"/>
    <s v="Und"/>
    <x v="2"/>
    <m/>
    <m/>
    <m/>
    <x v="2"/>
    <n v="9974"/>
    <m/>
    <n v="1865323"/>
    <n v="14"/>
    <m/>
  </r>
  <r>
    <s v="brazo1"/>
    <x v="21"/>
    <n v="15"/>
    <s v="Und"/>
    <x v="0"/>
    <m/>
    <m/>
    <m/>
    <x v="2"/>
    <n v="9972"/>
    <m/>
    <m/>
    <m/>
    <m/>
  </r>
  <r>
    <s v="tapa1"/>
    <x v="13"/>
    <n v="2"/>
    <s v="Und"/>
    <x v="2"/>
    <m/>
    <m/>
    <m/>
    <x v="0"/>
    <n v="9820"/>
    <m/>
    <m/>
    <m/>
    <m/>
  </r>
  <r>
    <s v="pro-190"/>
    <x v="19"/>
    <n v="1"/>
    <s v="Und"/>
    <x v="0"/>
    <d v="2026-07-18T00:00:00"/>
    <s v="CURRENT"/>
    <s v="6PD0330"/>
    <x v="2"/>
    <n v="9974"/>
    <m/>
    <m/>
    <m/>
    <m/>
  </r>
  <r>
    <s v="pro-190"/>
    <x v="19"/>
    <n v="1"/>
    <s v="Und"/>
    <x v="2"/>
    <m/>
    <s v="CURRENT"/>
    <s v="6PD0330"/>
    <x v="2"/>
    <n v="9974"/>
    <m/>
    <n v="1865331"/>
    <n v="13"/>
    <m/>
  </r>
  <r>
    <s v="pro-190"/>
    <x v="19"/>
    <n v="1"/>
    <s v="Und"/>
    <x v="2"/>
    <d v="2026-07-01T00:00:00"/>
    <s v="CURRENT"/>
    <s v="6PD0242"/>
    <x v="2"/>
    <n v="9968"/>
    <m/>
    <n v="1865307"/>
    <n v="18"/>
    <m/>
  </r>
  <r>
    <s v="pro-190"/>
    <x v="19"/>
    <n v="1"/>
    <s v="Und"/>
    <x v="2"/>
    <d v="2026-07-01T00:00:00"/>
    <s v="CURRENT"/>
    <s v="6PD0243"/>
    <x v="2"/>
    <n v="9968"/>
    <m/>
    <n v="1865307"/>
    <n v="23"/>
    <m/>
  </r>
  <r>
    <s v="pro-190"/>
    <x v="19"/>
    <n v="1"/>
    <s v="Und"/>
    <x v="2"/>
    <d v="2026-07-01T00:00:00"/>
    <s v="CURRENT"/>
    <s v="6PD0245"/>
    <x v="2"/>
    <n v="9968"/>
    <m/>
    <n v="1865307"/>
    <n v="16"/>
    <m/>
  </r>
  <r>
    <s v="pro-190"/>
    <x v="19"/>
    <n v="1"/>
    <s v="Und"/>
    <x v="2"/>
    <d v="2026-07-01T00:00:00"/>
    <s v="CURRENT"/>
    <s v="6PD0247"/>
    <x v="2"/>
    <n v="9968"/>
    <m/>
    <n v="1865307"/>
    <n v="20"/>
    <m/>
  </r>
  <r>
    <s v="pro-190"/>
    <x v="19"/>
    <n v="1"/>
    <s v="Und"/>
    <x v="2"/>
    <d v="2026-07-01T00:00:00"/>
    <s v="CURRENT"/>
    <s v="6PD0253"/>
    <x v="2"/>
    <n v="9968"/>
    <m/>
    <n v="1865307"/>
    <n v="22"/>
    <m/>
  </r>
  <r>
    <s v="pro-190"/>
    <x v="19"/>
    <n v="1"/>
    <s v="Und"/>
    <x v="2"/>
    <d v="2026-07-01T00:00:00"/>
    <s v="CURRENT"/>
    <s v="6PD0255"/>
    <x v="2"/>
    <n v="9968"/>
    <m/>
    <n v="1865307"/>
    <n v="17"/>
    <m/>
  </r>
  <r>
    <s v="pro-190"/>
    <x v="19"/>
    <n v="1"/>
    <s v="Und"/>
    <x v="2"/>
    <d v="2026-07-01T00:00:00"/>
    <s v="CURRENT"/>
    <s v="6PD0259"/>
    <x v="2"/>
    <n v="9968"/>
    <m/>
    <n v="1865307"/>
    <n v="21"/>
    <m/>
  </r>
  <r>
    <s v="pro-190"/>
    <x v="19"/>
    <n v="1"/>
    <s v="Und"/>
    <x v="2"/>
    <d v="2026-07-01T00:00:00"/>
    <s v="CURRENT"/>
    <s v="6PD0273"/>
    <x v="2"/>
    <n v="9968"/>
    <m/>
    <n v="1865307"/>
    <n v="19"/>
    <m/>
  </r>
  <r>
    <s v="ciega1"/>
    <x v="44"/>
    <n v="39"/>
    <s v="Und"/>
    <x v="3"/>
    <d v="2026-08-26T00:00:00"/>
    <m/>
    <m/>
    <x v="3"/>
    <m/>
    <m/>
    <s v="N/A"/>
    <s v="N/A"/>
    <m/>
  </r>
  <r>
    <s v="banda1"/>
    <x v="22"/>
    <n v="41"/>
    <s v="Und"/>
    <x v="3"/>
    <d v="2026-08-26T00:00:00"/>
    <m/>
    <m/>
    <x v="3"/>
    <m/>
    <m/>
    <s v="N/A"/>
    <s v="N/A"/>
    <m/>
  </r>
  <r>
    <s v="ciega2"/>
    <x v="46"/>
    <n v="9"/>
    <s v="Und"/>
    <x v="3"/>
    <d v="2026-08-26T00:00:00"/>
    <m/>
    <m/>
    <x v="3"/>
    <m/>
    <m/>
    <s v="N/A"/>
    <s v="N/A"/>
    <m/>
  </r>
  <r>
    <s v="Banda2"/>
    <x v="0"/>
    <n v="1"/>
    <s v="Und"/>
    <x v="3"/>
    <d v="2026-08-26T00:00:00"/>
    <m/>
    <m/>
    <x v="3"/>
    <m/>
    <m/>
    <s v="N/A"/>
    <s v="N/A"/>
    <m/>
  </r>
  <r>
    <s v="corona"/>
    <x v="47"/>
    <n v="4"/>
    <s v="Und"/>
    <x v="3"/>
    <d v="2026-08-26T00:00:00"/>
    <m/>
    <m/>
    <x v="3"/>
    <m/>
    <m/>
    <s v="N/A"/>
    <s v="N/A"/>
    <m/>
  </r>
  <r>
    <s v="Aislador1"/>
    <x v="1"/>
    <n v="33"/>
    <s v="Und"/>
    <x v="3"/>
    <d v="2026-08-26T00:00:00"/>
    <m/>
    <m/>
    <x v="3"/>
    <m/>
    <m/>
    <s v="N/A"/>
    <s v="N/A"/>
    <m/>
  </r>
  <r>
    <s v="alambre 14"/>
    <x v="40"/>
    <n v="50"/>
    <s v="Mts"/>
    <x v="3"/>
    <d v="2026-08-26T00:00:00"/>
    <m/>
    <m/>
    <x v="3"/>
    <m/>
    <m/>
    <s v="N/A"/>
    <s v="N/A"/>
    <m/>
  </r>
  <r>
    <s v="brazo1"/>
    <x v="21"/>
    <n v="4"/>
    <s v="Und"/>
    <x v="3"/>
    <d v="2026-08-26T00:00:00"/>
    <m/>
    <m/>
    <x v="3"/>
    <m/>
    <m/>
    <s v="N/A"/>
    <s v="N/A"/>
    <m/>
  </r>
  <r>
    <s v="#6"/>
    <x v="2"/>
    <n v="460"/>
    <s v="Mts"/>
    <x v="3"/>
    <d v="2026-08-26T00:00:00"/>
    <m/>
    <m/>
    <x v="3"/>
    <m/>
    <m/>
    <s v="N/A"/>
    <s v="N/A"/>
    <m/>
  </r>
  <r>
    <s v="3*14"/>
    <x v="3"/>
    <n v="363"/>
    <s v="Mts"/>
    <x v="3"/>
    <d v="2026-08-26T00:00:00"/>
    <m/>
    <m/>
    <x v="3"/>
    <m/>
    <m/>
    <s v="N/A"/>
    <s v="N/A"/>
    <m/>
  </r>
  <r>
    <s v="tpx"/>
    <x v="23"/>
    <n v="90"/>
    <s v="Und"/>
    <x v="3"/>
    <d v="2026-08-26T00:00:00"/>
    <m/>
    <m/>
    <x v="3"/>
    <m/>
    <m/>
    <s v="N/A"/>
    <s v="N/A"/>
    <m/>
  </r>
  <r>
    <s v="capacete2"/>
    <x v="56"/>
    <n v="1"/>
    <s v="Und"/>
    <x v="3"/>
    <d v="2026-08-26T00:00:00"/>
    <m/>
    <m/>
    <x v="3"/>
    <m/>
    <m/>
    <s v="N/A"/>
    <s v="N/A"/>
    <m/>
  </r>
  <r>
    <s v="capacete"/>
    <x v="38"/>
    <n v="24"/>
    <s v="Und"/>
    <x v="3"/>
    <d v="2026-08-26T00:00:00"/>
    <m/>
    <m/>
    <x v="3"/>
    <m/>
    <m/>
    <s v="N/A"/>
    <s v="N/A"/>
    <m/>
  </r>
  <r>
    <s v="concertina"/>
    <x v="50"/>
    <n v="102"/>
    <s v="Mts"/>
    <x v="3"/>
    <d v="2026-08-26T00:00:00"/>
    <m/>
    <m/>
    <x v="3"/>
    <m/>
    <m/>
    <s v="N/A"/>
    <s v="N/A"/>
    <m/>
  </r>
  <r>
    <s v="conec1"/>
    <x v="6"/>
    <n v="13"/>
    <s v="Und"/>
    <x v="3"/>
    <d v="2026-08-26T00:00:00"/>
    <m/>
    <m/>
    <x v="3"/>
    <m/>
    <m/>
    <s v="N/A"/>
    <s v="N/A"/>
    <m/>
  </r>
  <r>
    <s v="conec2"/>
    <x v="7"/>
    <n v="49"/>
    <s v="Und"/>
    <x v="3"/>
    <d v="2026-08-26T00:00:00"/>
    <m/>
    <m/>
    <x v="3"/>
    <m/>
    <m/>
    <s v="N/A"/>
    <s v="N/A"/>
    <m/>
  </r>
  <r>
    <s v="conec3"/>
    <x v="29"/>
    <n v="2"/>
    <s v="Und"/>
    <x v="3"/>
    <d v="2026-08-26T00:00:00"/>
    <m/>
    <m/>
    <x v="3"/>
    <m/>
    <m/>
    <s v="N/A"/>
    <s v="N/A"/>
    <m/>
  </r>
  <r>
    <s v="gel1"/>
    <x v="8"/>
    <n v="13"/>
    <s v="Und"/>
    <x v="3"/>
    <d v="2026-08-26T00:00:00"/>
    <m/>
    <m/>
    <x v="3"/>
    <m/>
    <m/>
    <s v="N/A"/>
    <s v="N/A"/>
    <m/>
  </r>
  <r>
    <s v="gel2"/>
    <x v="9"/>
    <n v="6"/>
    <s v="Und"/>
    <x v="3"/>
    <d v="2026-08-26T00:00:00"/>
    <m/>
    <m/>
    <x v="3"/>
    <m/>
    <m/>
    <s v="N/A"/>
    <s v="N/A"/>
    <m/>
  </r>
  <r>
    <s v="Foto"/>
    <x v="15"/>
    <n v="1"/>
    <s v="Und"/>
    <x v="3"/>
    <d v="2026-08-26T00:00:00"/>
    <m/>
    <m/>
    <x v="3"/>
    <m/>
    <m/>
    <s v="N/A"/>
    <s v="N/A"/>
    <m/>
  </r>
  <r>
    <s v="grillete"/>
    <x v="24"/>
    <n v="178"/>
    <s v="Und"/>
    <x v="3"/>
    <d v="2026-08-26T00:00:00"/>
    <m/>
    <m/>
    <x v="3"/>
    <m/>
    <m/>
    <s v="N/A"/>
    <s v="N/A"/>
    <m/>
  </r>
  <r>
    <s v="lum-110"/>
    <x v="20"/>
    <n v="1"/>
    <s v="Und"/>
    <x v="3"/>
    <d v="2026-08-26T00:00:00"/>
    <s v="CURRENT"/>
    <m/>
    <x v="3"/>
    <m/>
    <m/>
    <s v="N/A"/>
    <s v="N/A"/>
    <m/>
  </r>
  <r>
    <s v="lum-75"/>
    <x v="16"/>
    <n v="1"/>
    <s v="Und"/>
    <x v="3"/>
    <d v="2026-08-26T00:00:00"/>
    <s v="CURRENT"/>
    <m/>
    <x v="3"/>
    <m/>
    <m/>
    <s v="N/A"/>
    <s v="N/A"/>
    <m/>
  </r>
  <r>
    <s v="marco"/>
    <x v="30"/>
    <n v="9"/>
    <s v="Und"/>
    <x v="3"/>
    <d v="2026-08-26T00:00:00"/>
    <m/>
    <m/>
    <x v="3"/>
    <m/>
    <m/>
    <s v="N/A"/>
    <s v="N/A"/>
    <m/>
  </r>
  <r>
    <s v="tapa2"/>
    <x v="14"/>
    <n v="9"/>
    <s v="Und"/>
    <x v="3"/>
    <d v="2026-08-26T00:00:00"/>
    <m/>
    <m/>
    <x v="3"/>
    <m/>
    <m/>
    <s v="N/A"/>
    <s v="N/A"/>
    <m/>
  </r>
  <r>
    <s v="percha1"/>
    <x v="11"/>
    <n v="39"/>
    <s v="Und"/>
    <x v="3"/>
    <d v="2026-08-26T00:00:00"/>
    <m/>
    <m/>
    <x v="3"/>
    <m/>
    <m/>
    <s v="N/A"/>
    <s v="N/A"/>
    <m/>
  </r>
  <r>
    <s v="pro-190"/>
    <x v="19"/>
    <n v="5"/>
    <s v="Und"/>
    <x v="3"/>
    <d v="2026-08-26T00:00:00"/>
    <m/>
    <m/>
    <x v="3"/>
    <m/>
    <m/>
    <s v="N/A"/>
    <s v="N/A"/>
    <m/>
  </r>
  <r>
    <s v="tubo 3"/>
    <x v="12"/>
    <n v="13"/>
    <s v="Mts"/>
    <x v="3"/>
    <d v="2026-08-26T00:00:00"/>
    <m/>
    <m/>
    <x v="3"/>
    <m/>
    <m/>
    <s v="N/A"/>
    <s v="N/A"/>
    <m/>
  </r>
  <r>
    <s v="tubo 1"/>
    <x v="52"/>
    <n v="6"/>
    <s v="Und"/>
    <x v="3"/>
    <d v="2026-08-26T00:00:00"/>
    <m/>
    <m/>
    <x v="3"/>
    <m/>
    <m/>
    <s v="N/A"/>
    <s v="N/A"/>
    <m/>
  </r>
  <r>
    <s v="conduit"/>
    <x v="37"/>
    <n v="17"/>
    <s v="Und"/>
    <x v="3"/>
    <d v="2026-08-26T00:00:00"/>
    <m/>
    <m/>
    <x v="3"/>
    <m/>
    <m/>
    <s v="N/A"/>
    <s v="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A54E3-6C60-4042-B3D8-9467A5CF702B}" name="TablaDiná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multipleFieldFilters="0" rowHeaderCaption="Material">
  <location ref="G5:I27" firstHeaderRow="1" firstDataRow="2" firstDataCol="1" rowPageCount="1" colPageCount="1"/>
  <pivotFields count="14">
    <pivotField showAll="0"/>
    <pivotField axis="axisRow" showAll="0">
      <items count="58">
        <item x="0"/>
        <item x="1"/>
        <item x="21"/>
        <item x="18"/>
        <item x="2"/>
        <item x="3"/>
        <item x="4"/>
        <item x="6"/>
        <item x="7"/>
        <item x="9"/>
        <item x="8"/>
        <item x="15"/>
        <item x="24"/>
        <item x="5"/>
        <item x="10"/>
        <item x="16"/>
        <item x="17"/>
        <item x="11"/>
        <item x="55"/>
        <item x="13"/>
        <item x="14"/>
        <item x="12"/>
        <item x="27"/>
        <item x="19"/>
        <item x="20"/>
        <item x="29"/>
        <item x="22"/>
        <item x="23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t="default"/>
      </items>
    </pivotField>
    <pivotField dataField="1" showAll="0"/>
    <pivotField showAll="0"/>
    <pivotField axis="axisCol" showAll="0">
      <items count="5">
        <item h="1" x="1"/>
        <item x="0"/>
        <item x="2"/>
        <item h="1" x="3"/>
        <item t="default"/>
      </items>
    </pivotField>
    <pivotField numFmtId="14" showAll="0"/>
    <pivotField showAll="0"/>
    <pivotField showAll="0"/>
    <pivotField axis="axisPage" multipleItemSelectionAllowed="1" showAll="0">
      <items count="5">
        <item h="1" x="2"/>
        <item h="1" x="1"/>
        <item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</rowItems>
  <colFields count="1">
    <field x="4"/>
  </colFields>
  <colItems count="2">
    <i>
      <x v="1"/>
    </i>
    <i>
      <x v="2"/>
    </i>
  </colItems>
  <pageFields count="1">
    <pageField fld="8" hier="-1"/>
  </pageFields>
  <dataFields count="1">
    <dataField name="Suma de CANTIDAD" fld="2" baseField="0" baseItem="0"/>
  </dataFields>
  <formats count="4"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Col="1" outline="0" fieldPosition="0"/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7792C-AC15-47B6-8915-239787F6047F}" name="TablaDinámica2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multipleFieldFilters="0" rowHeaderCaption="Material">
  <location ref="G4:I49" firstHeaderRow="1" firstDataRow="2" firstDataCol="1" rowPageCount="1" colPageCount="1"/>
  <pivotFields count="14">
    <pivotField showAll="0"/>
    <pivotField axis="axisRow" showAll="0">
      <items count="58">
        <item x="44"/>
        <item x="46"/>
        <item x="47"/>
        <item x="39"/>
        <item x="22"/>
        <item x="0"/>
        <item x="1"/>
        <item x="40"/>
        <item x="33"/>
        <item x="21"/>
        <item x="18"/>
        <item x="41"/>
        <item x="3"/>
        <item x="23"/>
        <item x="38"/>
        <item x="45"/>
        <item x="48"/>
        <item x="4"/>
        <item x="6"/>
        <item x="7"/>
        <item x="29"/>
        <item x="36"/>
        <item x="32"/>
        <item x="8"/>
        <item x="15"/>
        <item x="24"/>
        <item x="5"/>
        <item x="10"/>
        <item x="20"/>
        <item x="16"/>
        <item x="17"/>
        <item x="30"/>
        <item x="11"/>
        <item x="25"/>
        <item x="55"/>
        <item x="43"/>
        <item x="19"/>
        <item x="31"/>
        <item x="35"/>
        <item x="42"/>
        <item x="34"/>
        <item x="14"/>
        <item x="26"/>
        <item x="12"/>
        <item x="52"/>
        <item x="37"/>
        <item x="51"/>
        <item x="27"/>
        <item x="28"/>
        <item x="2"/>
        <item x="9"/>
        <item x="13"/>
        <item x="49"/>
        <item x="50"/>
        <item x="53"/>
        <item x="54"/>
        <item x="56"/>
        <item t="default"/>
      </items>
    </pivotField>
    <pivotField dataField="1" showAll="0"/>
    <pivotField showAll="0"/>
    <pivotField axis="axisCol" showAll="0">
      <items count="5">
        <item h="1" x="1"/>
        <item x="0"/>
        <item x="2"/>
        <item h="1" x="3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2"/>
        <item x="1"/>
        <item h="1"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colFields count="1">
    <field x="4"/>
  </colFields>
  <colItems count="2">
    <i>
      <x v="1"/>
    </i>
    <i>
      <x v="2"/>
    </i>
  </colItems>
  <pageFields count="1">
    <pageField fld="8" hier="-1"/>
  </pageFields>
  <dataFields count="1">
    <dataField name="Suma de CANTIDAD" fld="2" baseField="0" baseItem="0"/>
  </dataFields>
  <formats count="4"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Col="1" outline="0" fieldPosition="0"/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2558B-EFEC-4895-B1F5-BA99A3CA8A92}" name="TablaDinámica3" cacheId="6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multipleFieldFilters="0" rowHeaderCaption="Material">
  <location ref="G4:I50" firstHeaderRow="1" firstDataRow="2" firstDataCol="1" rowPageCount="1" colPageCount="1"/>
  <pivotFields count="14">
    <pivotField showAll="0"/>
    <pivotField axis="axisRow" showAll="0">
      <items count="58">
        <item x="44"/>
        <item x="22"/>
        <item x="0"/>
        <item x="1"/>
        <item x="40"/>
        <item x="33"/>
        <item x="49"/>
        <item x="21"/>
        <item x="41"/>
        <item x="53"/>
        <item x="2"/>
        <item x="3"/>
        <item x="23"/>
        <item x="56"/>
        <item x="38"/>
        <item x="45"/>
        <item x="4"/>
        <item x="50"/>
        <item x="6"/>
        <item x="7"/>
        <item x="29"/>
        <item x="32"/>
        <item x="8"/>
        <item x="15"/>
        <item x="24"/>
        <item x="5"/>
        <item x="10"/>
        <item x="20"/>
        <item x="16"/>
        <item x="17"/>
        <item x="30"/>
        <item x="11"/>
        <item x="25"/>
        <item x="55"/>
        <item x="43"/>
        <item x="54"/>
        <item x="19"/>
        <item x="31"/>
        <item x="14"/>
        <item x="26"/>
        <item x="12"/>
        <item x="52"/>
        <item x="37"/>
        <item x="51"/>
        <item x="27"/>
        <item x="28"/>
        <item x="9"/>
        <item x="13"/>
        <item x="18"/>
        <item x="34"/>
        <item x="35"/>
        <item x="36"/>
        <item x="39"/>
        <item x="42"/>
        <item x="46"/>
        <item x="47"/>
        <item x="48"/>
        <item t="default"/>
      </items>
    </pivotField>
    <pivotField dataField="1" showAll="0"/>
    <pivotField showAll="0"/>
    <pivotField axis="axisCol" showAll="0">
      <items count="5">
        <item h="1" x="1"/>
        <item x="0"/>
        <item x="2"/>
        <item h="1" x="3"/>
        <item t="default"/>
      </items>
    </pivotField>
    <pivotField showAll="0"/>
    <pivotField showAll="0"/>
    <pivotField showAll="0"/>
    <pivotField axis="axisPage" multipleItemSelectionAllowed="1" showAll="0">
      <items count="5">
        <item x="2"/>
        <item h="1" x="1"/>
        <item h="1" x="0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</rowItems>
  <colFields count="1">
    <field x="4"/>
  </colFields>
  <colItems count="2">
    <i>
      <x v="1"/>
    </i>
    <i>
      <x v="2"/>
    </i>
  </colItems>
  <pageFields count="1">
    <pageField fld="8" hier="-1"/>
  </pageFields>
  <dataFields count="1">
    <dataField name="Suma de CANTIDAD" fld="2" baseField="0" baseItem="0"/>
  </dataFields>
  <formats count="4"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collapsedLevelsAreSubtotals="1" fieldPosition="0">
        <references count="2">
          <reference field="1" count="3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30"/>
            <x v="31"/>
          </reference>
          <reference field="4" count="0" selected="0"/>
        </references>
      </pivotArea>
    </format>
    <format dxfId="36">
      <pivotArea collapsedLevelsAreSubtotals="1" fieldPosition="0">
        <references count="1">
          <reference field="1" count="14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57078-1651-4889-AA10-1F5A4D6DD550}" name="TablaDiná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B3:F57" firstHeaderRow="1" firstDataRow="2" firstDataCol="1"/>
  <pivotFields count="14">
    <pivotField showAll="0"/>
    <pivotField axis="axisRow" showAll="0">
      <items count="58">
        <item x="44"/>
        <item x="46"/>
        <item x="47"/>
        <item x="39"/>
        <item x="22"/>
        <item x="0"/>
        <item x="1"/>
        <item x="40"/>
        <item x="33"/>
        <item x="49"/>
        <item x="21"/>
        <item x="18"/>
        <item x="41"/>
        <item x="53"/>
        <item x="2"/>
        <item x="3"/>
        <item x="23"/>
        <item x="56"/>
        <item x="38"/>
        <item x="45"/>
        <item x="48"/>
        <item x="4"/>
        <item x="50"/>
        <item x="6"/>
        <item x="7"/>
        <item x="29"/>
        <item x="36"/>
        <item x="32"/>
        <item x="9"/>
        <item x="8"/>
        <item x="15"/>
        <item x="24"/>
        <item x="5"/>
        <item x="10"/>
        <item x="20"/>
        <item x="16"/>
        <item x="17"/>
        <item x="30"/>
        <item x="11"/>
        <item x="25"/>
        <item x="55"/>
        <item x="43"/>
        <item x="54"/>
        <item x="19"/>
        <item x="31"/>
        <item x="35"/>
        <item x="42"/>
        <item x="34"/>
        <item x="13"/>
        <item x="14"/>
        <item x="26"/>
        <item x="12"/>
        <item x="52"/>
        <item x="37"/>
        <item x="51"/>
        <item x="27"/>
        <item x="28"/>
        <item t="default"/>
      </items>
    </pivotField>
    <pivotField dataField="1" showAll="0"/>
    <pivotField showAll="0"/>
    <pivotField axis="axisCol" showAll="0">
      <items count="5">
        <item h="1"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92104-72E9-47B9-863D-DD05318F3D45}" name="Tabla1" displayName="Tabla1" ref="B5:O2189" totalsRowShown="0">
  <autoFilter ref="B5:O2189" xr:uid="{0E092104-72E9-47B9-863D-DD05318F3D45}">
    <filterColumn colId="4">
      <filters>
        <filter val="Desmonte"/>
      </filters>
    </filterColumn>
  </autoFilter>
  <sortState xmlns:xlrd2="http://schemas.microsoft.com/office/spreadsheetml/2017/richdata2" ref="B154:O1052">
    <sortCondition ref="I5:I2152"/>
  </sortState>
  <tableColumns count="14">
    <tableColumn id="1" xr3:uid="{3DBA5E52-5901-4595-B9EF-455CE281409C}" name="CODIGO"/>
    <tableColumn id="2" xr3:uid="{5D872BF0-416E-4AB5-B22D-08E80B7D9397}" name="MATERIAL" dataDxfId="49">
      <calculatedColumnFormula>_xlfn.XLOOKUP(B6,Tabla2[CODIGO],Tabla2[MATERIAL],"N/A",0)</calculatedColumnFormula>
    </tableColumn>
    <tableColumn id="3" xr3:uid="{5E27EC41-4662-4EED-B87D-A61EDD2AAD7D}" name="CANTIDAD"/>
    <tableColumn id="13" xr3:uid="{B5546CC9-E9CB-4D36-9E1A-63E63A05DD47}" name="UNIDAD"/>
    <tableColumn id="4" xr3:uid="{9468EFD6-8984-48D1-8AED-5C0963C4F1CB}" name="MOVIMIENTO"/>
    <tableColumn id="5" xr3:uid="{48C09293-6A5E-4FF2-B7CE-18297C58598A}" name="FECHA"/>
    <tableColumn id="6" xr3:uid="{AC4713E7-3153-4FA7-925A-A6E3F26AEF43}" name="MARCA"/>
    <tableColumn id="14" xr3:uid="{BD6A8B3D-E4A8-4BE3-8391-E6B2EE10BEB5}" name="CODIGO LUMINARIA" dataDxfId="48"/>
    <tableColumn id="7" xr3:uid="{3489CA2C-3DB7-48D5-A565-E30E5088D494}" name="MACROPROYECTO"/>
    <tableColumn id="8" xr3:uid="{FF0557E6-3C9B-49F4-A212-BC014D0AF56D}" name="PROYECTO"/>
    <tableColumn id="9" xr3:uid="{61A6612B-66CE-40BC-8EFB-4F4E73C33512}" name="DIRECCION"/>
    <tableColumn id="10" xr3:uid="{33D23C68-48CB-4D93-B6AA-A6D7E54FC9E1}" name="NODO"/>
    <tableColumn id="11" xr3:uid="{70DA8329-9261-417C-A002-1DB538F9B7CE}" name="N° APOYO"/>
    <tableColumn id="12" xr3:uid="{5A73132C-1A20-41EF-ABDF-AFA6BCA58A53}" name="REINTEG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2EFC45-1D7B-41B2-BD4B-D5041DF49AED}" name="Tabla10" displayName="Tabla10" ref="H4:K56" totalsRowShown="0" headerRowDxfId="35" headerRowBorderDxfId="34" tableBorderDxfId="33">
  <sortState xmlns:xlrd2="http://schemas.microsoft.com/office/spreadsheetml/2017/richdata2" ref="H5:K56">
    <sortCondition ref="H4:H56"/>
  </sortState>
  <tableColumns count="4">
    <tableColumn id="1" xr3:uid="{0A78B9AA-3229-45AB-BD26-A64FA9FEF2A3}" name="Material" dataDxfId="32"/>
    <tableColumn id="2" xr3:uid="{5D5DD417-1B4D-457C-A764-EB4EE2FD99E8}" name="Entrada" dataDxfId="31"/>
    <tableColumn id="3" xr3:uid="{97F9ED00-65FA-4855-B44B-4CC6CAE55855}" name="Instalacion" dataDxfId="30"/>
    <tableColumn id="4" xr3:uid="{31C31DE5-FE61-4D4C-8086-14323FCF0757}" name="Inventario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4D64B1-09D4-4F66-80F0-54C4007B1261}" name="Tabla24" displayName="Tabla24" ref="A6:F178" insertRowShift="1" totalsRowShown="0">
  <autoFilter ref="A6:F178" xr:uid="{314D64B1-09D4-4F66-80F0-54C4007B1261}">
    <filterColumn colId="1">
      <filters>
        <filter val="Conector de Perforacion ais kz-ep (EP95) pequeño"/>
      </filters>
    </filterColumn>
  </autoFilter>
  <tableColumns count="6">
    <tableColumn id="1" xr3:uid="{FC56FC40-0D35-4DC0-ABB1-D365AC5DFEC2}" name="CODIGO"/>
    <tableColumn id="2" xr3:uid="{49152729-3FAF-4148-9C76-6E81BD8ACF6F}" name="MATERIAL" dataDxfId="28">
      <calculatedColumnFormula>_xlfn.XLOOKUP(Tabla24[[#This Row],[CODIGO]],Tabla2[CODIGO],Tabla2[MATERIAL],"N/A",0)</calculatedColumnFormula>
    </tableColumn>
    <tableColumn id="3" xr3:uid="{4E113679-413F-474B-845B-B5603B8E404C}" name="Movimiento"/>
    <tableColumn id="7" xr3:uid="{5C7BF8CE-91D4-4AF7-9A5D-8FF55E3F66F7}" name="Cantidad" dataDxfId="27"/>
    <tableColumn id="4" xr3:uid="{DFE113E1-4266-4598-9F43-FAEAA5FFDEAF}" name="fecha"/>
    <tableColumn id="8" xr3:uid="{227834FC-6B08-4634-95E8-4B02F991E847}" name="proyecto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9093FF-7B40-4BBA-B6B3-F13432974CE7}" name="Tabla4" displayName="Tabla4" ref="H6:M52" totalsRowShown="0">
  <autoFilter ref="H6:M52" xr:uid="{4C9093FF-7B40-4BBA-B6B3-F13432974CE7}"/>
  <tableColumns count="6">
    <tableColumn id="1" xr3:uid="{15292F3D-8A9B-4F12-9107-AD94BDB4E8E8}" name="codigo"/>
    <tableColumn id="2" xr3:uid="{808E8EF3-6808-4708-B5F3-009CF3FFF098}" name="material"/>
    <tableColumn id="3" xr3:uid="{16312F27-F558-4C6A-957A-81D4ECD516DC}" name="total ingreso" dataDxfId="25">
      <calculatedColumnFormula>SUMIFS(Tabla24[Cantidad],Tabla24[CODIGO],Tabla4[[#This Row],[codigo]],Tabla24[Movimiento],"Ingreso")</calculatedColumnFormula>
    </tableColumn>
    <tableColumn id="4" xr3:uid="{9C9C6EFD-12ED-461B-8C18-303B11BC4247}" name="total salida" dataDxfId="24">
      <calculatedColumnFormula>SUMIFS(Tabla24[Cantidad],Tabla24[CODIGO],Tabla4[[#This Row],[codigo]],Tabla24[Movimiento],"Salida")</calculatedColumnFormula>
    </tableColumn>
    <tableColumn id="6" xr3:uid="{1C357673-A990-4B76-A6AD-FD2F42C94F52}" name="instalado"/>
    <tableColumn id="5" xr3:uid="{24C3EA17-3192-48F8-A2D5-DE553198CDD1}" name="balance" dataDxfId="23">
      <calculatedColumnFormula>+Tabla4[[#This Row],[total salida]]-Tabla4[[#This Row],[instalado]]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6B60D6-37B6-4D5C-8C98-6CF1ADAA27D1}" name="Tabla2" displayName="Tabla2" ref="B5:C62" insertRowShift="1" totalsRowShown="0">
  <autoFilter ref="B5:C62" xr:uid="{096B60D6-37B6-4D5C-8C98-6CF1ADAA27D1}"/>
  <tableColumns count="2">
    <tableColumn id="1" xr3:uid="{C3640A31-3D48-4C19-B358-745A375D5C54}" name="CODIGO"/>
    <tableColumn id="2" xr3:uid="{6014588D-3275-4BCA-A892-D08AD6F2B1C2}" name="MATE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CDF3-830F-40F1-9DC3-960C901E63D9}">
  <dimension ref="B5:O1048438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5" sqref="B5:O31"/>
    </sheetView>
  </sheetViews>
  <sheetFormatPr baseColWidth="10" defaultRowHeight="15" x14ac:dyDescent="0.25"/>
  <cols>
    <col min="1" max="1" width="4.140625" customWidth="1"/>
    <col min="2" max="2" width="13" customWidth="1"/>
    <col min="3" max="3" width="32.42578125" customWidth="1"/>
    <col min="4" max="5" width="12.7109375" customWidth="1"/>
    <col min="6" max="6" width="15" customWidth="1"/>
    <col min="7" max="7" width="12.85546875" customWidth="1"/>
    <col min="9" max="9" width="20" customWidth="1"/>
    <col min="10" max="10" width="17.42578125" customWidth="1"/>
    <col min="11" max="11" width="14" customWidth="1"/>
    <col min="12" max="12" width="18.5703125" customWidth="1"/>
    <col min="13" max="13" width="12.140625" customWidth="1"/>
    <col min="14" max="14" width="13.85546875" customWidth="1"/>
  </cols>
  <sheetData>
    <row r="5" spans="2:15" x14ac:dyDescent="0.25">
      <c r="B5" t="s">
        <v>4</v>
      </c>
      <c r="C5" t="s">
        <v>0</v>
      </c>
      <c r="D5" t="s">
        <v>1</v>
      </c>
      <c r="E5" t="s">
        <v>41</v>
      </c>
      <c r="F5" t="s">
        <v>2</v>
      </c>
      <c r="G5" t="s">
        <v>9</v>
      </c>
      <c r="H5" t="s">
        <v>3</v>
      </c>
      <c r="I5" t="s">
        <v>63</v>
      </c>
      <c r="J5" t="s">
        <v>6</v>
      </c>
      <c r="K5" t="s">
        <v>5</v>
      </c>
      <c r="L5" t="s">
        <v>7</v>
      </c>
      <c r="M5" t="s">
        <v>12</v>
      </c>
      <c r="N5" t="s">
        <v>13</v>
      </c>
      <c r="O5" t="s">
        <v>8</v>
      </c>
    </row>
    <row r="6" spans="2:15" hidden="1" x14ac:dyDescent="0.25">
      <c r="B6" t="s">
        <v>55</v>
      </c>
      <c r="C6" t="str">
        <f>_xlfn.XLOOKUP(B6,Tabla2[CODIGO],Tabla2[MATERIAL],"N/A",0)</f>
        <v>Abrazadera una salida 7"</v>
      </c>
      <c r="D6">
        <v>2</v>
      </c>
      <c r="E6" t="s">
        <v>42</v>
      </c>
      <c r="F6" t="s">
        <v>16</v>
      </c>
      <c r="G6" s="1">
        <v>46178</v>
      </c>
      <c r="I6" s="2"/>
      <c r="J6" t="s">
        <v>57</v>
      </c>
      <c r="K6">
        <v>9820</v>
      </c>
      <c r="L6" t="s">
        <v>17</v>
      </c>
      <c r="O6" t="s">
        <v>14</v>
      </c>
    </row>
    <row r="7" spans="2:15" hidden="1" x14ac:dyDescent="0.25">
      <c r="B7" t="s">
        <v>56</v>
      </c>
      <c r="C7" t="str">
        <f>_xlfn.XLOOKUP(B7,Tabla2[CODIGO],Tabla2[MATERIAL],"N/A",0)</f>
        <v>Aislador Carrreto</v>
      </c>
      <c r="D7">
        <v>2</v>
      </c>
      <c r="E7" t="s">
        <v>42</v>
      </c>
      <c r="F7" t="s">
        <v>16</v>
      </c>
      <c r="G7" s="1">
        <v>46178</v>
      </c>
      <c r="I7" s="2"/>
      <c r="J7" t="s">
        <v>57</v>
      </c>
      <c r="K7">
        <v>9820</v>
      </c>
      <c r="L7" t="s">
        <v>17</v>
      </c>
      <c r="O7" t="s">
        <v>14</v>
      </c>
    </row>
    <row r="8" spans="2:15" hidden="1" x14ac:dyDescent="0.25">
      <c r="B8" t="s">
        <v>19</v>
      </c>
      <c r="C8" t="str">
        <f>_xlfn.XLOOKUP(B8,Tabla2[CODIGO],Tabla2[MATERIAL],"N/A",0)</f>
        <v>Cable Al serie AA 8000 rhw # 6 awg</v>
      </c>
      <c r="D8">
        <f>26+50</f>
        <v>76</v>
      </c>
      <c r="E8" t="s">
        <v>43</v>
      </c>
      <c r="F8" t="s">
        <v>16</v>
      </c>
      <c r="G8" s="1">
        <v>46178</v>
      </c>
      <c r="I8" s="2"/>
      <c r="J8" t="s">
        <v>57</v>
      </c>
      <c r="K8">
        <v>9820</v>
      </c>
      <c r="L8" t="s">
        <v>17</v>
      </c>
      <c r="O8" t="s">
        <v>14</v>
      </c>
    </row>
    <row r="9" spans="2:15" hidden="1" x14ac:dyDescent="0.25">
      <c r="B9" t="s">
        <v>21</v>
      </c>
      <c r="C9" t="str">
        <f>_xlfn.XLOOKUP(B9,Tabla2[CODIGO],Tabla2[MATERIAL],"N/A",0)</f>
        <v>Cable Encauchetado 3x14 pvc</v>
      </c>
      <c r="D9">
        <v>60</v>
      </c>
      <c r="E9" t="s">
        <v>43</v>
      </c>
      <c r="F9" t="s">
        <v>16</v>
      </c>
      <c r="G9" s="1">
        <v>46178</v>
      </c>
      <c r="I9" s="2"/>
      <c r="J9" t="s">
        <v>57</v>
      </c>
      <c r="K9">
        <v>9820</v>
      </c>
      <c r="L9" t="s">
        <v>17</v>
      </c>
      <c r="O9" t="s">
        <v>14</v>
      </c>
    </row>
    <row r="10" spans="2:15" hidden="1" x14ac:dyDescent="0.25">
      <c r="B10" t="s">
        <v>36</v>
      </c>
      <c r="C10" t="str">
        <f>_xlfn.XLOOKUP(B10,Tabla2[CODIGO],Tabla2[MATERIAL],"N/A",0)</f>
        <v>Cinta Bandit 1/2"</v>
      </c>
      <c r="D10">
        <v>6</v>
      </c>
      <c r="E10" t="s">
        <v>43</v>
      </c>
      <c r="F10" t="s">
        <v>16</v>
      </c>
      <c r="G10" s="1">
        <v>46178</v>
      </c>
      <c r="I10" s="2"/>
      <c r="J10" t="s">
        <v>57</v>
      </c>
      <c r="K10">
        <v>9820</v>
      </c>
      <c r="L10" t="s">
        <v>17</v>
      </c>
      <c r="O10" t="s">
        <v>14</v>
      </c>
    </row>
    <row r="11" spans="2:15" hidden="1" x14ac:dyDescent="0.25">
      <c r="B11" t="s">
        <v>37</v>
      </c>
      <c r="C11" t="str">
        <f>_xlfn.XLOOKUP(B11,Tabla2[CODIGO],Tabla2[MATERIAL],"N/A",0)</f>
        <v>Hebilla para cinta bandit 1/2"</v>
      </c>
      <c r="D11">
        <v>6</v>
      </c>
      <c r="E11" t="s">
        <v>42</v>
      </c>
      <c r="F11" t="s">
        <v>16</v>
      </c>
      <c r="G11" s="1">
        <v>46178</v>
      </c>
      <c r="I11" s="2"/>
      <c r="J11" t="s">
        <v>57</v>
      </c>
      <c r="K11">
        <v>9820</v>
      </c>
      <c r="L11" t="s">
        <v>17</v>
      </c>
      <c r="O11" t="s">
        <v>14</v>
      </c>
    </row>
    <row r="12" spans="2:15" hidden="1" x14ac:dyDescent="0.25">
      <c r="B12" t="s">
        <v>53</v>
      </c>
      <c r="C12" t="str">
        <f>_xlfn.XLOOKUP(B12,Tabla2[CODIGO],Tabla2[MATERIAL],"N/A",0)</f>
        <v>Conector de Perforacion ais kz-ep (EP95) pequeño</v>
      </c>
      <c r="D12">
        <v>12</v>
      </c>
      <c r="E12" t="s">
        <v>42</v>
      </c>
      <c r="F12" t="s">
        <v>16</v>
      </c>
      <c r="G12" s="1">
        <v>46178</v>
      </c>
      <c r="I12" s="2"/>
      <c r="J12" t="s">
        <v>57</v>
      </c>
      <c r="K12">
        <v>9820</v>
      </c>
      <c r="L12" t="s">
        <v>17</v>
      </c>
      <c r="O12" t="s">
        <v>14</v>
      </c>
    </row>
    <row r="13" spans="2:15" hidden="1" x14ac:dyDescent="0.25">
      <c r="B13" t="s">
        <v>54</v>
      </c>
      <c r="C13" t="str">
        <f>_xlfn.XLOOKUP(B13,Tabla2[CODIGO],Tabla2[MATERIAL],"N/A",0)</f>
        <v>Conector resorte 18-8</v>
      </c>
      <c r="D13">
        <v>15</v>
      </c>
      <c r="E13" t="s">
        <v>42</v>
      </c>
      <c r="F13" t="s">
        <v>16</v>
      </c>
      <c r="G13" s="1">
        <v>46178</v>
      </c>
      <c r="I13" s="2"/>
      <c r="J13" t="s">
        <v>57</v>
      </c>
      <c r="K13">
        <v>9820</v>
      </c>
      <c r="L13" t="s">
        <v>17</v>
      </c>
      <c r="O13" t="s">
        <v>14</v>
      </c>
    </row>
    <row r="14" spans="2:15" hidden="1" x14ac:dyDescent="0.25">
      <c r="B14" t="s">
        <v>76</v>
      </c>
      <c r="C14" t="str">
        <f>_xlfn.XLOOKUP(B14,Tabla2[CODIGO],Tabla2[MATERIAL],"N/A",0)</f>
        <v>Empalme gel ppal 8-4/0 a der 14-2/0 awg (grande)</v>
      </c>
      <c r="D14">
        <v>2</v>
      </c>
      <c r="E14" t="s">
        <v>42</v>
      </c>
      <c r="F14" t="s">
        <v>16</v>
      </c>
      <c r="G14" s="1">
        <v>46178</v>
      </c>
      <c r="I14" s="2"/>
      <c r="J14" t="s">
        <v>57</v>
      </c>
      <c r="K14">
        <v>9820</v>
      </c>
      <c r="L14" t="s">
        <v>17</v>
      </c>
      <c r="O14" t="s">
        <v>14</v>
      </c>
    </row>
    <row r="15" spans="2:15" hidden="1" x14ac:dyDescent="0.25">
      <c r="B15" t="s">
        <v>77</v>
      </c>
      <c r="C15" t="str">
        <f>_xlfn.XLOOKUP(B15,Tabla2[CODIGO],Tabla2[MATERIAL],"N/A",0)</f>
        <v>Empalme gel ppal 4-2/0 a der 14-6 awg (pequeño)</v>
      </c>
      <c r="D15">
        <v>8</v>
      </c>
      <c r="E15" t="s">
        <v>42</v>
      </c>
      <c r="F15" t="s">
        <v>16</v>
      </c>
      <c r="G15" s="1">
        <v>46178</v>
      </c>
      <c r="I15" s="2"/>
      <c r="J15" t="s">
        <v>57</v>
      </c>
      <c r="K15">
        <v>9820</v>
      </c>
      <c r="L15" t="s">
        <v>17</v>
      </c>
      <c r="O15" t="s">
        <v>14</v>
      </c>
    </row>
    <row r="16" spans="2:15" hidden="1" x14ac:dyDescent="0.25">
      <c r="B16" t="s">
        <v>30</v>
      </c>
      <c r="C16" t="str">
        <f>_xlfn.XLOOKUP(B16,Tabla2[CODIGO],Tabla2[MATERIAL],"N/A",0)</f>
        <v>Kit puesta tierra acero inoxidable</v>
      </c>
      <c r="D16">
        <v>2</v>
      </c>
      <c r="E16" t="s">
        <v>42</v>
      </c>
      <c r="F16" t="s">
        <v>16</v>
      </c>
      <c r="G16" s="1">
        <v>46178</v>
      </c>
      <c r="I16" s="2"/>
      <c r="J16" t="s">
        <v>57</v>
      </c>
      <c r="K16">
        <v>9820</v>
      </c>
      <c r="L16" t="s">
        <v>17</v>
      </c>
      <c r="O16" t="s">
        <v>14</v>
      </c>
    </row>
    <row r="17" spans="2:15" hidden="1" x14ac:dyDescent="0.25">
      <c r="B17" t="s">
        <v>50</v>
      </c>
      <c r="C17" t="str">
        <f>_xlfn.XLOOKUP(B17,Tabla2[CODIGO],Tabla2[MATERIAL],"N/A",0)</f>
        <v>Percha galv 1 puesto</v>
      </c>
      <c r="D17">
        <v>2</v>
      </c>
      <c r="E17" t="s">
        <v>42</v>
      </c>
      <c r="F17" t="s">
        <v>16</v>
      </c>
      <c r="G17" s="1">
        <v>46178</v>
      </c>
      <c r="I17" s="2"/>
      <c r="J17" t="s">
        <v>57</v>
      </c>
      <c r="K17">
        <v>9820</v>
      </c>
      <c r="L17" t="s">
        <v>17</v>
      </c>
      <c r="O17" t="s">
        <v>14</v>
      </c>
    </row>
    <row r="18" spans="2:15" hidden="1" x14ac:dyDescent="0.25">
      <c r="B18" t="s">
        <v>38</v>
      </c>
      <c r="C18" t="str">
        <f>_xlfn.XLOOKUP(B18,Tabla2[CODIGO],Tabla2[MATERIAL],"N/A",0)</f>
        <v>Tuberia Conduflex 3/4"</v>
      </c>
      <c r="D18">
        <v>4</v>
      </c>
      <c r="E18" t="s">
        <v>43</v>
      </c>
      <c r="F18" t="s">
        <v>16</v>
      </c>
      <c r="G18" s="1">
        <v>46178</v>
      </c>
      <c r="I18" s="2"/>
      <c r="J18" t="s">
        <v>57</v>
      </c>
      <c r="K18">
        <v>9820</v>
      </c>
      <c r="L18" t="s">
        <v>17</v>
      </c>
      <c r="O18" t="s">
        <v>14</v>
      </c>
    </row>
    <row r="19" spans="2:15" hidden="1" x14ac:dyDescent="0.25">
      <c r="B19" t="s">
        <v>81</v>
      </c>
      <c r="C19" t="str">
        <f>_xlfn.XLOOKUP(B19,Tabla2[CODIGO],Tabla2[MATERIAL],"N/A",0)</f>
        <v>Tapa Alfajor</v>
      </c>
      <c r="D19">
        <v>2</v>
      </c>
      <c r="E19" t="s">
        <v>42</v>
      </c>
      <c r="F19" t="s">
        <v>16</v>
      </c>
      <c r="G19" s="1">
        <v>46178</v>
      </c>
      <c r="I19" s="2"/>
      <c r="J19" t="s">
        <v>57</v>
      </c>
      <c r="K19">
        <v>9821</v>
      </c>
      <c r="L19" t="s">
        <v>44</v>
      </c>
      <c r="O19" t="s">
        <v>14</v>
      </c>
    </row>
    <row r="20" spans="2:15" hidden="1" x14ac:dyDescent="0.25">
      <c r="B20" t="s">
        <v>78</v>
      </c>
      <c r="C20" t="str">
        <f>_xlfn.XLOOKUP(B20,Tabla2[CODIGO],Tabla2[MATERIAL],"N/A",0)</f>
        <v>Tapa Concreto</v>
      </c>
      <c r="D20">
        <v>2</v>
      </c>
      <c r="E20" t="s">
        <v>42</v>
      </c>
      <c r="F20" t="s">
        <v>16</v>
      </c>
      <c r="G20" s="1">
        <v>46178</v>
      </c>
      <c r="I20" s="2"/>
      <c r="J20" t="s">
        <v>57</v>
      </c>
      <c r="K20">
        <v>9821</v>
      </c>
      <c r="L20" t="s">
        <v>44</v>
      </c>
      <c r="O20" t="s">
        <v>14</v>
      </c>
    </row>
    <row r="21" spans="2:15" hidden="1" x14ac:dyDescent="0.25">
      <c r="B21" t="s">
        <v>21</v>
      </c>
      <c r="C21" t="str">
        <f>_xlfn.XLOOKUP(B21,Tabla2[CODIGO],Tabla2[MATERIAL],"N/A",0)</f>
        <v>Cable Encauchetado 3x14 pvc</v>
      </c>
      <c r="D21">
        <v>60</v>
      </c>
      <c r="E21" t="s">
        <v>43</v>
      </c>
      <c r="F21" t="s">
        <v>16</v>
      </c>
      <c r="G21" s="1">
        <v>46178</v>
      </c>
      <c r="I21" s="2"/>
      <c r="J21" t="s">
        <v>57</v>
      </c>
      <c r="K21">
        <v>9821</v>
      </c>
      <c r="L21" t="s">
        <v>44</v>
      </c>
      <c r="O21" t="s">
        <v>14</v>
      </c>
    </row>
    <row r="22" spans="2:15" hidden="1" x14ac:dyDescent="0.25">
      <c r="B22" t="s">
        <v>52</v>
      </c>
      <c r="C22" t="str">
        <f>_xlfn.XLOOKUP(B22,Tabla2[CODIGO],Tabla2[MATERIAL],"N/A",0)</f>
        <v>Conector resorte 18-8</v>
      </c>
      <c r="D22">
        <v>18</v>
      </c>
      <c r="E22" t="s">
        <v>42</v>
      </c>
      <c r="F22" t="s">
        <v>16</v>
      </c>
      <c r="G22" s="1">
        <v>46178</v>
      </c>
      <c r="I22" s="2"/>
      <c r="J22" t="s">
        <v>57</v>
      </c>
      <c r="K22">
        <v>9821</v>
      </c>
      <c r="L22" t="s">
        <v>44</v>
      </c>
      <c r="O22" t="s">
        <v>14</v>
      </c>
    </row>
    <row r="23" spans="2:15" hidden="1" x14ac:dyDescent="0.25">
      <c r="B23" t="s">
        <v>76</v>
      </c>
      <c r="C23" t="str">
        <f>_xlfn.XLOOKUP(B23,Tabla2[CODIGO],Tabla2[MATERIAL],"N/A",0)</f>
        <v>Empalme gel ppal 8-4/0 a der 14-2/0 awg (grande)</v>
      </c>
      <c r="D23">
        <v>4</v>
      </c>
      <c r="E23" t="s">
        <v>42</v>
      </c>
      <c r="F23" t="s">
        <v>16</v>
      </c>
      <c r="G23" s="1">
        <v>46178</v>
      </c>
      <c r="I23" s="2"/>
      <c r="J23" t="s">
        <v>57</v>
      </c>
      <c r="K23">
        <v>9821</v>
      </c>
      <c r="L23" t="s">
        <v>44</v>
      </c>
      <c r="O23" t="s">
        <v>14</v>
      </c>
    </row>
    <row r="24" spans="2:15" hidden="1" x14ac:dyDescent="0.25">
      <c r="B24" t="s">
        <v>77</v>
      </c>
      <c r="C24" t="str">
        <f>_xlfn.XLOOKUP(B24,Tabla2[CODIGO],Tabla2[MATERIAL],"N/A",0)</f>
        <v>Empalme gel ppal 4-2/0 a der 14-6 awg (pequeño)</v>
      </c>
      <c r="D24">
        <v>8</v>
      </c>
      <c r="E24" t="s">
        <v>42</v>
      </c>
      <c r="F24" t="s">
        <v>16</v>
      </c>
      <c r="G24" s="1">
        <v>46178</v>
      </c>
      <c r="I24" s="2"/>
      <c r="J24" t="s">
        <v>57</v>
      </c>
      <c r="K24">
        <v>9821</v>
      </c>
      <c r="L24" t="s">
        <v>44</v>
      </c>
      <c r="O24" t="s">
        <v>14</v>
      </c>
    </row>
    <row r="25" spans="2:15" hidden="1" x14ac:dyDescent="0.25">
      <c r="B25" t="s">
        <v>45</v>
      </c>
      <c r="C25" t="str">
        <f>_xlfn.XLOOKUP(B25,Tabla2[CODIGO],Tabla2[MATERIAL],"N/A",0)</f>
        <v>Fotocelda</v>
      </c>
      <c r="D25">
        <v>9</v>
      </c>
      <c r="E25" t="s">
        <v>42</v>
      </c>
      <c r="F25" t="s">
        <v>16</v>
      </c>
      <c r="G25" s="1">
        <v>46178</v>
      </c>
      <c r="I25" s="2"/>
      <c r="J25" t="s">
        <v>57</v>
      </c>
      <c r="K25">
        <v>9821</v>
      </c>
      <c r="L25" t="s">
        <v>44</v>
      </c>
      <c r="O25" t="s">
        <v>14</v>
      </c>
    </row>
    <row r="26" spans="2:15" hidden="1" x14ac:dyDescent="0.25">
      <c r="B26" t="s">
        <v>47</v>
      </c>
      <c r="C26" t="str">
        <f>_xlfn.XLOOKUP(B26,Tabla2[CODIGO],Tabla2[MATERIAL],"N/A",0)</f>
        <v>Luminaria 75w</v>
      </c>
      <c r="D26">
        <v>1</v>
      </c>
      <c r="E26" t="s">
        <v>42</v>
      </c>
      <c r="F26" t="s">
        <v>16</v>
      </c>
      <c r="G26" s="1">
        <v>46178</v>
      </c>
      <c r="H26" t="s">
        <v>64</v>
      </c>
      <c r="I26" s="2" t="s">
        <v>65</v>
      </c>
      <c r="J26" t="s">
        <v>57</v>
      </c>
      <c r="K26">
        <v>9821</v>
      </c>
      <c r="L26" t="s">
        <v>44</v>
      </c>
      <c r="O26" t="s">
        <v>14</v>
      </c>
    </row>
    <row r="27" spans="2:15" x14ac:dyDescent="0.25">
      <c r="B27" t="s">
        <v>235</v>
      </c>
      <c r="C27" t="str">
        <f>_xlfn.XLOOKUP(B27,Tabla2[CODIGO],Tabla2[MATERIAL],"N/A",0)</f>
        <v>Luminaria Ret. 150w</v>
      </c>
      <c r="D27">
        <v>9</v>
      </c>
      <c r="E27" t="s">
        <v>42</v>
      </c>
      <c r="F27" t="s">
        <v>61</v>
      </c>
      <c r="G27" s="1">
        <v>46182</v>
      </c>
      <c r="I27" s="2"/>
      <c r="J27" t="s">
        <v>57</v>
      </c>
      <c r="K27">
        <v>9821</v>
      </c>
      <c r="L27" t="s">
        <v>44</v>
      </c>
      <c r="O27" t="s">
        <v>10</v>
      </c>
    </row>
    <row r="28" spans="2:15" x14ac:dyDescent="0.25">
      <c r="B28" t="s">
        <v>235</v>
      </c>
      <c r="C28" t="str">
        <f>_xlfn.XLOOKUP(B28,Tabla2[CODIGO],Tabla2[MATERIAL],"N/A",0)</f>
        <v>Luminaria Ret. 150w</v>
      </c>
      <c r="D28">
        <v>14</v>
      </c>
      <c r="E28" t="s">
        <v>42</v>
      </c>
      <c r="F28" t="s">
        <v>61</v>
      </c>
      <c r="G28" s="1">
        <v>46183</v>
      </c>
      <c r="I28" s="2"/>
      <c r="J28" t="s">
        <v>57</v>
      </c>
      <c r="K28">
        <v>9820</v>
      </c>
      <c r="L28" t="s">
        <v>58</v>
      </c>
      <c r="O28" t="s">
        <v>10</v>
      </c>
    </row>
    <row r="29" spans="2:15" x14ac:dyDescent="0.25">
      <c r="B29" t="s">
        <v>216</v>
      </c>
      <c r="C29" t="str">
        <f>_xlfn.XLOOKUP(B29,Tabla2[CODIGO],Tabla2[MATERIAL],"N/A",0)</f>
        <v>Brazo Galvanizado 2" x 2m</v>
      </c>
      <c r="D29">
        <v>9</v>
      </c>
      <c r="E29" t="s">
        <v>42</v>
      </c>
      <c r="F29" t="s">
        <v>61</v>
      </c>
      <c r="G29" s="1">
        <v>46182</v>
      </c>
      <c r="I29" s="2"/>
      <c r="J29" t="s">
        <v>57</v>
      </c>
      <c r="K29">
        <v>9821</v>
      </c>
      <c r="L29" t="s">
        <v>44</v>
      </c>
      <c r="O29" t="s">
        <v>10</v>
      </c>
    </row>
    <row r="30" spans="2:15" x14ac:dyDescent="0.25">
      <c r="B30" t="s">
        <v>216</v>
      </c>
      <c r="C30" t="str">
        <f>_xlfn.XLOOKUP(B30,Tabla2[CODIGO],Tabla2[MATERIAL],"N/A",0)</f>
        <v>Brazo Galvanizado 2" x 2m</v>
      </c>
      <c r="D30">
        <v>14</v>
      </c>
      <c r="E30" t="s">
        <v>42</v>
      </c>
      <c r="F30" t="s">
        <v>61</v>
      </c>
      <c r="G30" s="1">
        <v>46183</v>
      </c>
      <c r="I30" s="2"/>
      <c r="J30" t="s">
        <v>57</v>
      </c>
      <c r="K30">
        <v>9820</v>
      </c>
      <c r="L30" t="s">
        <v>58</v>
      </c>
      <c r="O30" t="s">
        <v>10</v>
      </c>
    </row>
    <row r="31" spans="2:15" x14ac:dyDescent="0.25">
      <c r="B31" t="s">
        <v>60</v>
      </c>
      <c r="C31" t="str">
        <f>_xlfn.XLOOKUP(B31,Tabla2[CODIGO],Tabla2[MATERIAL],"N/A",0)</f>
        <v>Fotocelda</v>
      </c>
      <c r="D31">
        <v>9</v>
      </c>
      <c r="E31" t="s">
        <v>42</v>
      </c>
      <c r="F31" t="s">
        <v>61</v>
      </c>
      <c r="G31" s="1">
        <v>46182</v>
      </c>
      <c r="I31" s="2"/>
      <c r="J31" t="s">
        <v>57</v>
      </c>
      <c r="K31">
        <v>9821</v>
      </c>
      <c r="L31" t="s">
        <v>44</v>
      </c>
      <c r="O31" t="s">
        <v>10</v>
      </c>
    </row>
    <row r="32" spans="2:15" x14ac:dyDescent="0.25">
      <c r="B32" t="s">
        <v>60</v>
      </c>
      <c r="C32" t="str">
        <f>_xlfn.XLOOKUP(B32,Tabla2[CODIGO],Tabla2[MATERIAL],"N/A",0)</f>
        <v>Fotocelda</v>
      </c>
      <c r="D32">
        <v>14</v>
      </c>
      <c r="E32" t="s">
        <v>42</v>
      </c>
      <c r="F32" t="s">
        <v>61</v>
      </c>
      <c r="G32" s="1">
        <v>46183</v>
      </c>
      <c r="I32" s="2"/>
      <c r="J32" t="s">
        <v>57</v>
      </c>
      <c r="K32">
        <v>9820</v>
      </c>
      <c r="L32" t="s">
        <v>58</v>
      </c>
      <c r="O32" t="s">
        <v>10</v>
      </c>
    </row>
    <row r="33" spans="2:15" hidden="1" x14ac:dyDescent="0.25">
      <c r="B33" t="s">
        <v>47</v>
      </c>
      <c r="C33" t="str">
        <f>_xlfn.XLOOKUP(B33,Tabla2[CODIGO],Tabla2[MATERIAL],"N/A",0)</f>
        <v>Luminaria 75w</v>
      </c>
      <c r="D33">
        <v>1</v>
      </c>
      <c r="E33" t="s">
        <v>42</v>
      </c>
      <c r="F33" t="s">
        <v>62</v>
      </c>
      <c r="G33" s="1">
        <v>46179</v>
      </c>
      <c r="H33" t="s">
        <v>64</v>
      </c>
      <c r="I33" s="2" t="s">
        <v>65</v>
      </c>
      <c r="J33" t="s">
        <v>57</v>
      </c>
      <c r="K33">
        <v>9821</v>
      </c>
      <c r="L33" t="s">
        <v>44</v>
      </c>
      <c r="M33">
        <v>2340194</v>
      </c>
      <c r="N33">
        <v>1</v>
      </c>
      <c r="O33" t="s">
        <v>14</v>
      </c>
    </row>
    <row r="34" spans="2:15" hidden="1" x14ac:dyDescent="0.25">
      <c r="B34" t="s">
        <v>47</v>
      </c>
      <c r="C34" t="str">
        <f>_xlfn.XLOOKUP(B34,Tabla2[CODIGO],Tabla2[MATERIAL],"N/A",0)</f>
        <v>Luminaria 75w</v>
      </c>
      <c r="D34">
        <v>1</v>
      </c>
      <c r="E34" t="s">
        <v>42</v>
      </c>
      <c r="F34" t="s">
        <v>62</v>
      </c>
      <c r="G34" s="1">
        <v>46179</v>
      </c>
      <c r="H34" t="s">
        <v>64</v>
      </c>
      <c r="I34" s="2" t="s">
        <v>66</v>
      </c>
      <c r="J34" t="s">
        <v>57</v>
      </c>
      <c r="K34">
        <v>9821</v>
      </c>
      <c r="L34" t="s">
        <v>44</v>
      </c>
      <c r="M34">
        <v>2340194</v>
      </c>
      <c r="N34">
        <v>2</v>
      </c>
      <c r="O34" t="s">
        <v>14</v>
      </c>
    </row>
    <row r="35" spans="2:15" hidden="1" x14ac:dyDescent="0.25">
      <c r="B35" t="s">
        <v>47</v>
      </c>
      <c r="C35" t="str">
        <f>_xlfn.XLOOKUP(B35,Tabla2[CODIGO],Tabla2[MATERIAL],"N/A",0)</f>
        <v>Luminaria 75w</v>
      </c>
      <c r="D35">
        <v>1</v>
      </c>
      <c r="E35" t="s">
        <v>42</v>
      </c>
      <c r="F35" t="s">
        <v>62</v>
      </c>
      <c r="G35" s="1">
        <v>46179</v>
      </c>
      <c r="H35" t="s">
        <v>64</v>
      </c>
      <c r="I35" s="2" t="s">
        <v>67</v>
      </c>
      <c r="J35" t="s">
        <v>57</v>
      </c>
      <c r="K35">
        <v>9821</v>
      </c>
      <c r="L35" t="s">
        <v>44</v>
      </c>
      <c r="M35">
        <v>2340232</v>
      </c>
      <c r="N35">
        <v>4</v>
      </c>
      <c r="O35" t="s">
        <v>14</v>
      </c>
    </row>
    <row r="36" spans="2:15" hidden="1" x14ac:dyDescent="0.25">
      <c r="B36" t="s">
        <v>47</v>
      </c>
      <c r="C36" t="str">
        <f>_xlfn.XLOOKUP(B36,Tabla2[CODIGO],Tabla2[MATERIAL],"N/A",0)</f>
        <v>Luminaria 75w</v>
      </c>
      <c r="D36">
        <v>1</v>
      </c>
      <c r="E36" t="s">
        <v>42</v>
      </c>
      <c r="F36" t="s">
        <v>62</v>
      </c>
      <c r="G36" s="1">
        <v>46179</v>
      </c>
      <c r="H36" t="s">
        <v>64</v>
      </c>
      <c r="I36" s="2" t="s">
        <v>68</v>
      </c>
      <c r="J36" t="s">
        <v>57</v>
      </c>
      <c r="K36">
        <v>9821</v>
      </c>
      <c r="L36" t="s">
        <v>44</v>
      </c>
      <c r="M36">
        <v>2340232</v>
      </c>
      <c r="N36">
        <v>5</v>
      </c>
      <c r="O36" t="s">
        <v>14</v>
      </c>
    </row>
    <row r="37" spans="2:15" hidden="1" x14ac:dyDescent="0.25">
      <c r="B37" t="s">
        <v>47</v>
      </c>
      <c r="C37" t="str">
        <f>_xlfn.XLOOKUP(B37,Tabla2[CODIGO],Tabla2[MATERIAL],"N/A",0)</f>
        <v>Luminaria 75w</v>
      </c>
      <c r="D37">
        <v>1</v>
      </c>
      <c r="E37" t="s">
        <v>42</v>
      </c>
      <c r="F37" t="s">
        <v>62</v>
      </c>
      <c r="G37" s="1">
        <v>46179</v>
      </c>
      <c r="H37" t="s">
        <v>64</v>
      </c>
      <c r="I37" s="2" t="s">
        <v>69</v>
      </c>
      <c r="J37" t="s">
        <v>57</v>
      </c>
      <c r="K37">
        <v>9821</v>
      </c>
      <c r="L37" t="s">
        <v>44</v>
      </c>
      <c r="M37">
        <v>2340101</v>
      </c>
      <c r="N37">
        <v>6</v>
      </c>
      <c r="O37" t="s">
        <v>14</v>
      </c>
    </row>
    <row r="38" spans="2:15" hidden="1" x14ac:dyDescent="0.25">
      <c r="B38" t="s">
        <v>47</v>
      </c>
      <c r="C38" t="str">
        <f>_xlfn.XLOOKUP(B38,Tabla2[CODIGO],Tabla2[MATERIAL],"N/A",0)</f>
        <v>Luminaria 75w</v>
      </c>
      <c r="D38">
        <v>1</v>
      </c>
      <c r="E38" t="s">
        <v>42</v>
      </c>
      <c r="F38" t="s">
        <v>62</v>
      </c>
      <c r="G38" s="1">
        <v>46179</v>
      </c>
      <c r="H38" t="s">
        <v>64</v>
      </c>
      <c r="I38" s="2" t="s">
        <v>70</v>
      </c>
      <c r="J38" t="s">
        <v>57</v>
      </c>
      <c r="K38">
        <v>9821</v>
      </c>
      <c r="L38" t="s">
        <v>44</v>
      </c>
      <c r="M38">
        <v>2340054</v>
      </c>
      <c r="N38">
        <v>3</v>
      </c>
      <c r="O38" t="s">
        <v>14</v>
      </c>
    </row>
    <row r="39" spans="2:15" hidden="1" x14ac:dyDescent="0.25">
      <c r="B39" t="s">
        <v>47</v>
      </c>
      <c r="C39" t="str">
        <f>_xlfn.XLOOKUP(B39,Tabla2[CODIGO],Tabla2[MATERIAL],"N/A",0)</f>
        <v>Luminaria 75w</v>
      </c>
      <c r="D39">
        <v>1</v>
      </c>
      <c r="E39" t="s">
        <v>42</v>
      </c>
      <c r="F39" t="s">
        <v>62</v>
      </c>
      <c r="G39" s="1">
        <v>46179</v>
      </c>
      <c r="H39" t="s">
        <v>64</v>
      </c>
      <c r="I39" s="2" t="s">
        <v>71</v>
      </c>
      <c r="J39" t="s">
        <v>57</v>
      </c>
      <c r="K39">
        <v>9821</v>
      </c>
      <c r="L39" t="s">
        <v>44</v>
      </c>
      <c r="M39">
        <v>2340283</v>
      </c>
      <c r="N39">
        <v>8</v>
      </c>
      <c r="O39" t="s">
        <v>14</v>
      </c>
    </row>
    <row r="40" spans="2:15" hidden="1" x14ac:dyDescent="0.25">
      <c r="B40" t="s">
        <v>47</v>
      </c>
      <c r="C40" t="str">
        <f>_xlfn.XLOOKUP(B40,Tabla2[CODIGO],Tabla2[MATERIAL],"N/A",0)</f>
        <v>Luminaria 75w</v>
      </c>
      <c r="D40">
        <v>1</v>
      </c>
      <c r="E40" t="s">
        <v>42</v>
      </c>
      <c r="F40" t="s">
        <v>62</v>
      </c>
      <c r="G40" s="1">
        <v>46179</v>
      </c>
      <c r="H40" t="s">
        <v>64</v>
      </c>
      <c r="I40" s="2" t="s">
        <v>72</v>
      </c>
      <c r="J40" t="s">
        <v>57</v>
      </c>
      <c r="K40">
        <v>9821</v>
      </c>
      <c r="L40" t="s">
        <v>44</v>
      </c>
      <c r="M40">
        <v>2340283</v>
      </c>
      <c r="N40">
        <v>9</v>
      </c>
      <c r="O40" t="s">
        <v>14</v>
      </c>
    </row>
    <row r="41" spans="2:15" hidden="1" x14ac:dyDescent="0.25">
      <c r="B41" t="s">
        <v>47</v>
      </c>
      <c r="C41" t="str">
        <f>_xlfn.XLOOKUP(B41,Tabla2[CODIGO],Tabla2[MATERIAL],"N/A",0)</f>
        <v>Luminaria 75w</v>
      </c>
      <c r="D41">
        <v>1</v>
      </c>
      <c r="E41" t="s">
        <v>42</v>
      </c>
      <c r="F41" t="s">
        <v>62</v>
      </c>
      <c r="G41" s="1">
        <v>46179</v>
      </c>
      <c r="H41" t="s">
        <v>64</v>
      </c>
      <c r="I41" s="2" t="s">
        <v>73</v>
      </c>
      <c r="J41" t="s">
        <v>57</v>
      </c>
      <c r="K41">
        <v>9821</v>
      </c>
      <c r="L41" t="s">
        <v>44</v>
      </c>
      <c r="M41">
        <v>2349143</v>
      </c>
      <c r="N41">
        <v>10</v>
      </c>
      <c r="O41" t="s">
        <v>14</v>
      </c>
    </row>
    <row r="42" spans="2:15" hidden="1" x14ac:dyDescent="0.25">
      <c r="B42" t="s">
        <v>54</v>
      </c>
      <c r="C42" t="str">
        <f>_xlfn.XLOOKUP(B42,Tabla2[CODIGO],Tabla2[MATERIAL],"N/A",0)</f>
        <v>Conector resorte 18-8</v>
      </c>
      <c r="D42">
        <v>3</v>
      </c>
      <c r="E42" t="s">
        <v>42</v>
      </c>
      <c r="F42" t="s">
        <v>62</v>
      </c>
      <c r="G42" s="1">
        <v>46179</v>
      </c>
      <c r="I42" s="2"/>
      <c r="J42" t="s">
        <v>57</v>
      </c>
      <c r="K42">
        <v>9821</v>
      </c>
      <c r="L42" t="s">
        <v>44</v>
      </c>
      <c r="M42">
        <v>2340194</v>
      </c>
      <c r="N42">
        <v>1</v>
      </c>
      <c r="O42" t="s">
        <v>14</v>
      </c>
    </row>
    <row r="43" spans="2:15" hidden="1" x14ac:dyDescent="0.25">
      <c r="B43" t="s">
        <v>54</v>
      </c>
      <c r="C43" t="str">
        <f>_xlfn.XLOOKUP(B43,Tabla2[CODIGO],Tabla2[MATERIAL],"N/A",0)</f>
        <v>Conector resorte 18-8</v>
      </c>
      <c r="D43">
        <v>3</v>
      </c>
      <c r="E43" t="s">
        <v>42</v>
      </c>
      <c r="F43" t="s">
        <v>62</v>
      </c>
      <c r="G43" s="1">
        <v>46179</v>
      </c>
      <c r="I43" s="2"/>
      <c r="J43" t="s">
        <v>57</v>
      </c>
      <c r="K43">
        <v>9821</v>
      </c>
      <c r="L43" t="s">
        <v>44</v>
      </c>
      <c r="M43">
        <v>2340194</v>
      </c>
      <c r="N43">
        <v>2</v>
      </c>
      <c r="O43" t="s">
        <v>14</v>
      </c>
    </row>
    <row r="44" spans="2:15" hidden="1" x14ac:dyDescent="0.25">
      <c r="B44" t="s">
        <v>54</v>
      </c>
      <c r="C44" t="str">
        <f>_xlfn.XLOOKUP(B44,Tabla2[CODIGO],Tabla2[MATERIAL],"N/A",0)</f>
        <v>Conector resorte 18-8</v>
      </c>
      <c r="D44">
        <v>3</v>
      </c>
      <c r="E44" t="s">
        <v>42</v>
      </c>
      <c r="F44" t="s">
        <v>62</v>
      </c>
      <c r="G44" s="1">
        <v>46179</v>
      </c>
      <c r="I44" s="2"/>
      <c r="J44" t="s">
        <v>57</v>
      </c>
      <c r="K44">
        <v>9821</v>
      </c>
      <c r="L44" t="s">
        <v>44</v>
      </c>
      <c r="M44">
        <v>2340232</v>
      </c>
      <c r="N44">
        <v>4</v>
      </c>
      <c r="O44" t="s">
        <v>14</v>
      </c>
    </row>
    <row r="45" spans="2:15" hidden="1" x14ac:dyDescent="0.25">
      <c r="B45" t="s">
        <v>54</v>
      </c>
      <c r="C45" t="str">
        <f>_xlfn.XLOOKUP(B45,Tabla2[CODIGO],Tabla2[MATERIAL],"N/A",0)</f>
        <v>Conector resorte 18-8</v>
      </c>
      <c r="D45">
        <v>3</v>
      </c>
      <c r="E45" t="s">
        <v>42</v>
      </c>
      <c r="F45" t="s">
        <v>62</v>
      </c>
      <c r="G45" s="1">
        <v>46179</v>
      </c>
      <c r="I45" s="2"/>
      <c r="J45" t="s">
        <v>57</v>
      </c>
      <c r="K45">
        <v>9821</v>
      </c>
      <c r="L45" t="s">
        <v>44</v>
      </c>
      <c r="M45">
        <v>2340232</v>
      </c>
      <c r="N45">
        <v>5</v>
      </c>
      <c r="O45" t="s">
        <v>14</v>
      </c>
    </row>
    <row r="46" spans="2:15" hidden="1" x14ac:dyDescent="0.25">
      <c r="B46" t="s">
        <v>54</v>
      </c>
      <c r="C46" t="str">
        <f>_xlfn.XLOOKUP(B46,Tabla2[CODIGO],Tabla2[MATERIAL],"N/A",0)</f>
        <v>Conector resorte 18-8</v>
      </c>
      <c r="D46">
        <v>3</v>
      </c>
      <c r="E46" t="s">
        <v>42</v>
      </c>
      <c r="F46" t="s">
        <v>62</v>
      </c>
      <c r="G46" s="1">
        <v>46179</v>
      </c>
      <c r="I46" s="2"/>
      <c r="J46" t="s">
        <v>57</v>
      </c>
      <c r="K46">
        <v>9821</v>
      </c>
      <c r="L46" t="s">
        <v>44</v>
      </c>
      <c r="M46">
        <v>2340101</v>
      </c>
      <c r="N46">
        <v>6</v>
      </c>
      <c r="O46" t="s">
        <v>14</v>
      </c>
    </row>
    <row r="47" spans="2:15" hidden="1" x14ac:dyDescent="0.25">
      <c r="B47" t="s">
        <v>54</v>
      </c>
      <c r="C47" t="str">
        <f>_xlfn.XLOOKUP(B47,Tabla2[CODIGO],Tabla2[MATERIAL],"N/A",0)</f>
        <v>Conector resorte 18-8</v>
      </c>
      <c r="D47">
        <v>3</v>
      </c>
      <c r="E47" t="s">
        <v>42</v>
      </c>
      <c r="F47" t="s">
        <v>62</v>
      </c>
      <c r="G47" s="1">
        <v>46179</v>
      </c>
      <c r="I47" s="2"/>
      <c r="J47" t="s">
        <v>57</v>
      </c>
      <c r="K47">
        <v>9821</v>
      </c>
      <c r="L47" t="s">
        <v>44</v>
      </c>
      <c r="M47">
        <v>2340054</v>
      </c>
      <c r="N47">
        <v>3</v>
      </c>
      <c r="O47" t="s">
        <v>14</v>
      </c>
    </row>
    <row r="48" spans="2:15" hidden="1" x14ac:dyDescent="0.25">
      <c r="B48" t="s">
        <v>54</v>
      </c>
      <c r="C48" t="str">
        <f>_xlfn.XLOOKUP(B48,Tabla2[CODIGO],Tabla2[MATERIAL],"N/A",0)</f>
        <v>Conector resorte 18-8</v>
      </c>
      <c r="D48">
        <v>3</v>
      </c>
      <c r="E48" t="s">
        <v>42</v>
      </c>
      <c r="F48" t="s">
        <v>62</v>
      </c>
      <c r="G48" s="1">
        <v>46179</v>
      </c>
      <c r="I48" s="2"/>
      <c r="J48" t="s">
        <v>57</v>
      </c>
      <c r="K48">
        <v>9821</v>
      </c>
      <c r="L48" t="s">
        <v>44</v>
      </c>
      <c r="M48">
        <v>2340283</v>
      </c>
      <c r="N48">
        <v>8</v>
      </c>
      <c r="O48" t="s">
        <v>14</v>
      </c>
    </row>
    <row r="49" spans="2:15" hidden="1" x14ac:dyDescent="0.25">
      <c r="B49" t="s">
        <v>54</v>
      </c>
      <c r="C49" t="str">
        <f>_xlfn.XLOOKUP(B49,Tabla2[CODIGO],Tabla2[MATERIAL],"N/A",0)</f>
        <v>Conector resorte 18-8</v>
      </c>
      <c r="D49">
        <v>3</v>
      </c>
      <c r="E49" t="s">
        <v>42</v>
      </c>
      <c r="F49" t="s">
        <v>62</v>
      </c>
      <c r="G49" s="1">
        <v>46179</v>
      </c>
      <c r="I49" s="2"/>
      <c r="J49" t="s">
        <v>57</v>
      </c>
      <c r="K49">
        <v>9821</v>
      </c>
      <c r="L49" t="s">
        <v>44</v>
      </c>
      <c r="M49">
        <v>2340283</v>
      </c>
      <c r="N49">
        <v>9</v>
      </c>
      <c r="O49" t="s">
        <v>14</v>
      </c>
    </row>
    <row r="50" spans="2:15" hidden="1" x14ac:dyDescent="0.25">
      <c r="B50" t="s">
        <v>54</v>
      </c>
      <c r="C50" t="str">
        <f>_xlfn.XLOOKUP(B50,Tabla2[CODIGO],Tabla2[MATERIAL],"N/A",0)</f>
        <v>Conector resorte 18-8</v>
      </c>
      <c r="D50">
        <v>3</v>
      </c>
      <c r="E50" t="s">
        <v>42</v>
      </c>
      <c r="F50" t="s">
        <v>62</v>
      </c>
      <c r="G50" s="1">
        <v>46179</v>
      </c>
      <c r="I50" s="2"/>
      <c r="J50" t="s">
        <v>57</v>
      </c>
      <c r="K50">
        <v>9821</v>
      </c>
      <c r="L50" t="s">
        <v>44</v>
      </c>
      <c r="M50">
        <v>2349143</v>
      </c>
      <c r="N50">
        <v>10</v>
      </c>
      <c r="O50" t="s">
        <v>14</v>
      </c>
    </row>
    <row r="51" spans="2:15" hidden="1" x14ac:dyDescent="0.25">
      <c r="B51" t="s">
        <v>76</v>
      </c>
      <c r="C51" t="str">
        <f>_xlfn.XLOOKUP(B51,Tabla2[CODIGO],Tabla2[MATERIAL],"N/A",0)</f>
        <v>Empalme gel ppal 8-4/0 a der 14-2/0 awg (grande)</v>
      </c>
      <c r="D51">
        <v>2</v>
      </c>
      <c r="E51" t="s">
        <v>42</v>
      </c>
      <c r="F51" t="s">
        <v>62</v>
      </c>
      <c r="G51" s="1">
        <v>46179</v>
      </c>
      <c r="I51" s="2"/>
      <c r="J51" t="s">
        <v>57</v>
      </c>
      <c r="K51">
        <v>9821</v>
      </c>
      <c r="L51" t="s">
        <v>44</v>
      </c>
      <c r="M51">
        <v>2340194</v>
      </c>
      <c r="N51">
        <v>1</v>
      </c>
      <c r="O51" t="s">
        <v>14</v>
      </c>
    </row>
    <row r="52" spans="2:15" hidden="1" x14ac:dyDescent="0.25">
      <c r="B52" t="s">
        <v>76</v>
      </c>
      <c r="C52" t="str">
        <f>_xlfn.XLOOKUP(B52,Tabla2[CODIGO],Tabla2[MATERIAL],"N/A",0)</f>
        <v>Empalme gel ppal 8-4/0 a der 14-2/0 awg (grande)</v>
      </c>
      <c r="D52">
        <v>2</v>
      </c>
      <c r="E52" t="s">
        <v>42</v>
      </c>
      <c r="F52" t="s">
        <v>62</v>
      </c>
      <c r="G52" s="1">
        <v>46179</v>
      </c>
      <c r="I52" s="2"/>
      <c r="J52" t="s">
        <v>57</v>
      </c>
      <c r="K52">
        <v>9821</v>
      </c>
      <c r="L52" t="s">
        <v>44</v>
      </c>
      <c r="M52">
        <v>2340194</v>
      </c>
      <c r="N52">
        <v>2</v>
      </c>
      <c r="O52" t="s">
        <v>14</v>
      </c>
    </row>
    <row r="53" spans="2:15" hidden="1" x14ac:dyDescent="0.25">
      <c r="B53" t="s">
        <v>76</v>
      </c>
      <c r="C53" t="str">
        <f>_xlfn.XLOOKUP(B53,Tabla2[CODIGO],Tabla2[MATERIAL],"N/A",0)</f>
        <v>Empalme gel ppal 8-4/0 a der 14-2/0 awg (grande)</v>
      </c>
      <c r="D53">
        <v>2</v>
      </c>
      <c r="E53" t="s">
        <v>42</v>
      </c>
      <c r="F53" t="s">
        <v>62</v>
      </c>
      <c r="G53" s="1">
        <v>46179</v>
      </c>
      <c r="I53" s="2"/>
      <c r="J53" t="s">
        <v>57</v>
      </c>
      <c r="K53">
        <v>9821</v>
      </c>
      <c r="L53" t="s">
        <v>44</v>
      </c>
      <c r="M53">
        <v>2340232</v>
      </c>
      <c r="N53">
        <v>4</v>
      </c>
      <c r="O53" t="s">
        <v>14</v>
      </c>
    </row>
    <row r="54" spans="2:15" hidden="1" x14ac:dyDescent="0.25">
      <c r="B54" t="s">
        <v>76</v>
      </c>
      <c r="C54" t="str">
        <f>_xlfn.XLOOKUP(B54,Tabla2[CODIGO],Tabla2[MATERIAL],"N/A",0)</f>
        <v>Empalme gel ppal 8-4/0 a der 14-2/0 awg (grande)</v>
      </c>
      <c r="D54">
        <v>2</v>
      </c>
      <c r="E54" t="s">
        <v>42</v>
      </c>
      <c r="F54" t="s">
        <v>62</v>
      </c>
      <c r="G54" s="1">
        <v>46179</v>
      </c>
      <c r="I54" s="2"/>
      <c r="J54" t="s">
        <v>57</v>
      </c>
      <c r="K54">
        <v>9821</v>
      </c>
      <c r="L54" t="s">
        <v>44</v>
      </c>
      <c r="M54">
        <v>2340232</v>
      </c>
      <c r="N54">
        <v>5</v>
      </c>
      <c r="O54" t="s">
        <v>14</v>
      </c>
    </row>
    <row r="55" spans="2:15" hidden="1" x14ac:dyDescent="0.25">
      <c r="B55" t="s">
        <v>77</v>
      </c>
      <c r="C55" t="str">
        <f>_xlfn.XLOOKUP(B55,Tabla2[CODIGO],Tabla2[MATERIAL],"N/A",0)</f>
        <v>Empalme gel ppal 4-2/0 a der 14-6 awg (pequeño)</v>
      </c>
      <c r="D55">
        <v>2</v>
      </c>
      <c r="E55" t="s">
        <v>42</v>
      </c>
      <c r="F55" t="s">
        <v>62</v>
      </c>
      <c r="G55" s="1">
        <v>46179</v>
      </c>
      <c r="I55" s="2"/>
      <c r="J55" t="s">
        <v>57</v>
      </c>
      <c r="K55">
        <v>9821</v>
      </c>
      <c r="L55" t="s">
        <v>44</v>
      </c>
      <c r="M55">
        <v>2340101</v>
      </c>
      <c r="N55">
        <v>6</v>
      </c>
      <c r="O55" t="s">
        <v>14</v>
      </c>
    </row>
    <row r="56" spans="2:15" hidden="1" x14ac:dyDescent="0.25">
      <c r="B56" t="s">
        <v>77</v>
      </c>
      <c r="C56" t="str">
        <f>_xlfn.XLOOKUP(B56,Tabla2[CODIGO],Tabla2[MATERIAL],"N/A",0)</f>
        <v>Empalme gel ppal 4-2/0 a der 14-6 awg (pequeño)</v>
      </c>
      <c r="D56">
        <v>2</v>
      </c>
      <c r="E56" t="s">
        <v>42</v>
      </c>
      <c r="F56" t="s">
        <v>62</v>
      </c>
      <c r="G56" s="1">
        <v>46179</v>
      </c>
      <c r="I56" s="2"/>
      <c r="J56" t="s">
        <v>57</v>
      </c>
      <c r="K56">
        <v>9821</v>
      </c>
      <c r="L56" t="s">
        <v>44</v>
      </c>
      <c r="M56">
        <v>2340054</v>
      </c>
      <c r="N56">
        <v>3</v>
      </c>
      <c r="O56" t="s">
        <v>14</v>
      </c>
    </row>
    <row r="57" spans="2:15" hidden="1" x14ac:dyDescent="0.25">
      <c r="B57" t="s">
        <v>77</v>
      </c>
      <c r="C57" t="str">
        <f>_xlfn.XLOOKUP(B57,Tabla2[CODIGO],Tabla2[MATERIAL],"N/A",0)</f>
        <v>Empalme gel ppal 4-2/0 a der 14-6 awg (pequeño)</v>
      </c>
      <c r="D57">
        <v>2</v>
      </c>
      <c r="E57" t="s">
        <v>42</v>
      </c>
      <c r="F57" t="s">
        <v>62</v>
      </c>
      <c r="G57" s="1">
        <v>46179</v>
      </c>
      <c r="I57" s="2"/>
      <c r="J57" t="s">
        <v>57</v>
      </c>
      <c r="K57">
        <v>9821</v>
      </c>
      <c r="L57" t="s">
        <v>44</v>
      </c>
      <c r="M57">
        <v>2340283</v>
      </c>
      <c r="N57">
        <v>8</v>
      </c>
      <c r="O57" t="s">
        <v>14</v>
      </c>
    </row>
    <row r="58" spans="2:15" hidden="1" x14ac:dyDescent="0.25">
      <c r="B58" t="s">
        <v>77</v>
      </c>
      <c r="C58" t="str">
        <f>_xlfn.XLOOKUP(B58,Tabla2[CODIGO],Tabla2[MATERIAL],"N/A",0)</f>
        <v>Empalme gel ppal 4-2/0 a der 14-6 awg (pequeño)</v>
      </c>
      <c r="D58">
        <v>2</v>
      </c>
      <c r="E58" t="s">
        <v>42</v>
      </c>
      <c r="F58" t="s">
        <v>62</v>
      </c>
      <c r="G58" s="1">
        <v>46179</v>
      </c>
      <c r="I58" s="2"/>
      <c r="J58" t="s">
        <v>57</v>
      </c>
      <c r="K58">
        <v>9821</v>
      </c>
      <c r="L58" t="s">
        <v>44</v>
      </c>
      <c r="M58">
        <v>2340283</v>
      </c>
      <c r="N58">
        <v>9</v>
      </c>
      <c r="O58" t="s">
        <v>14</v>
      </c>
    </row>
    <row r="59" spans="2:15" hidden="1" x14ac:dyDescent="0.25">
      <c r="B59" t="s">
        <v>77</v>
      </c>
      <c r="C59" t="str">
        <f>_xlfn.XLOOKUP(B59,Tabla2[CODIGO],Tabla2[MATERIAL],"N/A",0)</f>
        <v>Empalme gel ppal 4-2/0 a der 14-6 awg (pequeño)</v>
      </c>
      <c r="D59">
        <v>2</v>
      </c>
      <c r="E59" t="s">
        <v>42</v>
      </c>
      <c r="F59" t="s">
        <v>62</v>
      </c>
      <c r="G59" s="1">
        <v>46179</v>
      </c>
      <c r="I59" s="2"/>
      <c r="J59" t="s">
        <v>57</v>
      </c>
      <c r="K59">
        <v>9821</v>
      </c>
      <c r="L59" t="s">
        <v>44</v>
      </c>
      <c r="M59">
        <v>2349143</v>
      </c>
      <c r="N59">
        <v>10</v>
      </c>
      <c r="O59" t="s">
        <v>14</v>
      </c>
    </row>
    <row r="60" spans="2:15" hidden="1" x14ac:dyDescent="0.25">
      <c r="B60" t="s">
        <v>21</v>
      </c>
      <c r="C60" t="str">
        <f>_xlfn.XLOOKUP(B60,Tabla2[CODIGO],Tabla2[MATERIAL],"N/A",0)</f>
        <v>Cable Encauchetado 3x14 pvc</v>
      </c>
      <c r="D60">
        <v>10</v>
      </c>
      <c r="E60" t="s">
        <v>43</v>
      </c>
      <c r="F60" t="s">
        <v>62</v>
      </c>
      <c r="G60" s="1">
        <v>46179</v>
      </c>
      <c r="I60" s="2"/>
      <c r="J60" t="s">
        <v>57</v>
      </c>
      <c r="K60">
        <v>9821</v>
      </c>
      <c r="L60" t="s">
        <v>44</v>
      </c>
      <c r="M60">
        <v>2340194</v>
      </c>
      <c r="N60">
        <v>1</v>
      </c>
      <c r="O60" t="s">
        <v>14</v>
      </c>
    </row>
    <row r="61" spans="2:15" hidden="1" x14ac:dyDescent="0.25">
      <c r="B61" t="s">
        <v>21</v>
      </c>
      <c r="C61" t="str">
        <f>_xlfn.XLOOKUP(B61,Tabla2[CODIGO],Tabla2[MATERIAL],"N/A",0)</f>
        <v>Cable Encauchetado 3x14 pvc</v>
      </c>
      <c r="D61">
        <v>10</v>
      </c>
      <c r="E61" t="s">
        <v>43</v>
      </c>
      <c r="F61" t="s">
        <v>62</v>
      </c>
      <c r="G61" s="1">
        <v>46179</v>
      </c>
      <c r="I61" s="2"/>
      <c r="J61" t="s">
        <v>57</v>
      </c>
      <c r="K61">
        <v>9821</v>
      </c>
      <c r="L61" t="s">
        <v>44</v>
      </c>
      <c r="M61">
        <v>2340054</v>
      </c>
      <c r="N61">
        <v>3</v>
      </c>
      <c r="O61" t="s">
        <v>14</v>
      </c>
    </row>
    <row r="62" spans="2:15" hidden="1" x14ac:dyDescent="0.25">
      <c r="B62" t="s">
        <v>21</v>
      </c>
      <c r="C62" t="str">
        <f>_xlfn.XLOOKUP(B62,Tabla2[CODIGO],Tabla2[MATERIAL],"N/A",0)</f>
        <v>Cable Encauchetado 3x14 pvc</v>
      </c>
      <c r="D62">
        <v>10</v>
      </c>
      <c r="E62" t="s">
        <v>43</v>
      </c>
      <c r="F62" t="s">
        <v>62</v>
      </c>
      <c r="G62" s="1">
        <v>46179</v>
      </c>
      <c r="I62" s="2"/>
      <c r="J62" t="s">
        <v>57</v>
      </c>
      <c r="K62">
        <v>9821</v>
      </c>
      <c r="L62" t="s">
        <v>44</v>
      </c>
      <c r="M62">
        <v>2340232</v>
      </c>
      <c r="N62">
        <v>5</v>
      </c>
      <c r="O62" t="s">
        <v>14</v>
      </c>
    </row>
    <row r="63" spans="2:15" hidden="1" x14ac:dyDescent="0.25">
      <c r="B63" t="s">
        <v>21</v>
      </c>
      <c r="C63" t="str">
        <f>_xlfn.XLOOKUP(B63,Tabla2[CODIGO],Tabla2[MATERIAL],"N/A",0)</f>
        <v>Cable Encauchetado 3x14 pvc</v>
      </c>
      <c r="D63">
        <v>10</v>
      </c>
      <c r="E63" t="s">
        <v>43</v>
      </c>
      <c r="F63" t="s">
        <v>62</v>
      </c>
      <c r="G63" s="1">
        <v>46179</v>
      </c>
      <c r="I63" s="2"/>
      <c r="J63" t="s">
        <v>57</v>
      </c>
      <c r="K63">
        <v>9821</v>
      </c>
      <c r="L63" t="s">
        <v>44</v>
      </c>
      <c r="M63">
        <v>2340101</v>
      </c>
      <c r="N63">
        <v>6</v>
      </c>
      <c r="O63" t="s">
        <v>14</v>
      </c>
    </row>
    <row r="64" spans="2:15" hidden="1" x14ac:dyDescent="0.25">
      <c r="B64" t="s">
        <v>21</v>
      </c>
      <c r="C64" t="str">
        <f>_xlfn.XLOOKUP(B64,Tabla2[CODIGO],Tabla2[MATERIAL],"N/A",0)</f>
        <v>Cable Encauchetado 3x14 pvc</v>
      </c>
      <c r="D64">
        <v>10</v>
      </c>
      <c r="E64" t="s">
        <v>43</v>
      </c>
      <c r="F64" t="s">
        <v>62</v>
      </c>
      <c r="G64" s="1">
        <v>46179</v>
      </c>
      <c r="I64" s="2"/>
      <c r="J64" t="s">
        <v>57</v>
      </c>
      <c r="K64">
        <v>9821</v>
      </c>
      <c r="L64" t="s">
        <v>44</v>
      </c>
      <c r="M64">
        <v>2340283</v>
      </c>
      <c r="N64">
        <v>8</v>
      </c>
      <c r="O64" t="s">
        <v>14</v>
      </c>
    </row>
    <row r="65" spans="2:15" hidden="1" x14ac:dyDescent="0.25">
      <c r="B65" t="s">
        <v>21</v>
      </c>
      <c r="C65" t="str">
        <f>_xlfn.XLOOKUP(B65,Tabla2[CODIGO],Tabla2[MATERIAL],"N/A",0)</f>
        <v>Cable Encauchetado 3x14 pvc</v>
      </c>
      <c r="D65">
        <v>10</v>
      </c>
      <c r="E65" t="s">
        <v>43</v>
      </c>
      <c r="F65" t="s">
        <v>62</v>
      </c>
      <c r="G65" s="1">
        <v>46179</v>
      </c>
      <c r="I65" s="2"/>
      <c r="J65" t="s">
        <v>57</v>
      </c>
      <c r="K65">
        <v>9821</v>
      </c>
      <c r="L65" t="s">
        <v>44</v>
      </c>
      <c r="M65">
        <v>2349143</v>
      </c>
      <c r="N65">
        <v>10</v>
      </c>
      <c r="O65" t="s">
        <v>14</v>
      </c>
    </row>
    <row r="66" spans="2:15" hidden="1" x14ac:dyDescent="0.25">
      <c r="B66" t="s">
        <v>78</v>
      </c>
      <c r="C66" t="str">
        <f>_xlfn.XLOOKUP(B66,Tabla2[CODIGO],Tabla2[MATERIAL],"N/A",0)</f>
        <v>Tapa Concreto</v>
      </c>
      <c r="D66">
        <v>1</v>
      </c>
      <c r="E66" t="s">
        <v>42</v>
      </c>
      <c r="F66" t="s">
        <v>62</v>
      </c>
      <c r="G66" s="1">
        <v>46179</v>
      </c>
      <c r="I66" s="2"/>
      <c r="J66" t="s">
        <v>57</v>
      </c>
      <c r="K66">
        <v>9821</v>
      </c>
      <c r="L66" t="s">
        <v>44</v>
      </c>
      <c r="M66">
        <v>2340232</v>
      </c>
      <c r="N66">
        <v>4</v>
      </c>
      <c r="O66" t="s">
        <v>14</v>
      </c>
    </row>
    <row r="67" spans="2:15" hidden="1" x14ac:dyDescent="0.25">
      <c r="B67" t="s">
        <v>78</v>
      </c>
      <c r="C67" t="str">
        <f>_xlfn.XLOOKUP(B67,Tabla2[CODIGO],Tabla2[MATERIAL],"N/A",0)</f>
        <v>Tapa Concreto</v>
      </c>
      <c r="D67">
        <v>1</v>
      </c>
      <c r="E67" t="s">
        <v>42</v>
      </c>
      <c r="F67" t="s">
        <v>62</v>
      </c>
      <c r="G67" s="1">
        <v>46179</v>
      </c>
      <c r="I67" s="2"/>
      <c r="J67" t="s">
        <v>57</v>
      </c>
      <c r="K67">
        <v>9821</v>
      </c>
      <c r="L67" t="s">
        <v>44</v>
      </c>
      <c r="M67">
        <v>2340101</v>
      </c>
      <c r="N67">
        <v>6</v>
      </c>
      <c r="O67" t="s">
        <v>14</v>
      </c>
    </row>
    <row r="68" spans="2:15" hidden="1" x14ac:dyDescent="0.25">
      <c r="B68" t="s">
        <v>38</v>
      </c>
      <c r="C68" t="str">
        <f>_xlfn.XLOOKUP(B68,Tabla2[CODIGO],Tabla2[MATERIAL],"N/A",0)</f>
        <v>Tuberia Conduflex 3/4"</v>
      </c>
      <c r="D68">
        <v>1</v>
      </c>
      <c r="E68" t="s">
        <v>43</v>
      </c>
      <c r="F68" t="s">
        <v>62</v>
      </c>
      <c r="G68" s="1">
        <v>46179</v>
      </c>
      <c r="I68" s="2"/>
      <c r="J68" t="s">
        <v>57</v>
      </c>
      <c r="K68">
        <v>9821</v>
      </c>
      <c r="L68" t="s">
        <v>44</v>
      </c>
      <c r="M68">
        <v>2340194</v>
      </c>
      <c r="N68">
        <v>1</v>
      </c>
      <c r="O68" t="s">
        <v>14</v>
      </c>
    </row>
    <row r="69" spans="2:15" hidden="1" x14ac:dyDescent="0.25">
      <c r="B69" t="s">
        <v>47</v>
      </c>
      <c r="C69" t="str">
        <f>_xlfn.XLOOKUP(B69,Tabla2[CODIGO],Tabla2[MATERIAL],"N/A",0)</f>
        <v>Luminaria 75w</v>
      </c>
      <c r="D69">
        <v>1</v>
      </c>
      <c r="E69" t="s">
        <v>42</v>
      </c>
      <c r="F69" t="s">
        <v>16</v>
      </c>
      <c r="G69" s="1">
        <v>46178</v>
      </c>
      <c r="H69" t="s">
        <v>64</v>
      </c>
      <c r="I69" s="2" t="s">
        <v>73</v>
      </c>
      <c r="J69" t="s">
        <v>57</v>
      </c>
      <c r="K69">
        <v>9821</v>
      </c>
      <c r="L69" t="s">
        <v>44</v>
      </c>
      <c r="N69" t="s">
        <v>14</v>
      </c>
      <c r="O69" t="s">
        <v>10</v>
      </c>
    </row>
    <row r="70" spans="2:15" hidden="1" x14ac:dyDescent="0.25">
      <c r="B70" t="s">
        <v>47</v>
      </c>
      <c r="C70" t="str">
        <f>_xlfn.XLOOKUP(B70,Tabla2[CODIGO],Tabla2[MATERIAL],"N/A",0)</f>
        <v>Luminaria 75w</v>
      </c>
      <c r="D70">
        <v>1</v>
      </c>
      <c r="E70" t="s">
        <v>42</v>
      </c>
      <c r="F70" t="s">
        <v>16</v>
      </c>
      <c r="G70" s="1">
        <v>46178</v>
      </c>
      <c r="H70" t="s">
        <v>64</v>
      </c>
      <c r="I70" s="2" t="s">
        <v>66</v>
      </c>
      <c r="J70" t="s">
        <v>57</v>
      </c>
      <c r="K70">
        <v>9821</v>
      </c>
      <c r="L70" t="s">
        <v>44</v>
      </c>
      <c r="N70" t="s">
        <v>14</v>
      </c>
      <c r="O70" t="s">
        <v>10</v>
      </c>
    </row>
    <row r="71" spans="2:15" hidden="1" x14ac:dyDescent="0.25">
      <c r="B71" t="s">
        <v>47</v>
      </c>
      <c r="C71" t="str">
        <f>_xlfn.XLOOKUP(B71,Tabla2[CODIGO],Tabla2[MATERIAL],"N/A",0)</f>
        <v>Luminaria 75w</v>
      </c>
      <c r="D71">
        <v>1</v>
      </c>
      <c r="E71" t="s">
        <v>42</v>
      </c>
      <c r="F71" t="s">
        <v>16</v>
      </c>
      <c r="G71" s="1">
        <v>46178</v>
      </c>
      <c r="H71" t="s">
        <v>64</v>
      </c>
      <c r="I71" s="2" t="s">
        <v>67</v>
      </c>
      <c r="J71" t="s">
        <v>57</v>
      </c>
      <c r="K71">
        <v>9821</v>
      </c>
      <c r="L71" t="s">
        <v>44</v>
      </c>
      <c r="N71" t="s">
        <v>14</v>
      </c>
      <c r="O71" t="s">
        <v>10</v>
      </c>
    </row>
    <row r="72" spans="2:15" hidden="1" x14ac:dyDescent="0.25">
      <c r="B72" t="s">
        <v>47</v>
      </c>
      <c r="C72" t="str">
        <f>_xlfn.XLOOKUP(B72,Tabla2[CODIGO],Tabla2[MATERIAL],"N/A",0)</f>
        <v>Luminaria 75w</v>
      </c>
      <c r="D72">
        <v>1</v>
      </c>
      <c r="E72" t="s">
        <v>42</v>
      </c>
      <c r="F72" t="s">
        <v>16</v>
      </c>
      <c r="G72" s="1">
        <v>46178</v>
      </c>
      <c r="H72" t="s">
        <v>64</v>
      </c>
      <c r="I72" s="2" t="s">
        <v>68</v>
      </c>
      <c r="J72" t="s">
        <v>57</v>
      </c>
      <c r="K72">
        <v>9821</v>
      </c>
      <c r="L72" t="s">
        <v>44</v>
      </c>
      <c r="N72" t="s">
        <v>14</v>
      </c>
      <c r="O72" t="s">
        <v>10</v>
      </c>
    </row>
    <row r="73" spans="2:15" hidden="1" x14ac:dyDescent="0.25">
      <c r="B73" t="s">
        <v>47</v>
      </c>
      <c r="C73" t="str">
        <f>_xlfn.XLOOKUP(B73,Tabla2[CODIGO],Tabla2[MATERIAL],"N/A",0)</f>
        <v>Luminaria 75w</v>
      </c>
      <c r="D73">
        <v>1</v>
      </c>
      <c r="E73" t="s">
        <v>42</v>
      </c>
      <c r="F73" t="s">
        <v>16</v>
      </c>
      <c r="G73" s="1">
        <v>46178</v>
      </c>
      <c r="H73" t="s">
        <v>64</v>
      </c>
      <c r="I73" s="2" t="s">
        <v>69</v>
      </c>
      <c r="J73" t="s">
        <v>57</v>
      </c>
      <c r="K73">
        <v>9821</v>
      </c>
      <c r="L73" t="s">
        <v>44</v>
      </c>
      <c r="N73" t="s">
        <v>14</v>
      </c>
      <c r="O73" t="s">
        <v>10</v>
      </c>
    </row>
    <row r="74" spans="2:15" hidden="1" x14ac:dyDescent="0.25">
      <c r="B74" t="s">
        <v>47</v>
      </c>
      <c r="C74" t="str">
        <f>_xlfn.XLOOKUP(B74,Tabla2[CODIGO],Tabla2[MATERIAL],"N/A",0)</f>
        <v>Luminaria 75w</v>
      </c>
      <c r="D74">
        <v>1</v>
      </c>
      <c r="E74" t="s">
        <v>42</v>
      </c>
      <c r="F74" t="s">
        <v>16</v>
      </c>
      <c r="G74" s="1">
        <v>46178</v>
      </c>
      <c r="H74" t="s">
        <v>64</v>
      </c>
      <c r="I74" s="2" t="s">
        <v>70</v>
      </c>
      <c r="J74" t="s">
        <v>57</v>
      </c>
      <c r="K74">
        <v>9821</v>
      </c>
      <c r="L74" t="s">
        <v>44</v>
      </c>
      <c r="N74" t="s">
        <v>14</v>
      </c>
      <c r="O74" t="s">
        <v>10</v>
      </c>
    </row>
    <row r="75" spans="2:15" hidden="1" x14ac:dyDescent="0.25">
      <c r="B75" t="s">
        <v>47</v>
      </c>
      <c r="C75" t="str">
        <f>_xlfn.XLOOKUP(B75,Tabla2[CODIGO],Tabla2[MATERIAL],"N/A",0)</f>
        <v>Luminaria 75w</v>
      </c>
      <c r="D75">
        <v>1</v>
      </c>
      <c r="E75" t="s">
        <v>42</v>
      </c>
      <c r="F75" t="s">
        <v>16</v>
      </c>
      <c r="G75" s="1">
        <v>46178</v>
      </c>
      <c r="H75" t="s">
        <v>64</v>
      </c>
      <c r="I75" s="2" t="s">
        <v>71</v>
      </c>
      <c r="J75" t="s">
        <v>57</v>
      </c>
      <c r="K75">
        <v>9821</v>
      </c>
      <c r="L75" t="s">
        <v>44</v>
      </c>
      <c r="N75" t="s">
        <v>14</v>
      </c>
      <c r="O75" t="s">
        <v>10</v>
      </c>
    </row>
    <row r="76" spans="2:15" hidden="1" x14ac:dyDescent="0.25">
      <c r="B76" t="s">
        <v>47</v>
      </c>
      <c r="C76" t="str">
        <f>_xlfn.XLOOKUP(B76,Tabla2[CODIGO],Tabla2[MATERIAL],"N/A",0)</f>
        <v>Luminaria 75w</v>
      </c>
      <c r="D76">
        <v>1</v>
      </c>
      <c r="E76" t="s">
        <v>42</v>
      </c>
      <c r="F76" t="s">
        <v>16</v>
      </c>
      <c r="G76" s="1">
        <v>46178</v>
      </c>
      <c r="H76" t="s">
        <v>64</v>
      </c>
      <c r="I76" s="2" t="s">
        <v>72</v>
      </c>
      <c r="J76" t="s">
        <v>57</v>
      </c>
      <c r="K76">
        <v>9821</v>
      </c>
      <c r="L76" t="s">
        <v>44</v>
      </c>
      <c r="N76" t="s">
        <v>14</v>
      </c>
      <c r="O76" t="s">
        <v>10</v>
      </c>
    </row>
    <row r="77" spans="2:15" hidden="1" x14ac:dyDescent="0.25">
      <c r="B77" t="s">
        <v>82</v>
      </c>
      <c r="C77" t="str">
        <f>_xlfn.XLOOKUP(B77,Tabla2[CODIGO],Tabla2[MATERIAL],"N/A",0)</f>
        <v>proyector 190w</v>
      </c>
      <c r="D77">
        <v>1</v>
      </c>
      <c r="E77" t="s">
        <v>42</v>
      </c>
      <c r="F77" t="s">
        <v>16</v>
      </c>
      <c r="G77" s="1">
        <v>46200</v>
      </c>
      <c r="H77" t="s">
        <v>64</v>
      </c>
      <c r="I77" s="2" t="s">
        <v>154</v>
      </c>
      <c r="J77" t="s">
        <v>166</v>
      </c>
      <c r="K77">
        <v>9961</v>
      </c>
      <c r="L77" t="s">
        <v>165</v>
      </c>
    </row>
    <row r="78" spans="2:15" hidden="1" x14ac:dyDescent="0.25">
      <c r="B78" t="s">
        <v>82</v>
      </c>
      <c r="C78" t="str">
        <f>_xlfn.XLOOKUP(B78,Tabla2[CODIGO],Tabla2[MATERIAL],"N/A",0)</f>
        <v>proyector 190w</v>
      </c>
      <c r="D78">
        <v>1</v>
      </c>
      <c r="E78" t="s">
        <v>42</v>
      </c>
      <c r="F78" t="s">
        <v>16</v>
      </c>
      <c r="G78" s="1">
        <v>46200</v>
      </c>
      <c r="H78" t="s">
        <v>64</v>
      </c>
      <c r="I78" s="2" t="s">
        <v>155</v>
      </c>
      <c r="J78" t="s">
        <v>166</v>
      </c>
      <c r="K78">
        <v>9961</v>
      </c>
      <c r="L78" t="s">
        <v>165</v>
      </c>
    </row>
    <row r="79" spans="2:15" hidden="1" x14ac:dyDescent="0.25">
      <c r="B79" t="s">
        <v>82</v>
      </c>
      <c r="C79" t="str">
        <f>_xlfn.XLOOKUP(B79,Tabla2[CODIGO],Tabla2[MATERIAL],"N/A",0)</f>
        <v>proyector 190w</v>
      </c>
      <c r="D79">
        <v>1</v>
      </c>
      <c r="E79" t="s">
        <v>42</v>
      </c>
      <c r="F79" t="s">
        <v>16</v>
      </c>
      <c r="G79" s="1">
        <v>46200</v>
      </c>
      <c r="H79" t="s">
        <v>64</v>
      </c>
      <c r="I79" s="2" t="s">
        <v>156</v>
      </c>
      <c r="J79" t="s">
        <v>166</v>
      </c>
      <c r="K79">
        <v>9961</v>
      </c>
      <c r="L79" t="s">
        <v>165</v>
      </c>
    </row>
    <row r="80" spans="2:15" hidden="1" x14ac:dyDescent="0.25">
      <c r="B80" t="s">
        <v>82</v>
      </c>
      <c r="C80" t="str">
        <f>_xlfn.XLOOKUP(B80,Tabla2[CODIGO],Tabla2[MATERIAL],"N/A",0)</f>
        <v>proyector 190w</v>
      </c>
      <c r="D80">
        <v>1</v>
      </c>
      <c r="E80" t="s">
        <v>42</v>
      </c>
      <c r="F80" t="s">
        <v>16</v>
      </c>
      <c r="G80" s="1">
        <v>46200</v>
      </c>
      <c r="H80" t="s">
        <v>64</v>
      </c>
      <c r="I80" s="2" t="s">
        <v>157</v>
      </c>
      <c r="J80" t="s">
        <v>166</v>
      </c>
      <c r="K80">
        <v>9961</v>
      </c>
      <c r="L80" t="s">
        <v>165</v>
      </c>
    </row>
    <row r="81" spans="2:14" hidden="1" x14ac:dyDescent="0.25">
      <c r="B81" t="s">
        <v>82</v>
      </c>
      <c r="C81" t="str">
        <f>_xlfn.XLOOKUP(B81,Tabla2[CODIGO],Tabla2[MATERIAL],"N/A",0)</f>
        <v>proyector 190w</v>
      </c>
      <c r="D81">
        <v>1</v>
      </c>
      <c r="E81" t="s">
        <v>42</v>
      </c>
      <c r="F81" t="s">
        <v>16</v>
      </c>
      <c r="G81" s="1">
        <v>46200</v>
      </c>
      <c r="H81" t="s">
        <v>64</v>
      </c>
      <c r="I81" s="2" t="s">
        <v>158</v>
      </c>
      <c r="J81" t="s">
        <v>166</v>
      </c>
      <c r="K81">
        <v>9961</v>
      </c>
      <c r="L81" t="s">
        <v>165</v>
      </c>
    </row>
    <row r="82" spans="2:14" hidden="1" x14ac:dyDescent="0.25">
      <c r="B82" t="s">
        <v>82</v>
      </c>
      <c r="C82" t="str">
        <f>_xlfn.XLOOKUP(B82,Tabla2[CODIGO],Tabla2[MATERIAL],"N/A",0)</f>
        <v>proyector 190w</v>
      </c>
      <c r="D82">
        <v>1</v>
      </c>
      <c r="E82" t="s">
        <v>42</v>
      </c>
      <c r="F82" t="s">
        <v>16</v>
      </c>
      <c r="G82" s="1">
        <v>46200</v>
      </c>
      <c r="H82" t="s">
        <v>64</v>
      </c>
      <c r="I82" s="2" t="s">
        <v>159</v>
      </c>
      <c r="J82" t="s">
        <v>166</v>
      </c>
      <c r="K82">
        <v>9961</v>
      </c>
      <c r="L82" t="s">
        <v>165</v>
      </c>
    </row>
    <row r="83" spans="2:14" hidden="1" x14ac:dyDescent="0.25">
      <c r="B83" t="s">
        <v>82</v>
      </c>
      <c r="C83" t="str">
        <f>_xlfn.XLOOKUP(B83,Tabla2[CODIGO],Tabla2[MATERIAL],"N/A",0)</f>
        <v>proyector 190w</v>
      </c>
      <c r="D83">
        <v>1</v>
      </c>
      <c r="E83" t="s">
        <v>42</v>
      </c>
      <c r="F83" t="s">
        <v>16</v>
      </c>
      <c r="G83" s="1">
        <v>46200</v>
      </c>
      <c r="H83" t="s">
        <v>64</v>
      </c>
      <c r="I83" s="2" t="s">
        <v>187</v>
      </c>
      <c r="J83" t="s">
        <v>166</v>
      </c>
      <c r="K83">
        <v>9963</v>
      </c>
      <c r="L83" s="3" t="s">
        <v>189</v>
      </c>
    </row>
    <row r="84" spans="2:14" hidden="1" x14ac:dyDescent="0.25">
      <c r="B84" t="s">
        <v>82</v>
      </c>
      <c r="C84" t="str">
        <f>_xlfn.XLOOKUP(B84,Tabla2[CODIGO],Tabla2[MATERIAL],"N/A",0)</f>
        <v>proyector 190w</v>
      </c>
      <c r="D84">
        <v>1</v>
      </c>
      <c r="E84" t="s">
        <v>42</v>
      </c>
      <c r="F84" t="s">
        <v>62</v>
      </c>
      <c r="G84" s="1">
        <v>46204</v>
      </c>
      <c r="H84" t="s">
        <v>64</v>
      </c>
      <c r="I84" s="2" t="s">
        <v>187</v>
      </c>
      <c r="J84" t="s">
        <v>166</v>
      </c>
      <c r="K84">
        <v>9963</v>
      </c>
      <c r="L84" t="s">
        <v>247</v>
      </c>
      <c r="M84">
        <v>2295580</v>
      </c>
      <c r="N84">
        <v>6</v>
      </c>
    </row>
    <row r="85" spans="2:14" hidden="1" x14ac:dyDescent="0.25">
      <c r="B85" t="s">
        <v>82</v>
      </c>
      <c r="C85" t="str">
        <f>_xlfn.XLOOKUP(B85,Tabla2[CODIGO],Tabla2[MATERIAL],"N/A",0)</f>
        <v>proyector 190w</v>
      </c>
      <c r="D85">
        <v>1</v>
      </c>
      <c r="E85" t="s">
        <v>42</v>
      </c>
      <c r="F85" t="s">
        <v>16</v>
      </c>
      <c r="G85" s="1">
        <v>46200</v>
      </c>
      <c r="H85" t="s">
        <v>64</v>
      </c>
      <c r="I85" s="2" t="s">
        <v>188</v>
      </c>
      <c r="J85" t="s">
        <v>166</v>
      </c>
      <c r="K85">
        <v>9963</v>
      </c>
      <c r="L85" s="3" t="s">
        <v>189</v>
      </c>
    </row>
    <row r="86" spans="2:14" hidden="1" x14ac:dyDescent="0.25">
      <c r="B86" t="s">
        <v>82</v>
      </c>
      <c r="C86" t="str">
        <f>_xlfn.XLOOKUP(B86,Tabla2[CODIGO],Tabla2[MATERIAL],"N/A",0)</f>
        <v>proyector 190w</v>
      </c>
      <c r="D86">
        <v>1</v>
      </c>
      <c r="E86" t="s">
        <v>42</v>
      </c>
      <c r="F86" t="s">
        <v>62</v>
      </c>
      <c r="G86" s="1">
        <v>46204</v>
      </c>
      <c r="H86" t="s">
        <v>64</v>
      </c>
      <c r="I86" s="2" t="s">
        <v>188</v>
      </c>
      <c r="J86" t="s">
        <v>166</v>
      </c>
      <c r="K86">
        <v>9963</v>
      </c>
      <c r="L86" t="s">
        <v>247</v>
      </c>
      <c r="M86">
        <v>2295580</v>
      </c>
      <c r="N86">
        <v>5</v>
      </c>
    </row>
    <row r="87" spans="2:14" hidden="1" x14ac:dyDescent="0.25">
      <c r="B87" t="s">
        <v>82</v>
      </c>
      <c r="C87" t="str">
        <f>_xlfn.XLOOKUP(B87,Tabla2[CODIGO],Tabla2[MATERIAL],"N/A",0)</f>
        <v>proyector 190w</v>
      </c>
      <c r="D87">
        <v>1</v>
      </c>
      <c r="E87" t="s">
        <v>42</v>
      </c>
      <c r="F87" t="s">
        <v>16</v>
      </c>
      <c r="G87" s="1">
        <v>46198</v>
      </c>
      <c r="H87" t="s">
        <v>64</v>
      </c>
      <c r="I87" s="2" t="s">
        <v>85</v>
      </c>
      <c r="J87" t="s">
        <v>166</v>
      </c>
      <c r="K87">
        <v>9958</v>
      </c>
      <c r="L87" t="s">
        <v>100</v>
      </c>
    </row>
    <row r="88" spans="2:14" hidden="1" x14ac:dyDescent="0.25">
      <c r="B88" t="s">
        <v>82</v>
      </c>
      <c r="C88" t="str">
        <f>_xlfn.XLOOKUP(B88,Tabla2[CODIGO],Tabla2[MATERIAL],"N/A",0)</f>
        <v>proyector 190w</v>
      </c>
      <c r="D88">
        <v>1</v>
      </c>
      <c r="E88" t="s">
        <v>42</v>
      </c>
      <c r="F88" t="s">
        <v>62</v>
      </c>
      <c r="G88" s="1">
        <v>46199</v>
      </c>
      <c r="H88" t="s">
        <v>64</v>
      </c>
      <c r="I88" t="s">
        <v>85</v>
      </c>
      <c r="J88" t="s">
        <v>166</v>
      </c>
      <c r="K88">
        <v>9958</v>
      </c>
      <c r="M88">
        <v>2277638</v>
      </c>
      <c r="N88">
        <v>3</v>
      </c>
    </row>
    <row r="89" spans="2:14" hidden="1" x14ac:dyDescent="0.25">
      <c r="B89" t="s">
        <v>82</v>
      </c>
      <c r="C89" t="str">
        <f>_xlfn.XLOOKUP(B89,Tabla2[CODIGO],Tabla2[MATERIAL],"N/A",0)</f>
        <v>proyector 190w</v>
      </c>
      <c r="D89">
        <v>1</v>
      </c>
      <c r="E89" t="s">
        <v>42</v>
      </c>
      <c r="F89" t="s">
        <v>16</v>
      </c>
      <c r="G89" s="1">
        <v>46198</v>
      </c>
      <c r="H89" t="s">
        <v>64</v>
      </c>
      <c r="I89" s="2" t="s">
        <v>86</v>
      </c>
      <c r="J89" t="s">
        <v>166</v>
      </c>
      <c r="K89">
        <v>9958</v>
      </c>
      <c r="L89" t="s">
        <v>100</v>
      </c>
    </row>
    <row r="90" spans="2:14" hidden="1" x14ac:dyDescent="0.25">
      <c r="B90" t="s">
        <v>82</v>
      </c>
      <c r="C90" t="str">
        <f>_xlfn.XLOOKUP(B90,Tabla2[CODIGO],Tabla2[MATERIAL],"N/A",0)</f>
        <v>proyector 190w</v>
      </c>
      <c r="D90">
        <v>1</v>
      </c>
      <c r="E90" t="s">
        <v>42</v>
      </c>
      <c r="F90" t="s">
        <v>62</v>
      </c>
      <c r="G90" s="1">
        <v>46199</v>
      </c>
      <c r="H90" t="s">
        <v>64</v>
      </c>
      <c r="I90" t="s">
        <v>86</v>
      </c>
      <c r="J90" t="s">
        <v>166</v>
      </c>
      <c r="K90">
        <v>9958</v>
      </c>
      <c r="M90">
        <v>2277638</v>
      </c>
      <c r="N90">
        <v>6</v>
      </c>
    </row>
    <row r="91" spans="2:14" hidden="1" x14ac:dyDescent="0.25">
      <c r="B91" t="s">
        <v>82</v>
      </c>
      <c r="C91" t="str">
        <f>_xlfn.XLOOKUP(B91,Tabla2[CODIGO],Tabla2[MATERIAL],"N/A",0)</f>
        <v>proyector 190w</v>
      </c>
      <c r="D91">
        <v>1</v>
      </c>
      <c r="E91" t="s">
        <v>42</v>
      </c>
      <c r="F91" t="s">
        <v>16</v>
      </c>
      <c r="G91" s="1">
        <v>46198</v>
      </c>
      <c r="H91" t="s">
        <v>64</v>
      </c>
      <c r="I91" s="2" t="s">
        <v>87</v>
      </c>
      <c r="J91" t="s">
        <v>166</v>
      </c>
      <c r="K91">
        <v>9958</v>
      </c>
      <c r="L91" t="s">
        <v>100</v>
      </c>
    </row>
    <row r="92" spans="2:14" hidden="1" x14ac:dyDescent="0.25">
      <c r="B92" t="s">
        <v>84</v>
      </c>
      <c r="C92" t="str">
        <f>_xlfn.XLOOKUP(B92,Tabla2[CODIGO],Tabla2[MATERIAL],"N/A",0)</f>
        <v>Luminaria 110w</v>
      </c>
      <c r="D92">
        <v>1</v>
      </c>
      <c r="E92" t="s">
        <v>42</v>
      </c>
      <c r="F92" t="s">
        <v>16</v>
      </c>
      <c r="G92" s="1">
        <v>46198</v>
      </c>
      <c r="H92" t="s">
        <v>64</v>
      </c>
      <c r="I92" s="2" t="s">
        <v>101</v>
      </c>
      <c r="J92" t="s">
        <v>166</v>
      </c>
      <c r="K92">
        <v>9958</v>
      </c>
      <c r="L92" t="s">
        <v>100</v>
      </c>
    </row>
    <row r="93" spans="2:14" hidden="1" x14ac:dyDescent="0.25">
      <c r="B93" t="s">
        <v>84</v>
      </c>
      <c r="C93" t="str">
        <f>_xlfn.XLOOKUP(B93,Tabla2[CODIGO],Tabla2[MATERIAL],"N/A",0)</f>
        <v>Luminaria 110w</v>
      </c>
      <c r="D93">
        <v>1</v>
      </c>
      <c r="E93" t="s">
        <v>42</v>
      </c>
      <c r="F93" t="s">
        <v>16</v>
      </c>
      <c r="G93" s="1">
        <v>46198</v>
      </c>
      <c r="H93" t="s">
        <v>64</v>
      </c>
      <c r="I93" s="2" t="s">
        <v>102</v>
      </c>
      <c r="J93" t="s">
        <v>166</v>
      </c>
      <c r="K93">
        <v>9958</v>
      </c>
      <c r="L93" t="s">
        <v>100</v>
      </c>
    </row>
    <row r="94" spans="2:14" hidden="1" x14ac:dyDescent="0.25">
      <c r="B94" t="s">
        <v>84</v>
      </c>
      <c r="C94" t="str">
        <f>_xlfn.XLOOKUP(B94,Tabla2[CODIGO],Tabla2[MATERIAL],"N/A",0)</f>
        <v>Luminaria 110w</v>
      </c>
      <c r="D94">
        <v>1</v>
      </c>
      <c r="E94" t="s">
        <v>42</v>
      </c>
      <c r="F94" t="s">
        <v>16</v>
      </c>
      <c r="G94" s="1">
        <v>46198</v>
      </c>
      <c r="H94" t="s">
        <v>64</v>
      </c>
      <c r="I94" s="2" t="s">
        <v>103</v>
      </c>
      <c r="J94" t="s">
        <v>166</v>
      </c>
      <c r="K94">
        <v>9958</v>
      </c>
      <c r="L94" t="s">
        <v>100</v>
      </c>
    </row>
    <row r="95" spans="2:14" hidden="1" x14ac:dyDescent="0.25">
      <c r="B95" t="s">
        <v>60</v>
      </c>
      <c r="C95" t="str">
        <f>_xlfn.XLOOKUP(B95,Tabla2[CODIGO],Tabla2[MATERIAL],"N/A",0)</f>
        <v>Fotocelda</v>
      </c>
      <c r="D95">
        <v>18</v>
      </c>
      <c r="E95" t="s">
        <v>42</v>
      </c>
      <c r="F95" t="s">
        <v>16</v>
      </c>
      <c r="G95" s="1">
        <v>46198</v>
      </c>
      <c r="I95" s="2"/>
      <c r="J95" t="s">
        <v>166</v>
      </c>
      <c r="K95">
        <v>9958</v>
      </c>
      <c r="L95" t="s">
        <v>100</v>
      </c>
    </row>
    <row r="96" spans="2:14" hidden="1" x14ac:dyDescent="0.25">
      <c r="B96" t="s">
        <v>217</v>
      </c>
      <c r="C96" t="str">
        <f>_xlfn.XLOOKUP(B96,Tabla2[CODIGO],Tabla2[MATERIAL],"N/A",0)</f>
        <v>Brazo Galvanizado 1 1/2" x 2m</v>
      </c>
      <c r="D96">
        <v>3</v>
      </c>
      <c r="E96" t="s">
        <v>42</v>
      </c>
      <c r="F96" t="s">
        <v>16</v>
      </c>
      <c r="G96" s="1">
        <v>46198</v>
      </c>
      <c r="I96" s="2"/>
      <c r="J96" t="s">
        <v>166</v>
      </c>
      <c r="K96">
        <v>9958</v>
      </c>
      <c r="L96" t="s">
        <v>100</v>
      </c>
    </row>
    <row r="97" spans="2:14" hidden="1" x14ac:dyDescent="0.25">
      <c r="B97" t="s">
        <v>82</v>
      </c>
      <c r="C97" t="str">
        <f>_xlfn.XLOOKUP(B97,Tabla2[CODIGO],Tabla2[MATERIAL],"N/A",0)</f>
        <v>proyector 190w</v>
      </c>
      <c r="D97">
        <v>1</v>
      </c>
      <c r="E97" t="s">
        <v>42</v>
      </c>
      <c r="F97" t="s">
        <v>62</v>
      </c>
      <c r="G97" s="1">
        <v>46199</v>
      </c>
      <c r="H97" t="s">
        <v>64</v>
      </c>
      <c r="I97" t="s">
        <v>87</v>
      </c>
      <c r="J97" t="s">
        <v>166</v>
      </c>
      <c r="K97">
        <v>9958</v>
      </c>
      <c r="M97">
        <v>2277638</v>
      </c>
      <c r="N97">
        <v>7</v>
      </c>
    </row>
    <row r="98" spans="2:14" hidden="1" x14ac:dyDescent="0.25">
      <c r="B98" t="s">
        <v>82</v>
      </c>
      <c r="C98" t="str">
        <f>_xlfn.XLOOKUP(B98,Tabla2[CODIGO],Tabla2[MATERIAL],"N/A",0)</f>
        <v>proyector 190w</v>
      </c>
      <c r="D98">
        <v>1</v>
      </c>
      <c r="E98" t="s">
        <v>42</v>
      </c>
      <c r="F98" t="s">
        <v>16</v>
      </c>
      <c r="G98" s="1">
        <v>46198</v>
      </c>
      <c r="H98" t="s">
        <v>64</v>
      </c>
      <c r="I98" s="2" t="s">
        <v>88</v>
      </c>
      <c r="J98" t="s">
        <v>166</v>
      </c>
      <c r="K98">
        <v>9958</v>
      </c>
      <c r="L98" t="s">
        <v>100</v>
      </c>
    </row>
    <row r="99" spans="2:14" hidden="1" x14ac:dyDescent="0.25">
      <c r="B99" t="s">
        <v>82</v>
      </c>
      <c r="C99" t="str">
        <f>_xlfn.XLOOKUP(B99,Tabla2[CODIGO],Tabla2[MATERIAL],"N/A",0)</f>
        <v>proyector 190w</v>
      </c>
      <c r="D99">
        <v>1</v>
      </c>
      <c r="E99" t="s">
        <v>42</v>
      </c>
      <c r="F99" t="s">
        <v>62</v>
      </c>
      <c r="G99" s="1">
        <v>46199</v>
      </c>
      <c r="H99" t="s">
        <v>64</v>
      </c>
      <c r="I99" t="s">
        <v>88</v>
      </c>
      <c r="J99" t="s">
        <v>166</v>
      </c>
      <c r="K99">
        <v>9958</v>
      </c>
      <c r="M99">
        <v>2277689</v>
      </c>
      <c r="N99">
        <v>8</v>
      </c>
    </row>
    <row r="100" spans="2:14" hidden="1" x14ac:dyDescent="0.25">
      <c r="B100" t="s">
        <v>82</v>
      </c>
      <c r="C100" t="str">
        <f>_xlfn.XLOOKUP(B100,Tabla2[CODIGO],Tabla2[MATERIAL],"N/A",0)</f>
        <v>proyector 190w</v>
      </c>
      <c r="D100">
        <v>1</v>
      </c>
      <c r="E100" t="s">
        <v>42</v>
      </c>
      <c r="F100" t="s">
        <v>16</v>
      </c>
      <c r="G100" s="1">
        <v>46198</v>
      </c>
      <c r="H100" t="s">
        <v>64</v>
      </c>
      <c r="I100" s="2" t="s">
        <v>89</v>
      </c>
      <c r="J100" t="s">
        <v>166</v>
      </c>
      <c r="K100">
        <v>9958</v>
      </c>
      <c r="L100" t="s">
        <v>100</v>
      </c>
    </row>
    <row r="101" spans="2:14" hidden="1" x14ac:dyDescent="0.25">
      <c r="B101" t="s">
        <v>82</v>
      </c>
      <c r="C101" t="str">
        <f>_xlfn.XLOOKUP(B101,Tabla2[CODIGO],Tabla2[MATERIAL],"N/A",0)</f>
        <v>proyector 190w</v>
      </c>
      <c r="D101">
        <v>1</v>
      </c>
      <c r="E101" t="s">
        <v>42</v>
      </c>
      <c r="F101" t="s">
        <v>62</v>
      </c>
      <c r="G101" s="1">
        <v>46199</v>
      </c>
      <c r="H101" t="s">
        <v>64</v>
      </c>
      <c r="I101" t="s">
        <v>89</v>
      </c>
      <c r="J101" t="s">
        <v>166</v>
      </c>
      <c r="K101">
        <v>9958</v>
      </c>
      <c r="M101">
        <v>2277638</v>
      </c>
      <c r="N101">
        <v>8</v>
      </c>
    </row>
    <row r="102" spans="2:14" hidden="1" x14ac:dyDescent="0.25">
      <c r="B102" t="s">
        <v>82</v>
      </c>
      <c r="C102" t="str">
        <f>_xlfn.XLOOKUP(B102,Tabla2[CODIGO],Tabla2[MATERIAL],"N/A",0)</f>
        <v>proyector 190w</v>
      </c>
      <c r="D102">
        <v>1</v>
      </c>
      <c r="E102" t="s">
        <v>42</v>
      </c>
      <c r="F102" t="s">
        <v>16</v>
      </c>
      <c r="G102" s="1">
        <v>46198</v>
      </c>
      <c r="H102" t="s">
        <v>64</v>
      </c>
      <c r="I102" s="2" t="s">
        <v>90</v>
      </c>
      <c r="J102" t="s">
        <v>166</v>
      </c>
      <c r="K102">
        <v>9958</v>
      </c>
      <c r="L102" t="s">
        <v>100</v>
      </c>
    </row>
    <row r="103" spans="2:14" hidden="1" x14ac:dyDescent="0.25">
      <c r="B103" t="s">
        <v>82</v>
      </c>
      <c r="C103" t="str">
        <f>_xlfn.XLOOKUP(B103,Tabla2[CODIGO],Tabla2[MATERIAL],"N/A",0)</f>
        <v>proyector 190w</v>
      </c>
      <c r="D103">
        <v>1</v>
      </c>
      <c r="E103" t="s">
        <v>42</v>
      </c>
      <c r="F103" t="s">
        <v>62</v>
      </c>
      <c r="G103" s="1">
        <v>46199</v>
      </c>
      <c r="H103" t="s">
        <v>64</v>
      </c>
      <c r="I103" t="s">
        <v>90</v>
      </c>
      <c r="J103" t="s">
        <v>166</v>
      </c>
      <c r="K103">
        <v>9958</v>
      </c>
      <c r="M103">
        <v>2277689</v>
      </c>
      <c r="N103">
        <v>12</v>
      </c>
    </row>
    <row r="104" spans="2:14" hidden="1" x14ac:dyDescent="0.25">
      <c r="B104" t="s">
        <v>82</v>
      </c>
      <c r="C104" t="str">
        <f>_xlfn.XLOOKUP(B104,Tabla2[CODIGO],Tabla2[MATERIAL],"N/A",0)</f>
        <v>proyector 190w</v>
      </c>
      <c r="D104">
        <v>1</v>
      </c>
      <c r="E104" t="s">
        <v>42</v>
      </c>
      <c r="F104" t="s">
        <v>16</v>
      </c>
      <c r="G104" s="1">
        <v>46198</v>
      </c>
      <c r="H104" t="s">
        <v>64</v>
      </c>
      <c r="I104" s="2" t="s">
        <v>91</v>
      </c>
      <c r="J104" t="s">
        <v>166</v>
      </c>
      <c r="K104">
        <v>9958</v>
      </c>
      <c r="L104" t="s">
        <v>100</v>
      </c>
    </row>
    <row r="105" spans="2:14" hidden="1" x14ac:dyDescent="0.25">
      <c r="B105" t="s">
        <v>82</v>
      </c>
      <c r="C105" t="str">
        <f>_xlfn.XLOOKUP(B105,Tabla2[CODIGO],Tabla2[MATERIAL],"N/A",0)</f>
        <v>proyector 190w</v>
      </c>
      <c r="D105">
        <v>1</v>
      </c>
      <c r="E105" t="s">
        <v>42</v>
      </c>
      <c r="F105" t="s">
        <v>62</v>
      </c>
      <c r="G105" s="1">
        <v>46199</v>
      </c>
      <c r="H105" t="s">
        <v>64</v>
      </c>
      <c r="I105" t="s">
        <v>91</v>
      </c>
      <c r="J105" t="s">
        <v>166</v>
      </c>
      <c r="K105">
        <v>9958</v>
      </c>
      <c r="M105">
        <v>2277638</v>
      </c>
      <c r="N105">
        <v>5</v>
      </c>
    </row>
    <row r="106" spans="2:14" hidden="1" x14ac:dyDescent="0.25">
      <c r="B106" t="s">
        <v>82</v>
      </c>
      <c r="C106" t="str">
        <f>_xlfn.XLOOKUP(B106,Tabla2[CODIGO],Tabla2[MATERIAL],"N/A",0)</f>
        <v>proyector 190w</v>
      </c>
      <c r="D106">
        <v>1</v>
      </c>
      <c r="E106" t="s">
        <v>42</v>
      </c>
      <c r="F106" t="s">
        <v>16</v>
      </c>
      <c r="G106" s="1">
        <v>46198</v>
      </c>
      <c r="H106" t="s">
        <v>64</v>
      </c>
      <c r="I106" s="2" t="s">
        <v>92</v>
      </c>
      <c r="J106" t="s">
        <v>166</v>
      </c>
      <c r="K106">
        <v>9958</v>
      </c>
      <c r="L106" t="s">
        <v>100</v>
      </c>
    </row>
    <row r="107" spans="2:14" hidden="1" x14ac:dyDescent="0.25">
      <c r="B107" t="s">
        <v>82</v>
      </c>
      <c r="C107" t="str">
        <f>_xlfn.XLOOKUP(B107,Tabla2[CODIGO],Tabla2[MATERIAL],"N/A",0)</f>
        <v>proyector 190w</v>
      </c>
      <c r="D107">
        <v>1</v>
      </c>
      <c r="E107" t="s">
        <v>42</v>
      </c>
      <c r="F107" t="s">
        <v>62</v>
      </c>
      <c r="G107" s="1">
        <v>46199</v>
      </c>
      <c r="H107" t="s">
        <v>64</v>
      </c>
      <c r="I107" t="s">
        <v>92</v>
      </c>
      <c r="J107" t="s">
        <v>166</v>
      </c>
      <c r="K107">
        <v>9958</v>
      </c>
      <c r="M107">
        <v>2277689</v>
      </c>
      <c r="N107">
        <v>13</v>
      </c>
    </row>
    <row r="108" spans="2:14" hidden="1" x14ac:dyDescent="0.25">
      <c r="B108" t="s">
        <v>82</v>
      </c>
      <c r="C108" t="str">
        <f>_xlfn.XLOOKUP(B108,Tabla2[CODIGO],Tabla2[MATERIAL],"N/A",0)</f>
        <v>proyector 190w</v>
      </c>
      <c r="D108">
        <v>1</v>
      </c>
      <c r="E108" t="s">
        <v>42</v>
      </c>
      <c r="F108" t="s">
        <v>16</v>
      </c>
      <c r="G108" s="1">
        <v>46198</v>
      </c>
      <c r="H108" t="s">
        <v>64</v>
      </c>
      <c r="I108" s="2" t="s">
        <v>93</v>
      </c>
      <c r="J108" t="s">
        <v>166</v>
      </c>
      <c r="K108">
        <v>9958</v>
      </c>
      <c r="L108" t="s">
        <v>100</v>
      </c>
    </row>
    <row r="109" spans="2:14" hidden="1" x14ac:dyDescent="0.25">
      <c r="B109" t="s">
        <v>82</v>
      </c>
      <c r="C109" t="str">
        <f>_xlfn.XLOOKUP(B109,Tabla2[CODIGO],Tabla2[MATERIAL],"N/A",0)</f>
        <v>proyector 190w</v>
      </c>
      <c r="D109">
        <v>1</v>
      </c>
      <c r="E109" t="s">
        <v>42</v>
      </c>
      <c r="F109" t="s">
        <v>62</v>
      </c>
      <c r="G109" s="1">
        <v>46199</v>
      </c>
      <c r="H109" t="s">
        <v>64</v>
      </c>
      <c r="I109" t="s">
        <v>93</v>
      </c>
      <c r="J109" t="s">
        <v>166</v>
      </c>
      <c r="K109">
        <v>9958</v>
      </c>
      <c r="M109">
        <v>2277689</v>
      </c>
      <c r="N109">
        <v>14</v>
      </c>
    </row>
    <row r="110" spans="2:14" hidden="1" x14ac:dyDescent="0.25">
      <c r="B110" t="s">
        <v>82</v>
      </c>
      <c r="C110" t="str">
        <f>_xlfn.XLOOKUP(B110,Tabla2[CODIGO],Tabla2[MATERIAL],"N/A",0)</f>
        <v>proyector 190w</v>
      </c>
      <c r="D110">
        <v>1</v>
      </c>
      <c r="E110" t="s">
        <v>42</v>
      </c>
      <c r="F110" t="s">
        <v>16</v>
      </c>
      <c r="G110" s="1">
        <v>46198</v>
      </c>
      <c r="H110" t="s">
        <v>64</v>
      </c>
      <c r="I110" s="2" t="s">
        <v>94</v>
      </c>
      <c r="J110" t="s">
        <v>166</v>
      </c>
      <c r="K110">
        <v>9958</v>
      </c>
      <c r="L110" t="s">
        <v>100</v>
      </c>
    </row>
    <row r="111" spans="2:14" hidden="1" x14ac:dyDescent="0.25">
      <c r="B111" t="s">
        <v>84</v>
      </c>
      <c r="C111" t="str">
        <f>_xlfn.XLOOKUP(B111,Tabla2[CODIGO],Tabla2[MATERIAL],"N/A",0)</f>
        <v>Luminaria 110w</v>
      </c>
      <c r="D111">
        <v>1</v>
      </c>
      <c r="E111" t="s">
        <v>42</v>
      </c>
      <c r="F111" t="s">
        <v>16</v>
      </c>
      <c r="G111" s="1">
        <v>46198</v>
      </c>
      <c r="H111" t="s">
        <v>64</v>
      </c>
      <c r="I111" s="2" t="s">
        <v>118</v>
      </c>
      <c r="J111" t="s">
        <v>166</v>
      </c>
      <c r="K111">
        <v>9959</v>
      </c>
      <c r="L111" t="s">
        <v>100</v>
      </c>
    </row>
    <row r="112" spans="2:14" hidden="1" x14ac:dyDescent="0.25">
      <c r="B112" t="s">
        <v>84</v>
      </c>
      <c r="C112" t="str">
        <f>_xlfn.XLOOKUP(B112,Tabla2[CODIGO],Tabla2[MATERIAL],"N/A",0)</f>
        <v>Luminaria 110w</v>
      </c>
      <c r="D112">
        <v>1</v>
      </c>
      <c r="E112" t="s">
        <v>42</v>
      </c>
      <c r="F112" t="s">
        <v>16</v>
      </c>
      <c r="G112" s="1">
        <v>46198</v>
      </c>
      <c r="H112" t="s">
        <v>64</v>
      </c>
      <c r="I112" s="2" t="s">
        <v>119</v>
      </c>
      <c r="J112" t="s">
        <v>166</v>
      </c>
      <c r="K112">
        <v>9959</v>
      </c>
      <c r="L112" t="s">
        <v>100</v>
      </c>
    </row>
    <row r="113" spans="2:12" hidden="1" x14ac:dyDescent="0.25">
      <c r="B113" t="s">
        <v>84</v>
      </c>
      <c r="C113" t="str">
        <f>_xlfn.XLOOKUP(B113,Tabla2[CODIGO],Tabla2[MATERIAL],"N/A",0)</f>
        <v>Luminaria 110w</v>
      </c>
      <c r="D113">
        <v>1</v>
      </c>
      <c r="E113" t="s">
        <v>42</v>
      </c>
      <c r="F113" t="s">
        <v>16</v>
      </c>
      <c r="G113" s="1">
        <v>46198</v>
      </c>
      <c r="H113" t="s">
        <v>64</v>
      </c>
      <c r="I113" s="2" t="s">
        <v>120</v>
      </c>
      <c r="J113" t="s">
        <v>166</v>
      </c>
      <c r="K113">
        <v>9959</v>
      </c>
      <c r="L113" t="s">
        <v>100</v>
      </c>
    </row>
    <row r="114" spans="2:12" hidden="1" x14ac:dyDescent="0.25">
      <c r="B114" t="s">
        <v>60</v>
      </c>
      <c r="C114" t="str">
        <f>_xlfn.XLOOKUP(B114,Tabla2[CODIGO],Tabla2[MATERIAL],"N/A",0)</f>
        <v>Fotocelda</v>
      </c>
      <c r="D114">
        <v>17</v>
      </c>
      <c r="E114" t="s">
        <v>42</v>
      </c>
      <c r="F114" t="s">
        <v>16</v>
      </c>
      <c r="G114" s="1">
        <v>46198</v>
      </c>
      <c r="I114" s="2"/>
      <c r="J114" t="s">
        <v>166</v>
      </c>
      <c r="K114">
        <v>9959</v>
      </c>
      <c r="L114" t="s">
        <v>100</v>
      </c>
    </row>
    <row r="115" spans="2:12" hidden="1" x14ac:dyDescent="0.25">
      <c r="B115" t="s">
        <v>217</v>
      </c>
      <c r="C115" t="str">
        <f>_xlfn.XLOOKUP(B115,Tabla2[CODIGO],Tabla2[MATERIAL],"N/A",0)</f>
        <v>Brazo Galvanizado 1 1/2" x 2m</v>
      </c>
      <c r="D115">
        <v>3</v>
      </c>
      <c r="E115" t="s">
        <v>42</v>
      </c>
      <c r="F115" t="s">
        <v>16</v>
      </c>
      <c r="G115" s="1">
        <v>46198</v>
      </c>
      <c r="I115" s="2"/>
      <c r="J115" t="s">
        <v>166</v>
      </c>
      <c r="K115">
        <v>9959</v>
      </c>
      <c r="L115" t="s">
        <v>100</v>
      </c>
    </row>
    <row r="116" spans="2:12" hidden="1" x14ac:dyDescent="0.25">
      <c r="B116" t="s">
        <v>47</v>
      </c>
      <c r="C116" t="str">
        <f>_xlfn.XLOOKUP(B116,Tabla2[CODIGO],Tabla2[MATERIAL],"N/A",0)</f>
        <v>Luminaria 75w</v>
      </c>
      <c r="D116">
        <v>1</v>
      </c>
      <c r="E116" t="s">
        <v>42</v>
      </c>
      <c r="F116" t="s">
        <v>16</v>
      </c>
      <c r="G116" s="1">
        <v>46198</v>
      </c>
      <c r="H116" t="s">
        <v>64</v>
      </c>
      <c r="I116" s="2" t="s">
        <v>121</v>
      </c>
      <c r="J116" t="s">
        <v>166</v>
      </c>
      <c r="K116">
        <v>9960</v>
      </c>
      <c r="L116" t="s">
        <v>100</v>
      </c>
    </row>
    <row r="117" spans="2:12" hidden="1" x14ac:dyDescent="0.25">
      <c r="B117" t="s">
        <v>47</v>
      </c>
      <c r="C117" t="str">
        <f>_xlfn.XLOOKUP(B117,Tabla2[CODIGO],Tabla2[MATERIAL],"N/A",0)</f>
        <v>Luminaria 75w</v>
      </c>
      <c r="D117">
        <v>1</v>
      </c>
      <c r="E117" t="s">
        <v>42</v>
      </c>
      <c r="F117" t="s">
        <v>16</v>
      </c>
      <c r="G117" s="1">
        <v>46198</v>
      </c>
      <c r="H117" t="s">
        <v>64</v>
      </c>
      <c r="I117" s="2" t="s">
        <v>122</v>
      </c>
      <c r="J117" t="s">
        <v>166</v>
      </c>
      <c r="K117">
        <v>9960</v>
      </c>
      <c r="L117" t="s">
        <v>100</v>
      </c>
    </row>
    <row r="118" spans="2:12" hidden="1" x14ac:dyDescent="0.25">
      <c r="B118" t="s">
        <v>47</v>
      </c>
      <c r="C118" t="str">
        <f>_xlfn.XLOOKUP(B118,Tabla2[CODIGO],Tabla2[MATERIAL],"N/A",0)</f>
        <v>Luminaria 75w</v>
      </c>
      <c r="D118">
        <v>1</v>
      </c>
      <c r="E118" t="s">
        <v>42</v>
      </c>
      <c r="F118" t="s">
        <v>16</v>
      </c>
      <c r="G118" s="1">
        <v>46198</v>
      </c>
      <c r="H118" t="s">
        <v>64</v>
      </c>
      <c r="I118" s="2" t="s">
        <v>123</v>
      </c>
      <c r="J118" t="s">
        <v>166</v>
      </c>
      <c r="K118">
        <v>9960</v>
      </c>
      <c r="L118" t="s">
        <v>100</v>
      </c>
    </row>
    <row r="119" spans="2:12" hidden="1" x14ac:dyDescent="0.25">
      <c r="B119" t="s">
        <v>47</v>
      </c>
      <c r="C119" t="str">
        <f>_xlfn.XLOOKUP(B119,Tabla2[CODIGO],Tabla2[MATERIAL],"N/A",0)</f>
        <v>Luminaria 75w</v>
      </c>
      <c r="D119">
        <v>1</v>
      </c>
      <c r="E119" t="s">
        <v>42</v>
      </c>
      <c r="F119" t="s">
        <v>16</v>
      </c>
      <c r="G119" s="1">
        <v>46198</v>
      </c>
      <c r="H119" t="s">
        <v>64</v>
      </c>
      <c r="I119" s="2" t="s">
        <v>124</v>
      </c>
      <c r="J119" t="s">
        <v>166</v>
      </c>
      <c r="K119">
        <v>9960</v>
      </c>
      <c r="L119" t="s">
        <v>100</v>
      </c>
    </row>
    <row r="120" spans="2:12" hidden="1" x14ac:dyDescent="0.25">
      <c r="B120" t="s">
        <v>47</v>
      </c>
      <c r="C120" t="str">
        <f>_xlfn.XLOOKUP(B120,Tabla2[CODIGO],Tabla2[MATERIAL],"N/A",0)</f>
        <v>Luminaria 75w</v>
      </c>
      <c r="D120">
        <v>1</v>
      </c>
      <c r="E120" t="s">
        <v>42</v>
      </c>
      <c r="F120" t="s">
        <v>16</v>
      </c>
      <c r="G120" s="1">
        <v>46198</v>
      </c>
      <c r="H120" t="s">
        <v>64</v>
      </c>
      <c r="I120" s="2" t="s">
        <v>125</v>
      </c>
      <c r="J120" t="s">
        <v>166</v>
      </c>
      <c r="K120">
        <v>9960</v>
      </c>
      <c r="L120" t="s">
        <v>100</v>
      </c>
    </row>
    <row r="121" spans="2:12" hidden="1" x14ac:dyDescent="0.25">
      <c r="B121" t="s">
        <v>47</v>
      </c>
      <c r="C121" t="str">
        <f>_xlfn.XLOOKUP(B121,Tabla2[CODIGO],Tabla2[MATERIAL],"N/A",0)</f>
        <v>Luminaria 75w</v>
      </c>
      <c r="D121">
        <v>1</v>
      </c>
      <c r="E121" t="s">
        <v>42</v>
      </c>
      <c r="F121" t="s">
        <v>16</v>
      </c>
      <c r="G121" s="1">
        <v>46198</v>
      </c>
      <c r="H121" t="s">
        <v>64</v>
      </c>
      <c r="I121" s="2" t="s">
        <v>126</v>
      </c>
      <c r="J121" t="s">
        <v>166</v>
      </c>
      <c r="K121">
        <v>9960</v>
      </c>
      <c r="L121" t="s">
        <v>100</v>
      </c>
    </row>
    <row r="122" spans="2:12" hidden="1" x14ac:dyDescent="0.25">
      <c r="B122" t="s">
        <v>47</v>
      </c>
      <c r="C122" t="str">
        <f>_xlfn.XLOOKUP(B122,Tabla2[CODIGO],Tabla2[MATERIAL],"N/A",0)</f>
        <v>Luminaria 75w</v>
      </c>
      <c r="D122">
        <v>1</v>
      </c>
      <c r="E122" t="s">
        <v>42</v>
      </c>
      <c r="F122" t="s">
        <v>16</v>
      </c>
      <c r="G122" s="1">
        <v>46198</v>
      </c>
      <c r="H122" t="s">
        <v>64</v>
      </c>
      <c r="I122" s="2" t="s">
        <v>127</v>
      </c>
      <c r="J122" t="s">
        <v>166</v>
      </c>
      <c r="K122">
        <v>9960</v>
      </c>
      <c r="L122" t="s">
        <v>100</v>
      </c>
    </row>
    <row r="123" spans="2:12" hidden="1" x14ac:dyDescent="0.25">
      <c r="B123" t="s">
        <v>47</v>
      </c>
      <c r="C123" t="str">
        <f>_xlfn.XLOOKUP(B123,Tabla2[CODIGO],Tabla2[MATERIAL],"N/A",0)</f>
        <v>Luminaria 75w</v>
      </c>
      <c r="D123">
        <v>1</v>
      </c>
      <c r="E123" t="s">
        <v>42</v>
      </c>
      <c r="F123" t="s">
        <v>16</v>
      </c>
      <c r="G123" s="1">
        <v>46198</v>
      </c>
      <c r="H123" t="s">
        <v>64</v>
      </c>
      <c r="I123" s="2" t="s">
        <v>128</v>
      </c>
      <c r="J123" t="s">
        <v>166</v>
      </c>
      <c r="K123">
        <v>9960</v>
      </c>
      <c r="L123" t="s">
        <v>100</v>
      </c>
    </row>
    <row r="124" spans="2:12" hidden="1" x14ac:dyDescent="0.25">
      <c r="B124" t="s">
        <v>47</v>
      </c>
      <c r="C124" t="str">
        <f>_xlfn.XLOOKUP(B124,Tabla2[CODIGO],Tabla2[MATERIAL],"N/A",0)</f>
        <v>Luminaria 75w</v>
      </c>
      <c r="D124">
        <v>1</v>
      </c>
      <c r="E124" t="s">
        <v>42</v>
      </c>
      <c r="F124" t="s">
        <v>16</v>
      </c>
      <c r="G124" s="1">
        <v>46198</v>
      </c>
      <c r="H124" t="s">
        <v>64</v>
      </c>
      <c r="I124" s="2" t="s">
        <v>129</v>
      </c>
      <c r="J124" t="s">
        <v>166</v>
      </c>
      <c r="K124">
        <v>9960</v>
      </c>
      <c r="L124" t="s">
        <v>100</v>
      </c>
    </row>
    <row r="125" spans="2:12" hidden="1" x14ac:dyDescent="0.25">
      <c r="B125" t="s">
        <v>47</v>
      </c>
      <c r="C125" t="str">
        <f>_xlfn.XLOOKUP(B125,Tabla2[CODIGO],Tabla2[MATERIAL],"N/A",0)</f>
        <v>Luminaria 75w</v>
      </c>
      <c r="D125">
        <v>1</v>
      </c>
      <c r="E125" t="s">
        <v>42</v>
      </c>
      <c r="F125" t="s">
        <v>16</v>
      </c>
      <c r="G125" s="1">
        <v>46198</v>
      </c>
      <c r="H125" t="s">
        <v>64</v>
      </c>
      <c r="I125" s="2" t="s">
        <v>130</v>
      </c>
      <c r="J125" t="s">
        <v>166</v>
      </c>
      <c r="K125">
        <v>9960</v>
      </c>
      <c r="L125" t="s">
        <v>100</v>
      </c>
    </row>
    <row r="126" spans="2:12" hidden="1" x14ac:dyDescent="0.25">
      <c r="B126" t="s">
        <v>47</v>
      </c>
      <c r="C126" t="str">
        <f>_xlfn.XLOOKUP(B126,Tabla2[CODIGO],Tabla2[MATERIAL],"N/A",0)</f>
        <v>Luminaria 75w</v>
      </c>
      <c r="D126">
        <v>1</v>
      </c>
      <c r="E126" t="s">
        <v>42</v>
      </c>
      <c r="F126" t="s">
        <v>16</v>
      </c>
      <c r="G126" s="1">
        <v>46198</v>
      </c>
      <c r="H126" t="s">
        <v>64</v>
      </c>
      <c r="I126" s="2" t="s">
        <v>131</v>
      </c>
      <c r="J126" t="s">
        <v>166</v>
      </c>
      <c r="K126">
        <v>9960</v>
      </c>
      <c r="L126" t="s">
        <v>100</v>
      </c>
    </row>
    <row r="127" spans="2:12" hidden="1" x14ac:dyDescent="0.25">
      <c r="B127" t="s">
        <v>47</v>
      </c>
      <c r="C127" t="str">
        <f>_xlfn.XLOOKUP(B127,Tabla2[CODIGO],Tabla2[MATERIAL],"N/A",0)</f>
        <v>Luminaria 75w</v>
      </c>
      <c r="D127">
        <v>1</v>
      </c>
      <c r="E127" t="s">
        <v>42</v>
      </c>
      <c r="F127" t="s">
        <v>16</v>
      </c>
      <c r="G127" s="1">
        <v>46198</v>
      </c>
      <c r="H127" t="s">
        <v>64</v>
      </c>
      <c r="I127" s="2" t="s">
        <v>132</v>
      </c>
      <c r="J127" t="s">
        <v>166</v>
      </c>
      <c r="K127">
        <v>9960</v>
      </c>
      <c r="L127" t="s">
        <v>100</v>
      </c>
    </row>
    <row r="128" spans="2:12" hidden="1" x14ac:dyDescent="0.25">
      <c r="B128" t="s">
        <v>47</v>
      </c>
      <c r="C128" t="str">
        <f>_xlfn.XLOOKUP(B128,Tabla2[CODIGO],Tabla2[MATERIAL],"N/A",0)</f>
        <v>Luminaria 75w</v>
      </c>
      <c r="D128">
        <v>1</v>
      </c>
      <c r="E128" t="s">
        <v>42</v>
      </c>
      <c r="F128" t="s">
        <v>16</v>
      </c>
      <c r="G128" s="1">
        <v>46198</v>
      </c>
      <c r="H128" t="s">
        <v>64</v>
      </c>
      <c r="I128" s="2" t="s">
        <v>133</v>
      </c>
      <c r="J128" t="s">
        <v>166</v>
      </c>
      <c r="K128">
        <v>9960</v>
      </c>
      <c r="L128" t="s">
        <v>100</v>
      </c>
    </row>
    <row r="129" spans="2:14" hidden="1" x14ac:dyDescent="0.25">
      <c r="B129" t="s">
        <v>47</v>
      </c>
      <c r="C129" t="str">
        <f>_xlfn.XLOOKUP(B129,Tabla2[CODIGO],Tabla2[MATERIAL],"N/A",0)</f>
        <v>Luminaria 75w</v>
      </c>
      <c r="D129">
        <v>1</v>
      </c>
      <c r="E129" t="s">
        <v>42</v>
      </c>
      <c r="F129" t="s">
        <v>16</v>
      </c>
      <c r="G129" s="1">
        <v>46198</v>
      </c>
      <c r="H129" t="s">
        <v>64</v>
      </c>
      <c r="I129" s="2" t="s">
        <v>134</v>
      </c>
      <c r="J129" t="s">
        <v>166</v>
      </c>
      <c r="K129">
        <v>9960</v>
      </c>
      <c r="L129" t="s">
        <v>100</v>
      </c>
    </row>
    <row r="130" spans="2:14" hidden="1" x14ac:dyDescent="0.25">
      <c r="B130" t="s">
        <v>47</v>
      </c>
      <c r="C130" t="str">
        <f>_xlfn.XLOOKUP(B130,Tabla2[CODIGO],Tabla2[MATERIAL],"N/A",0)</f>
        <v>Luminaria 75w</v>
      </c>
      <c r="D130">
        <v>1</v>
      </c>
      <c r="E130" t="s">
        <v>42</v>
      </c>
      <c r="F130" t="s">
        <v>16</v>
      </c>
      <c r="G130" s="1">
        <v>46198</v>
      </c>
      <c r="H130" t="s">
        <v>64</v>
      </c>
      <c r="I130" s="2" t="s">
        <v>135</v>
      </c>
      <c r="J130" t="s">
        <v>166</v>
      </c>
      <c r="K130">
        <v>9960</v>
      </c>
      <c r="L130" t="s">
        <v>100</v>
      </c>
    </row>
    <row r="131" spans="2:14" hidden="1" x14ac:dyDescent="0.25">
      <c r="B131" t="s">
        <v>47</v>
      </c>
      <c r="C131" t="str">
        <f>_xlfn.XLOOKUP(B131,Tabla2[CODIGO],Tabla2[MATERIAL],"N/A",0)</f>
        <v>Luminaria 75w</v>
      </c>
      <c r="D131">
        <v>1</v>
      </c>
      <c r="E131" t="s">
        <v>42</v>
      </c>
      <c r="F131" t="s">
        <v>16</v>
      </c>
      <c r="G131" s="1">
        <v>46198</v>
      </c>
      <c r="H131" t="s">
        <v>64</v>
      </c>
      <c r="I131" s="2" t="s">
        <v>136</v>
      </c>
      <c r="J131" t="s">
        <v>166</v>
      </c>
      <c r="K131">
        <v>9960</v>
      </c>
      <c r="L131" t="s">
        <v>100</v>
      </c>
    </row>
    <row r="132" spans="2:14" hidden="1" x14ac:dyDescent="0.25">
      <c r="B132" t="s">
        <v>137</v>
      </c>
      <c r="C132" t="str">
        <f>_xlfn.XLOOKUP(B132,Tabla2[CODIGO],Tabla2[MATERIAL],"N/A",0)</f>
        <v>Fotocelda</v>
      </c>
      <c r="D132">
        <v>16</v>
      </c>
      <c r="E132" t="s">
        <v>42</v>
      </c>
      <c r="F132" t="s">
        <v>16</v>
      </c>
      <c r="G132" s="1">
        <v>46198</v>
      </c>
      <c r="I132" s="2"/>
      <c r="J132" t="s">
        <v>166</v>
      </c>
      <c r="K132">
        <v>9960</v>
      </c>
      <c r="L132" t="s">
        <v>100</v>
      </c>
    </row>
    <row r="133" spans="2:14" hidden="1" x14ac:dyDescent="0.25">
      <c r="B133" t="s">
        <v>82</v>
      </c>
      <c r="C133" t="str">
        <f>_xlfn.XLOOKUP(B133,Tabla2[CODIGO],Tabla2[MATERIAL],"N/A",0)</f>
        <v>proyector 190w</v>
      </c>
      <c r="D133">
        <v>1</v>
      </c>
      <c r="E133" t="s">
        <v>42</v>
      </c>
      <c r="F133" t="s">
        <v>62</v>
      </c>
      <c r="G133" s="1">
        <v>46199</v>
      </c>
      <c r="H133" t="s">
        <v>64</v>
      </c>
      <c r="I133" t="s">
        <v>94</v>
      </c>
      <c r="J133" t="s">
        <v>166</v>
      </c>
      <c r="K133">
        <v>9958</v>
      </c>
      <c r="M133">
        <v>2277689</v>
      </c>
      <c r="N133">
        <v>11</v>
      </c>
    </row>
    <row r="134" spans="2:14" hidden="1" x14ac:dyDescent="0.25">
      <c r="B134" t="s">
        <v>137</v>
      </c>
      <c r="C134" t="str">
        <f>_xlfn.XLOOKUP(B134,Tabla2[CODIGO],Tabla2[MATERIAL],"N/A",0)</f>
        <v>Fotocelda</v>
      </c>
      <c r="D134">
        <v>1</v>
      </c>
      <c r="E134" t="s">
        <v>42</v>
      </c>
      <c r="F134" t="s">
        <v>16</v>
      </c>
      <c r="G134" s="1">
        <v>46200</v>
      </c>
      <c r="I134" s="2"/>
      <c r="J134" t="s">
        <v>166</v>
      </c>
      <c r="K134">
        <v>9959</v>
      </c>
      <c r="L134" t="s">
        <v>100</v>
      </c>
    </row>
    <row r="135" spans="2:14" hidden="1" x14ac:dyDescent="0.25">
      <c r="B135" t="s">
        <v>47</v>
      </c>
      <c r="C135" t="str">
        <f>_xlfn.XLOOKUP(B135,Tabla2[CODIGO],Tabla2[MATERIAL],"N/A",0)</f>
        <v>Luminaria 75w</v>
      </c>
      <c r="D135">
        <v>1</v>
      </c>
      <c r="E135" t="s">
        <v>42</v>
      </c>
      <c r="F135" t="s">
        <v>16</v>
      </c>
      <c r="G135" s="1">
        <v>46200</v>
      </c>
      <c r="H135" t="s">
        <v>64</v>
      </c>
      <c r="I135" s="2" t="s">
        <v>139</v>
      </c>
      <c r="J135" t="s">
        <v>166</v>
      </c>
      <c r="K135">
        <v>9961</v>
      </c>
      <c r="L135" t="s">
        <v>165</v>
      </c>
    </row>
    <row r="136" spans="2:14" hidden="1" x14ac:dyDescent="0.25">
      <c r="B136" t="s">
        <v>47</v>
      </c>
      <c r="C136" t="str">
        <f>_xlfn.XLOOKUP(B136,Tabla2[CODIGO],Tabla2[MATERIAL],"N/A",0)</f>
        <v>Luminaria 75w</v>
      </c>
      <c r="D136">
        <v>1</v>
      </c>
      <c r="E136" t="s">
        <v>42</v>
      </c>
      <c r="F136" t="s">
        <v>16</v>
      </c>
      <c r="G136" s="1">
        <v>46200</v>
      </c>
      <c r="H136" t="s">
        <v>64</v>
      </c>
      <c r="I136" s="2" t="s">
        <v>140</v>
      </c>
      <c r="J136" t="s">
        <v>166</v>
      </c>
      <c r="K136">
        <v>9961</v>
      </c>
      <c r="L136" t="s">
        <v>165</v>
      </c>
    </row>
    <row r="137" spans="2:14" hidden="1" x14ac:dyDescent="0.25">
      <c r="B137" t="s">
        <v>47</v>
      </c>
      <c r="C137" t="str">
        <f>_xlfn.XLOOKUP(B137,Tabla2[CODIGO],Tabla2[MATERIAL],"N/A",0)</f>
        <v>Luminaria 75w</v>
      </c>
      <c r="D137">
        <v>1</v>
      </c>
      <c r="E137" t="s">
        <v>42</v>
      </c>
      <c r="F137" t="s">
        <v>16</v>
      </c>
      <c r="G137" s="1">
        <v>46200</v>
      </c>
      <c r="H137" t="s">
        <v>64</v>
      </c>
      <c r="I137" s="2" t="s">
        <v>141</v>
      </c>
      <c r="J137" t="s">
        <v>166</v>
      </c>
      <c r="K137">
        <v>9961</v>
      </c>
      <c r="L137" t="s">
        <v>165</v>
      </c>
    </row>
    <row r="138" spans="2:14" hidden="1" x14ac:dyDescent="0.25">
      <c r="B138" t="s">
        <v>47</v>
      </c>
      <c r="C138" t="str">
        <f>_xlfn.XLOOKUP(B138,Tabla2[CODIGO],Tabla2[MATERIAL],"N/A",0)</f>
        <v>Luminaria 75w</v>
      </c>
      <c r="D138">
        <v>1</v>
      </c>
      <c r="E138" t="s">
        <v>42</v>
      </c>
      <c r="F138" t="s">
        <v>16</v>
      </c>
      <c r="G138" s="1">
        <v>46200</v>
      </c>
      <c r="H138" t="s">
        <v>64</v>
      </c>
      <c r="I138" s="2" t="s">
        <v>142</v>
      </c>
      <c r="J138" t="s">
        <v>166</v>
      </c>
      <c r="K138">
        <v>9961</v>
      </c>
      <c r="L138" t="s">
        <v>165</v>
      </c>
    </row>
    <row r="139" spans="2:14" hidden="1" x14ac:dyDescent="0.25">
      <c r="B139" t="s">
        <v>47</v>
      </c>
      <c r="C139" t="str">
        <f>_xlfn.XLOOKUP(B139,Tabla2[CODIGO],Tabla2[MATERIAL],"N/A",0)</f>
        <v>Luminaria 75w</v>
      </c>
      <c r="D139">
        <v>1</v>
      </c>
      <c r="E139" t="s">
        <v>42</v>
      </c>
      <c r="F139" t="s">
        <v>16</v>
      </c>
      <c r="G139" s="1">
        <v>46200</v>
      </c>
      <c r="H139" t="s">
        <v>64</v>
      </c>
      <c r="I139" s="2" t="s">
        <v>143</v>
      </c>
      <c r="J139" t="s">
        <v>166</v>
      </c>
      <c r="K139">
        <v>9961</v>
      </c>
      <c r="L139" t="s">
        <v>165</v>
      </c>
    </row>
    <row r="140" spans="2:14" hidden="1" x14ac:dyDescent="0.25">
      <c r="B140" t="s">
        <v>47</v>
      </c>
      <c r="C140" t="str">
        <f>_xlfn.XLOOKUP(B140,Tabla2[CODIGO],Tabla2[MATERIAL],"N/A",0)</f>
        <v>Luminaria 75w</v>
      </c>
      <c r="D140">
        <v>1</v>
      </c>
      <c r="E140" t="s">
        <v>42</v>
      </c>
      <c r="F140" t="s">
        <v>16</v>
      </c>
      <c r="G140" s="1">
        <v>46200</v>
      </c>
      <c r="H140" t="s">
        <v>64</v>
      </c>
      <c r="I140" s="2" t="s">
        <v>144</v>
      </c>
      <c r="J140" t="s">
        <v>166</v>
      </c>
      <c r="K140">
        <v>9961</v>
      </c>
      <c r="L140" t="s">
        <v>165</v>
      </c>
    </row>
    <row r="141" spans="2:14" hidden="1" x14ac:dyDescent="0.25">
      <c r="B141" t="s">
        <v>47</v>
      </c>
      <c r="C141" t="str">
        <f>_xlfn.XLOOKUP(B141,Tabla2[CODIGO],Tabla2[MATERIAL],"N/A",0)</f>
        <v>Luminaria 75w</v>
      </c>
      <c r="D141">
        <v>1</v>
      </c>
      <c r="E141" t="s">
        <v>42</v>
      </c>
      <c r="F141" t="s">
        <v>16</v>
      </c>
      <c r="G141" s="1">
        <v>46200</v>
      </c>
      <c r="H141" t="s">
        <v>64</v>
      </c>
      <c r="I141" s="2" t="s">
        <v>145</v>
      </c>
      <c r="J141" t="s">
        <v>166</v>
      </c>
      <c r="K141">
        <v>9961</v>
      </c>
      <c r="L141" t="s">
        <v>165</v>
      </c>
    </row>
    <row r="142" spans="2:14" hidden="1" x14ac:dyDescent="0.25">
      <c r="B142" t="s">
        <v>47</v>
      </c>
      <c r="C142" t="str">
        <f>_xlfn.XLOOKUP(B142,Tabla2[CODIGO],Tabla2[MATERIAL],"N/A",0)</f>
        <v>Luminaria 75w</v>
      </c>
      <c r="D142">
        <v>1</v>
      </c>
      <c r="E142" t="s">
        <v>42</v>
      </c>
      <c r="F142" t="s">
        <v>16</v>
      </c>
      <c r="G142" s="1">
        <v>46200</v>
      </c>
      <c r="H142" t="s">
        <v>64</v>
      </c>
      <c r="I142" s="2" t="s">
        <v>146</v>
      </c>
      <c r="J142" t="s">
        <v>166</v>
      </c>
      <c r="K142">
        <v>9961</v>
      </c>
      <c r="L142" t="s">
        <v>165</v>
      </c>
    </row>
    <row r="143" spans="2:14" hidden="1" x14ac:dyDescent="0.25">
      <c r="B143" t="s">
        <v>47</v>
      </c>
      <c r="C143" t="str">
        <f>_xlfn.XLOOKUP(B143,Tabla2[CODIGO],Tabla2[MATERIAL],"N/A",0)</f>
        <v>Luminaria 75w</v>
      </c>
      <c r="D143">
        <v>1</v>
      </c>
      <c r="E143" t="s">
        <v>42</v>
      </c>
      <c r="F143" t="s">
        <v>16</v>
      </c>
      <c r="G143" s="1">
        <v>46200</v>
      </c>
      <c r="H143" t="s">
        <v>64</v>
      </c>
      <c r="I143" s="2" t="s">
        <v>147</v>
      </c>
      <c r="J143" t="s">
        <v>166</v>
      </c>
      <c r="K143">
        <v>9961</v>
      </c>
      <c r="L143" t="s">
        <v>165</v>
      </c>
    </row>
    <row r="144" spans="2:14" hidden="1" x14ac:dyDescent="0.25">
      <c r="B144" t="s">
        <v>47</v>
      </c>
      <c r="C144" t="str">
        <f>_xlfn.XLOOKUP(B144,Tabla2[CODIGO],Tabla2[MATERIAL],"N/A",0)</f>
        <v>Luminaria 75w</v>
      </c>
      <c r="D144">
        <v>1</v>
      </c>
      <c r="E144" t="s">
        <v>42</v>
      </c>
      <c r="F144" t="s">
        <v>16</v>
      </c>
      <c r="G144" s="1">
        <v>46200</v>
      </c>
      <c r="H144" t="s">
        <v>64</v>
      </c>
      <c r="I144" s="2" t="s">
        <v>148</v>
      </c>
      <c r="J144" t="s">
        <v>166</v>
      </c>
      <c r="K144">
        <v>9961</v>
      </c>
      <c r="L144" t="s">
        <v>165</v>
      </c>
    </row>
    <row r="145" spans="2:14" hidden="1" x14ac:dyDescent="0.25">
      <c r="B145" t="s">
        <v>47</v>
      </c>
      <c r="C145" t="str">
        <f>_xlfn.XLOOKUP(B145,Tabla2[CODIGO],Tabla2[MATERIAL],"N/A",0)</f>
        <v>Luminaria 75w</v>
      </c>
      <c r="D145">
        <v>1</v>
      </c>
      <c r="E145" t="s">
        <v>42</v>
      </c>
      <c r="F145" t="s">
        <v>16</v>
      </c>
      <c r="G145" s="1">
        <v>46200</v>
      </c>
      <c r="H145" t="s">
        <v>64</v>
      </c>
      <c r="I145" s="2" t="s">
        <v>149</v>
      </c>
      <c r="J145" t="s">
        <v>166</v>
      </c>
      <c r="K145">
        <v>9961</v>
      </c>
      <c r="L145" t="s">
        <v>165</v>
      </c>
    </row>
    <row r="146" spans="2:14" hidden="1" x14ac:dyDescent="0.25">
      <c r="B146" t="s">
        <v>47</v>
      </c>
      <c r="C146" t="str">
        <f>_xlfn.XLOOKUP(B146,Tabla2[CODIGO],Tabla2[MATERIAL],"N/A",0)</f>
        <v>Luminaria 75w</v>
      </c>
      <c r="D146">
        <v>1</v>
      </c>
      <c r="E146" t="s">
        <v>42</v>
      </c>
      <c r="F146" t="s">
        <v>16</v>
      </c>
      <c r="G146" s="1">
        <v>46200</v>
      </c>
      <c r="H146" t="s">
        <v>64</v>
      </c>
      <c r="I146" s="2" t="s">
        <v>150</v>
      </c>
      <c r="J146" t="s">
        <v>166</v>
      </c>
      <c r="K146">
        <v>9961</v>
      </c>
      <c r="L146" t="s">
        <v>165</v>
      </c>
    </row>
    <row r="147" spans="2:14" hidden="1" x14ac:dyDescent="0.25">
      <c r="B147" t="s">
        <v>47</v>
      </c>
      <c r="C147" t="str">
        <f>_xlfn.XLOOKUP(B147,Tabla2[CODIGO],Tabla2[MATERIAL],"N/A",0)</f>
        <v>Luminaria 75w</v>
      </c>
      <c r="D147">
        <v>1</v>
      </c>
      <c r="E147" t="s">
        <v>42</v>
      </c>
      <c r="F147" t="s">
        <v>16</v>
      </c>
      <c r="G147" s="1">
        <v>46200</v>
      </c>
      <c r="H147" t="s">
        <v>64</v>
      </c>
      <c r="I147" s="2" t="s">
        <v>151</v>
      </c>
      <c r="J147" t="s">
        <v>166</v>
      </c>
      <c r="K147">
        <v>9961</v>
      </c>
      <c r="L147" t="s">
        <v>165</v>
      </c>
    </row>
    <row r="148" spans="2:14" hidden="1" x14ac:dyDescent="0.25">
      <c r="B148" t="s">
        <v>47</v>
      </c>
      <c r="C148" t="str">
        <f>_xlfn.XLOOKUP(B148,Tabla2[CODIGO],Tabla2[MATERIAL],"N/A",0)</f>
        <v>Luminaria 75w</v>
      </c>
      <c r="D148">
        <v>1</v>
      </c>
      <c r="E148" t="s">
        <v>42</v>
      </c>
      <c r="F148" t="s">
        <v>16</v>
      </c>
      <c r="G148" s="1">
        <v>46200</v>
      </c>
      <c r="H148" t="s">
        <v>64</v>
      </c>
      <c r="I148" s="2" t="s">
        <v>152</v>
      </c>
      <c r="J148" t="s">
        <v>166</v>
      </c>
      <c r="K148">
        <v>9961</v>
      </c>
      <c r="L148" t="s">
        <v>165</v>
      </c>
    </row>
    <row r="149" spans="2:14" hidden="1" x14ac:dyDescent="0.25">
      <c r="B149" t="s">
        <v>47</v>
      </c>
      <c r="C149" t="str">
        <f>_xlfn.XLOOKUP(B149,Tabla2[CODIGO],Tabla2[MATERIAL],"N/A",0)</f>
        <v>Luminaria 75w</v>
      </c>
      <c r="D149">
        <v>1</v>
      </c>
      <c r="E149" t="s">
        <v>42</v>
      </c>
      <c r="F149" t="s">
        <v>16</v>
      </c>
      <c r="G149" s="1">
        <v>46200</v>
      </c>
      <c r="H149" t="s">
        <v>64</v>
      </c>
      <c r="I149" s="2" t="s">
        <v>153</v>
      </c>
      <c r="J149" t="s">
        <v>166</v>
      </c>
      <c r="K149">
        <v>9961</v>
      </c>
      <c r="L149" t="s">
        <v>165</v>
      </c>
    </row>
    <row r="150" spans="2:14" hidden="1" x14ac:dyDescent="0.25">
      <c r="B150" t="s">
        <v>82</v>
      </c>
      <c r="C150" t="str">
        <f>_xlfn.XLOOKUP(B150,Tabla2[CODIGO],Tabla2[MATERIAL],"N/A",0)</f>
        <v>proyector 190w</v>
      </c>
      <c r="D150">
        <v>1</v>
      </c>
      <c r="E150" t="s">
        <v>42</v>
      </c>
      <c r="F150" t="s">
        <v>16</v>
      </c>
      <c r="G150" s="1">
        <v>46198</v>
      </c>
      <c r="H150" t="s">
        <v>64</v>
      </c>
      <c r="I150" s="2" t="s">
        <v>95</v>
      </c>
      <c r="J150" t="s">
        <v>166</v>
      </c>
      <c r="K150">
        <v>9958</v>
      </c>
      <c r="L150" t="s">
        <v>100</v>
      </c>
    </row>
    <row r="151" spans="2:14" hidden="1" x14ac:dyDescent="0.25">
      <c r="B151" t="s">
        <v>82</v>
      </c>
      <c r="C151" t="str">
        <f>_xlfn.XLOOKUP(B151,Tabla2[CODIGO],Tabla2[MATERIAL],"N/A",0)</f>
        <v>proyector 190w</v>
      </c>
      <c r="D151">
        <v>1</v>
      </c>
      <c r="E151" t="s">
        <v>42</v>
      </c>
      <c r="F151" t="s">
        <v>62</v>
      </c>
      <c r="G151" s="1">
        <v>46199</v>
      </c>
      <c r="H151" t="s">
        <v>64</v>
      </c>
      <c r="I151" t="s">
        <v>95</v>
      </c>
      <c r="J151" t="s">
        <v>166</v>
      </c>
      <c r="K151">
        <v>9958</v>
      </c>
      <c r="M151">
        <v>2277638</v>
      </c>
      <c r="N151">
        <v>4</v>
      </c>
    </row>
    <row r="152" spans="2:14" hidden="1" x14ac:dyDescent="0.25">
      <c r="B152" t="s">
        <v>82</v>
      </c>
      <c r="C152" t="str">
        <f>_xlfn.XLOOKUP(B152,Tabla2[CODIGO],Tabla2[MATERIAL],"N/A",0)</f>
        <v>proyector 190w</v>
      </c>
      <c r="D152">
        <v>1</v>
      </c>
      <c r="E152" t="s">
        <v>42</v>
      </c>
      <c r="F152" t="s">
        <v>16</v>
      </c>
      <c r="G152" s="1">
        <v>46198</v>
      </c>
      <c r="H152" t="s">
        <v>64</v>
      </c>
      <c r="I152" s="2" t="s">
        <v>96</v>
      </c>
      <c r="J152" t="s">
        <v>166</v>
      </c>
      <c r="K152">
        <v>9958</v>
      </c>
      <c r="L152" t="s">
        <v>100</v>
      </c>
    </row>
    <row r="153" spans="2:14" hidden="1" x14ac:dyDescent="0.25">
      <c r="B153" t="s">
        <v>82</v>
      </c>
      <c r="C153" t="str">
        <f>_xlfn.XLOOKUP(B153,Tabla2[CODIGO],Tabla2[MATERIAL],"N/A",0)</f>
        <v>proyector 190w</v>
      </c>
      <c r="D153">
        <v>1</v>
      </c>
      <c r="E153" t="s">
        <v>42</v>
      </c>
      <c r="F153" t="s">
        <v>62</v>
      </c>
      <c r="G153" s="1">
        <v>46199</v>
      </c>
      <c r="H153" t="s">
        <v>64</v>
      </c>
      <c r="I153" t="s">
        <v>96</v>
      </c>
      <c r="J153" t="s">
        <v>166</v>
      </c>
      <c r="K153">
        <v>9958</v>
      </c>
      <c r="M153">
        <v>2277638</v>
      </c>
      <c r="N153">
        <v>2</v>
      </c>
    </row>
    <row r="154" spans="2:14" hidden="1" x14ac:dyDescent="0.25">
      <c r="B154" t="s">
        <v>82</v>
      </c>
      <c r="C154" t="str">
        <f>_xlfn.XLOOKUP(B154,Tabla2[CODIGO],Tabla2[MATERIAL],"N/A",0)</f>
        <v>proyector 190w</v>
      </c>
      <c r="D154">
        <v>1</v>
      </c>
      <c r="E154" t="s">
        <v>42</v>
      </c>
      <c r="F154" t="s">
        <v>62</v>
      </c>
      <c r="H154" t="s">
        <v>64</v>
      </c>
      <c r="I154" s="2" t="s">
        <v>104</v>
      </c>
      <c r="J154" t="s">
        <v>166</v>
      </c>
      <c r="K154">
        <v>9959</v>
      </c>
      <c r="N154">
        <v>18</v>
      </c>
    </row>
    <row r="155" spans="2:14" hidden="1" x14ac:dyDescent="0.25">
      <c r="B155" t="s">
        <v>82</v>
      </c>
      <c r="C155" t="str">
        <f>_xlfn.XLOOKUP(B155,Tabla2[CODIGO],Tabla2[MATERIAL],"N/A",0)</f>
        <v>proyector 190w</v>
      </c>
      <c r="D155">
        <v>1</v>
      </c>
      <c r="E155" t="s">
        <v>42</v>
      </c>
      <c r="F155" t="s">
        <v>16</v>
      </c>
      <c r="G155" s="1">
        <v>46198</v>
      </c>
      <c r="H155" t="s">
        <v>64</v>
      </c>
      <c r="I155" s="2" t="s">
        <v>97</v>
      </c>
      <c r="J155" t="s">
        <v>166</v>
      </c>
      <c r="K155">
        <v>9958</v>
      </c>
      <c r="L155" t="s">
        <v>100</v>
      </c>
    </row>
    <row r="156" spans="2:14" hidden="1" x14ac:dyDescent="0.25">
      <c r="B156" t="s">
        <v>47</v>
      </c>
      <c r="C156" t="str">
        <f>_xlfn.XLOOKUP(B156,Tabla2[CODIGO],Tabla2[MATERIAL],"N/A",0)</f>
        <v>Luminaria 75w</v>
      </c>
      <c r="D156">
        <v>1</v>
      </c>
      <c r="E156" t="s">
        <v>42</v>
      </c>
      <c r="F156" t="s">
        <v>16</v>
      </c>
      <c r="G156" s="1">
        <v>46200</v>
      </c>
      <c r="H156" t="s">
        <v>64</v>
      </c>
      <c r="I156" s="2" t="s">
        <v>160</v>
      </c>
      <c r="J156" t="s">
        <v>166</v>
      </c>
      <c r="K156">
        <v>9961</v>
      </c>
      <c r="L156" t="s">
        <v>165</v>
      </c>
    </row>
    <row r="157" spans="2:14" hidden="1" x14ac:dyDescent="0.25">
      <c r="B157" t="s">
        <v>47</v>
      </c>
      <c r="C157" t="str">
        <f>_xlfn.XLOOKUP(B157,Tabla2[CODIGO],Tabla2[MATERIAL],"N/A",0)</f>
        <v>Luminaria 75w</v>
      </c>
      <c r="D157">
        <v>1</v>
      </c>
      <c r="E157" t="s">
        <v>42</v>
      </c>
      <c r="F157" t="s">
        <v>16</v>
      </c>
      <c r="G157" s="1">
        <v>46200</v>
      </c>
      <c r="H157" t="s">
        <v>64</v>
      </c>
      <c r="I157" s="2" t="s">
        <v>161</v>
      </c>
      <c r="J157" t="s">
        <v>166</v>
      </c>
      <c r="K157">
        <v>9961</v>
      </c>
      <c r="L157" t="s">
        <v>165</v>
      </c>
    </row>
    <row r="158" spans="2:14" hidden="1" x14ac:dyDescent="0.25">
      <c r="B158" t="s">
        <v>47</v>
      </c>
      <c r="C158" t="str">
        <f>_xlfn.XLOOKUP(B158,Tabla2[CODIGO],Tabla2[MATERIAL],"N/A",0)</f>
        <v>Luminaria 75w</v>
      </c>
      <c r="D158">
        <v>1</v>
      </c>
      <c r="E158" t="s">
        <v>42</v>
      </c>
      <c r="F158" t="s">
        <v>16</v>
      </c>
      <c r="G158" s="1">
        <v>46200</v>
      </c>
      <c r="H158" t="s">
        <v>64</v>
      </c>
      <c r="I158" s="2" t="s">
        <v>162</v>
      </c>
      <c r="J158" t="s">
        <v>166</v>
      </c>
      <c r="K158">
        <v>9961</v>
      </c>
      <c r="L158" t="s">
        <v>165</v>
      </c>
    </row>
    <row r="159" spans="2:14" hidden="1" x14ac:dyDescent="0.25">
      <c r="B159" t="s">
        <v>47</v>
      </c>
      <c r="C159" t="str">
        <f>_xlfn.XLOOKUP(B159,Tabla2[CODIGO],Tabla2[MATERIAL],"N/A",0)</f>
        <v>Luminaria 75w</v>
      </c>
      <c r="D159">
        <v>1</v>
      </c>
      <c r="E159" t="s">
        <v>42</v>
      </c>
      <c r="F159" t="s">
        <v>16</v>
      </c>
      <c r="G159" s="1">
        <v>46200</v>
      </c>
      <c r="H159" t="s">
        <v>64</v>
      </c>
      <c r="I159" s="2" t="s">
        <v>163</v>
      </c>
      <c r="J159" t="s">
        <v>166</v>
      </c>
      <c r="K159">
        <v>9961</v>
      </c>
      <c r="L159" t="s">
        <v>165</v>
      </c>
    </row>
    <row r="160" spans="2:14" hidden="1" x14ac:dyDescent="0.25">
      <c r="B160" t="s">
        <v>47</v>
      </c>
      <c r="C160" t="str">
        <f>_xlfn.XLOOKUP(B160,Tabla2[CODIGO],Tabla2[MATERIAL],"N/A",0)</f>
        <v>Luminaria 75w</v>
      </c>
      <c r="D160">
        <v>1</v>
      </c>
      <c r="E160" t="s">
        <v>42</v>
      </c>
      <c r="F160" t="s">
        <v>16</v>
      </c>
      <c r="G160" s="1">
        <v>46200</v>
      </c>
      <c r="H160" t="s">
        <v>64</v>
      </c>
      <c r="I160" s="2" t="s">
        <v>164</v>
      </c>
      <c r="J160" t="s">
        <v>166</v>
      </c>
      <c r="K160">
        <v>9961</v>
      </c>
      <c r="L160" t="s">
        <v>165</v>
      </c>
    </row>
    <row r="161" spans="2:12" hidden="1" x14ac:dyDescent="0.25">
      <c r="B161" t="s">
        <v>137</v>
      </c>
      <c r="C161" t="str">
        <f>_xlfn.XLOOKUP(B161,Tabla2[CODIGO],Tabla2[MATERIAL],"N/A",0)</f>
        <v>Fotocelda</v>
      </c>
      <c r="D161">
        <v>26</v>
      </c>
      <c r="E161" t="s">
        <v>42</v>
      </c>
      <c r="F161" t="s">
        <v>16</v>
      </c>
      <c r="G161" s="1">
        <v>46200</v>
      </c>
      <c r="I161" s="2"/>
      <c r="J161" t="s">
        <v>166</v>
      </c>
      <c r="K161">
        <v>9961</v>
      </c>
      <c r="L161" t="s">
        <v>165</v>
      </c>
    </row>
    <row r="162" spans="2:12" hidden="1" x14ac:dyDescent="0.25">
      <c r="B162" t="s">
        <v>84</v>
      </c>
      <c r="C162" t="str">
        <f>_xlfn.XLOOKUP(B162,Tabla2[CODIGO],Tabla2[MATERIAL],"N/A",0)</f>
        <v>Luminaria 110w</v>
      </c>
      <c r="D162">
        <v>1</v>
      </c>
      <c r="E162" t="s">
        <v>42</v>
      </c>
      <c r="F162" t="s">
        <v>16</v>
      </c>
      <c r="G162" s="1">
        <v>46200</v>
      </c>
      <c r="H162" t="s">
        <v>64</v>
      </c>
      <c r="I162" s="2" t="s">
        <v>167</v>
      </c>
      <c r="J162" s="3" t="s">
        <v>166</v>
      </c>
      <c r="K162">
        <v>9962</v>
      </c>
      <c r="L162" t="s">
        <v>255</v>
      </c>
    </row>
    <row r="163" spans="2:12" hidden="1" x14ac:dyDescent="0.25">
      <c r="B163" t="s">
        <v>84</v>
      </c>
      <c r="C163" t="str">
        <f>_xlfn.XLOOKUP(B163,Tabla2[CODIGO],Tabla2[MATERIAL],"N/A",0)</f>
        <v>Luminaria 110w</v>
      </c>
      <c r="D163">
        <v>1</v>
      </c>
      <c r="E163" t="s">
        <v>42</v>
      </c>
      <c r="F163" t="s">
        <v>16</v>
      </c>
      <c r="G163" s="1">
        <v>46200</v>
      </c>
      <c r="H163" t="s">
        <v>64</v>
      </c>
      <c r="I163" s="2" t="s">
        <v>168</v>
      </c>
      <c r="J163" s="3" t="s">
        <v>166</v>
      </c>
      <c r="K163">
        <v>9962</v>
      </c>
      <c r="L163" t="s">
        <v>255</v>
      </c>
    </row>
    <row r="164" spans="2:12" hidden="1" x14ac:dyDescent="0.25">
      <c r="B164" t="s">
        <v>84</v>
      </c>
      <c r="C164" t="str">
        <f>_xlfn.XLOOKUP(B164,Tabla2[CODIGO],Tabla2[MATERIAL],"N/A",0)</f>
        <v>Luminaria 110w</v>
      </c>
      <c r="D164">
        <v>1</v>
      </c>
      <c r="E164" t="s">
        <v>42</v>
      </c>
      <c r="F164" t="s">
        <v>16</v>
      </c>
      <c r="G164" s="1">
        <v>46200</v>
      </c>
      <c r="H164" t="s">
        <v>64</v>
      </c>
      <c r="I164" s="2" t="s">
        <v>169</v>
      </c>
      <c r="J164" s="3" t="s">
        <v>166</v>
      </c>
      <c r="K164">
        <v>9962</v>
      </c>
      <c r="L164" t="s">
        <v>255</v>
      </c>
    </row>
    <row r="165" spans="2:12" hidden="1" x14ac:dyDescent="0.25">
      <c r="B165" t="s">
        <v>84</v>
      </c>
      <c r="C165" t="str">
        <f>_xlfn.XLOOKUP(B165,Tabla2[CODIGO],Tabla2[MATERIAL],"N/A",0)</f>
        <v>Luminaria 110w</v>
      </c>
      <c r="D165">
        <v>1</v>
      </c>
      <c r="E165" t="s">
        <v>42</v>
      </c>
      <c r="F165" t="s">
        <v>16</v>
      </c>
      <c r="G165" s="1">
        <v>46200</v>
      </c>
      <c r="H165" t="s">
        <v>64</v>
      </c>
      <c r="I165" s="2" t="s">
        <v>170</v>
      </c>
      <c r="J165" s="3" t="s">
        <v>166</v>
      </c>
      <c r="K165">
        <v>9962</v>
      </c>
      <c r="L165" t="s">
        <v>255</v>
      </c>
    </row>
    <row r="166" spans="2:12" hidden="1" x14ac:dyDescent="0.25">
      <c r="B166" t="s">
        <v>84</v>
      </c>
      <c r="C166" t="str">
        <f>_xlfn.XLOOKUP(B166,Tabla2[CODIGO],Tabla2[MATERIAL],"N/A",0)</f>
        <v>Luminaria 110w</v>
      </c>
      <c r="D166">
        <v>1</v>
      </c>
      <c r="E166" t="s">
        <v>42</v>
      </c>
      <c r="F166" t="s">
        <v>16</v>
      </c>
      <c r="G166" s="1">
        <v>46200</v>
      </c>
      <c r="H166" t="s">
        <v>64</v>
      </c>
      <c r="I166" s="2" t="s">
        <v>171</v>
      </c>
      <c r="J166" s="3" t="s">
        <v>166</v>
      </c>
      <c r="K166">
        <v>9962</v>
      </c>
      <c r="L166" t="s">
        <v>255</v>
      </c>
    </row>
    <row r="167" spans="2:12" hidden="1" x14ac:dyDescent="0.25">
      <c r="B167" t="s">
        <v>84</v>
      </c>
      <c r="C167" t="str">
        <f>_xlfn.XLOOKUP(B167,Tabla2[CODIGO],Tabla2[MATERIAL],"N/A",0)</f>
        <v>Luminaria 110w</v>
      </c>
      <c r="D167">
        <v>1</v>
      </c>
      <c r="E167" t="s">
        <v>42</v>
      </c>
      <c r="F167" t="s">
        <v>16</v>
      </c>
      <c r="G167" s="1">
        <v>46200</v>
      </c>
      <c r="H167" t="s">
        <v>64</v>
      </c>
      <c r="I167" s="2" t="s">
        <v>172</v>
      </c>
      <c r="J167" s="3" t="s">
        <v>166</v>
      </c>
      <c r="K167">
        <v>9962</v>
      </c>
      <c r="L167" t="s">
        <v>255</v>
      </c>
    </row>
    <row r="168" spans="2:12" hidden="1" x14ac:dyDescent="0.25">
      <c r="B168" t="s">
        <v>84</v>
      </c>
      <c r="C168" t="str">
        <f>_xlfn.XLOOKUP(B168,Tabla2[CODIGO],Tabla2[MATERIAL],"N/A",0)</f>
        <v>Luminaria 110w</v>
      </c>
      <c r="D168">
        <v>1</v>
      </c>
      <c r="E168" t="s">
        <v>42</v>
      </c>
      <c r="F168" t="s">
        <v>16</v>
      </c>
      <c r="G168" s="1">
        <v>46200</v>
      </c>
      <c r="H168" t="s">
        <v>64</v>
      </c>
      <c r="I168" s="2" t="s">
        <v>173</v>
      </c>
      <c r="J168" s="3" t="s">
        <v>166</v>
      </c>
      <c r="K168">
        <v>9962</v>
      </c>
      <c r="L168" t="s">
        <v>255</v>
      </c>
    </row>
    <row r="169" spans="2:12" hidden="1" x14ac:dyDescent="0.25">
      <c r="B169" t="s">
        <v>84</v>
      </c>
      <c r="C169" t="str">
        <f>_xlfn.XLOOKUP(B169,Tabla2[CODIGO],Tabla2[MATERIAL],"N/A",0)</f>
        <v>Luminaria 110w</v>
      </c>
      <c r="D169">
        <v>1</v>
      </c>
      <c r="E169" t="s">
        <v>42</v>
      </c>
      <c r="F169" t="s">
        <v>16</v>
      </c>
      <c r="G169" s="1">
        <v>46200</v>
      </c>
      <c r="H169" t="s">
        <v>64</v>
      </c>
      <c r="I169" s="2" t="s">
        <v>174</v>
      </c>
      <c r="J169" s="3" t="s">
        <v>166</v>
      </c>
      <c r="K169">
        <v>9962</v>
      </c>
      <c r="L169" t="s">
        <v>255</v>
      </c>
    </row>
    <row r="170" spans="2:12" hidden="1" x14ac:dyDescent="0.25">
      <c r="B170" t="s">
        <v>84</v>
      </c>
      <c r="C170" t="str">
        <f>_xlfn.XLOOKUP(B170,Tabla2[CODIGO],Tabla2[MATERIAL],"N/A",0)</f>
        <v>Luminaria 110w</v>
      </c>
      <c r="D170">
        <v>1</v>
      </c>
      <c r="E170" t="s">
        <v>42</v>
      </c>
      <c r="F170" t="s">
        <v>16</v>
      </c>
      <c r="G170" s="1">
        <v>46200</v>
      </c>
      <c r="H170" t="s">
        <v>64</v>
      </c>
      <c r="I170" s="2" t="s">
        <v>175</v>
      </c>
      <c r="J170" s="3" t="s">
        <v>166</v>
      </c>
      <c r="K170">
        <v>9962</v>
      </c>
      <c r="L170" t="s">
        <v>255</v>
      </c>
    </row>
    <row r="171" spans="2:12" hidden="1" x14ac:dyDescent="0.25">
      <c r="B171" t="s">
        <v>84</v>
      </c>
      <c r="C171" t="str">
        <f>_xlfn.XLOOKUP(B171,Tabla2[CODIGO],Tabla2[MATERIAL],"N/A",0)</f>
        <v>Luminaria 110w</v>
      </c>
      <c r="D171">
        <v>1</v>
      </c>
      <c r="E171" t="s">
        <v>42</v>
      </c>
      <c r="F171" t="s">
        <v>16</v>
      </c>
      <c r="G171" s="1">
        <v>46200</v>
      </c>
      <c r="H171" t="s">
        <v>64</v>
      </c>
      <c r="I171" s="2" t="s">
        <v>176</v>
      </c>
      <c r="J171" s="3" t="s">
        <v>166</v>
      </c>
      <c r="K171">
        <v>9962</v>
      </c>
      <c r="L171" t="s">
        <v>255</v>
      </c>
    </row>
    <row r="172" spans="2:12" hidden="1" x14ac:dyDescent="0.25">
      <c r="B172" t="s">
        <v>84</v>
      </c>
      <c r="C172" t="str">
        <f>_xlfn.XLOOKUP(B172,Tabla2[CODIGO],Tabla2[MATERIAL],"N/A",0)</f>
        <v>Luminaria 110w</v>
      </c>
      <c r="D172">
        <v>1</v>
      </c>
      <c r="E172" t="s">
        <v>42</v>
      </c>
      <c r="F172" t="s">
        <v>16</v>
      </c>
      <c r="G172" s="1">
        <v>46200</v>
      </c>
      <c r="H172" t="s">
        <v>64</v>
      </c>
      <c r="I172" s="2" t="s">
        <v>177</v>
      </c>
      <c r="J172" s="3" t="s">
        <v>166</v>
      </c>
      <c r="K172">
        <v>9962</v>
      </c>
      <c r="L172" t="s">
        <v>255</v>
      </c>
    </row>
    <row r="173" spans="2:12" hidden="1" x14ac:dyDescent="0.25">
      <c r="B173" t="s">
        <v>84</v>
      </c>
      <c r="C173" t="str">
        <f>_xlfn.XLOOKUP(B173,Tabla2[CODIGO],Tabla2[MATERIAL],"N/A",0)</f>
        <v>Luminaria 110w</v>
      </c>
      <c r="D173">
        <v>1</v>
      </c>
      <c r="E173" t="s">
        <v>42</v>
      </c>
      <c r="F173" t="s">
        <v>16</v>
      </c>
      <c r="G173" s="1">
        <v>46200</v>
      </c>
      <c r="H173" t="s">
        <v>64</v>
      </c>
      <c r="I173" s="2" t="s">
        <v>178</v>
      </c>
      <c r="J173" s="3" t="s">
        <v>166</v>
      </c>
      <c r="K173">
        <v>9962</v>
      </c>
      <c r="L173" t="s">
        <v>255</v>
      </c>
    </row>
    <row r="174" spans="2:12" hidden="1" x14ac:dyDescent="0.25">
      <c r="B174" t="s">
        <v>137</v>
      </c>
      <c r="C174" t="str">
        <f>_xlfn.XLOOKUP(B174,Tabla2[CODIGO],Tabla2[MATERIAL],"N/A",0)</f>
        <v>Fotocelda</v>
      </c>
      <c r="D174">
        <v>12</v>
      </c>
      <c r="E174" t="s">
        <v>42</v>
      </c>
      <c r="F174" t="s">
        <v>16</v>
      </c>
      <c r="G174" s="1">
        <v>46200</v>
      </c>
      <c r="I174" s="2"/>
      <c r="J174" s="3" t="s">
        <v>166</v>
      </c>
      <c r="K174">
        <v>9962</v>
      </c>
      <c r="L174" t="s">
        <v>255</v>
      </c>
    </row>
    <row r="175" spans="2:12" hidden="1" x14ac:dyDescent="0.25">
      <c r="B175" t="s">
        <v>217</v>
      </c>
      <c r="C175" t="str">
        <f>_xlfn.XLOOKUP(B175,Tabla2[CODIGO],Tabla2[MATERIAL],"N/A",0)</f>
        <v>Brazo Galvanizado 1 1/2" x 2m</v>
      </c>
      <c r="D175">
        <v>12</v>
      </c>
      <c r="E175" t="s">
        <v>42</v>
      </c>
      <c r="F175" t="s">
        <v>16</v>
      </c>
      <c r="G175" s="1">
        <v>46200</v>
      </c>
      <c r="I175" s="2"/>
      <c r="J175" s="3" t="s">
        <v>166</v>
      </c>
      <c r="K175">
        <v>9962</v>
      </c>
      <c r="L175" t="s">
        <v>255</v>
      </c>
    </row>
    <row r="176" spans="2:12" hidden="1" x14ac:dyDescent="0.25">
      <c r="B176" t="s">
        <v>47</v>
      </c>
      <c r="C176" t="str">
        <f>_xlfn.XLOOKUP(B176,Tabla2[CODIGO],Tabla2[MATERIAL],"N/A",0)</f>
        <v>Luminaria 75w</v>
      </c>
      <c r="D176">
        <v>1</v>
      </c>
      <c r="E176" t="s">
        <v>42</v>
      </c>
      <c r="F176" t="s">
        <v>16</v>
      </c>
      <c r="G176" s="1">
        <v>46200</v>
      </c>
      <c r="H176" t="s">
        <v>64</v>
      </c>
      <c r="I176" s="2" t="s">
        <v>179</v>
      </c>
      <c r="J176" t="s">
        <v>166</v>
      </c>
      <c r="K176">
        <v>9963</v>
      </c>
      <c r="L176" s="3" t="s">
        <v>189</v>
      </c>
    </row>
    <row r="177" spans="2:14" hidden="1" x14ac:dyDescent="0.25">
      <c r="B177" t="s">
        <v>47</v>
      </c>
      <c r="C177" t="str">
        <f>_xlfn.XLOOKUP(B177,Tabla2[CODIGO],Tabla2[MATERIAL],"N/A",0)</f>
        <v>Luminaria 75w</v>
      </c>
      <c r="D177">
        <v>1</v>
      </c>
      <c r="E177" t="s">
        <v>42</v>
      </c>
      <c r="F177" t="s">
        <v>16</v>
      </c>
      <c r="G177" s="1">
        <v>46200</v>
      </c>
      <c r="H177" t="s">
        <v>64</v>
      </c>
      <c r="I177" s="2" t="s">
        <v>180</v>
      </c>
      <c r="J177" t="s">
        <v>166</v>
      </c>
      <c r="K177">
        <v>9963</v>
      </c>
      <c r="L177" s="3" t="s">
        <v>189</v>
      </c>
    </row>
    <row r="178" spans="2:14" hidden="1" x14ac:dyDescent="0.25">
      <c r="B178" t="s">
        <v>47</v>
      </c>
      <c r="C178" t="str">
        <f>_xlfn.XLOOKUP(B178,Tabla2[CODIGO],Tabla2[MATERIAL],"N/A",0)</f>
        <v>Luminaria 75w</v>
      </c>
      <c r="D178">
        <v>1</v>
      </c>
      <c r="E178" t="s">
        <v>42</v>
      </c>
      <c r="F178" t="s">
        <v>16</v>
      </c>
      <c r="G178" s="1">
        <v>46200</v>
      </c>
      <c r="H178" t="s">
        <v>64</v>
      </c>
      <c r="I178" s="2" t="s">
        <v>181</v>
      </c>
      <c r="J178" t="s">
        <v>166</v>
      </c>
      <c r="K178">
        <v>9963</v>
      </c>
      <c r="L178" s="3" t="s">
        <v>189</v>
      </c>
    </row>
    <row r="179" spans="2:14" hidden="1" x14ac:dyDescent="0.25">
      <c r="B179" t="s">
        <v>47</v>
      </c>
      <c r="C179" t="str">
        <f>_xlfn.XLOOKUP(B179,Tabla2[CODIGO],Tabla2[MATERIAL],"N/A",0)</f>
        <v>Luminaria 75w</v>
      </c>
      <c r="D179">
        <v>1</v>
      </c>
      <c r="E179" t="s">
        <v>42</v>
      </c>
      <c r="F179" t="s">
        <v>16</v>
      </c>
      <c r="G179" s="1">
        <v>46200</v>
      </c>
      <c r="H179" t="s">
        <v>64</v>
      </c>
      <c r="I179" s="2" t="s">
        <v>182</v>
      </c>
      <c r="J179" t="s">
        <v>166</v>
      </c>
      <c r="K179">
        <v>9963</v>
      </c>
      <c r="L179" s="3" t="s">
        <v>189</v>
      </c>
    </row>
    <row r="180" spans="2:14" hidden="1" x14ac:dyDescent="0.25">
      <c r="B180" t="s">
        <v>82</v>
      </c>
      <c r="C180" t="str">
        <f>_xlfn.XLOOKUP(B180,Tabla2[CODIGO],Tabla2[MATERIAL],"N/A",0)</f>
        <v>proyector 190w</v>
      </c>
      <c r="D180">
        <v>1</v>
      </c>
      <c r="E180" t="s">
        <v>42</v>
      </c>
      <c r="F180" t="s">
        <v>62</v>
      </c>
      <c r="G180" s="1">
        <v>46199</v>
      </c>
      <c r="H180" t="s">
        <v>64</v>
      </c>
      <c r="I180" t="s">
        <v>97</v>
      </c>
      <c r="J180" t="s">
        <v>166</v>
      </c>
      <c r="K180">
        <v>9958</v>
      </c>
      <c r="M180">
        <v>2277689</v>
      </c>
      <c r="N180">
        <v>10</v>
      </c>
    </row>
    <row r="181" spans="2:14" hidden="1" x14ac:dyDescent="0.25">
      <c r="B181" t="s">
        <v>82</v>
      </c>
      <c r="C181" t="str">
        <f>_xlfn.XLOOKUP(B181,Tabla2[CODIGO],Tabla2[MATERIAL],"N/A",0)</f>
        <v>proyector 190w</v>
      </c>
      <c r="D181">
        <v>1</v>
      </c>
      <c r="E181" t="s">
        <v>42</v>
      </c>
      <c r="F181" t="s">
        <v>16</v>
      </c>
      <c r="G181" s="1">
        <v>46198</v>
      </c>
      <c r="H181" t="s">
        <v>64</v>
      </c>
      <c r="I181" s="2" t="s">
        <v>98</v>
      </c>
      <c r="J181" t="s">
        <v>166</v>
      </c>
      <c r="K181">
        <v>9958</v>
      </c>
      <c r="L181" t="s">
        <v>100</v>
      </c>
    </row>
    <row r="182" spans="2:14" hidden="1" x14ac:dyDescent="0.25">
      <c r="B182" t="s">
        <v>82</v>
      </c>
      <c r="C182" t="str">
        <f>_xlfn.XLOOKUP(B182,Tabla2[CODIGO],Tabla2[MATERIAL],"N/A",0)</f>
        <v>proyector 190w</v>
      </c>
      <c r="D182">
        <v>1</v>
      </c>
      <c r="E182" t="s">
        <v>42</v>
      </c>
      <c r="F182" t="s">
        <v>62</v>
      </c>
      <c r="G182" s="1">
        <v>46199</v>
      </c>
      <c r="H182" t="s">
        <v>64</v>
      </c>
      <c r="I182" t="s">
        <v>98</v>
      </c>
      <c r="J182" t="s">
        <v>166</v>
      </c>
      <c r="K182">
        <v>9958</v>
      </c>
      <c r="M182">
        <v>2277689</v>
      </c>
      <c r="N182">
        <v>12</v>
      </c>
    </row>
    <row r="183" spans="2:14" hidden="1" x14ac:dyDescent="0.25">
      <c r="B183" t="s">
        <v>82</v>
      </c>
      <c r="C183" t="str">
        <f>_xlfn.XLOOKUP(B183,Tabla2[CODIGO],Tabla2[MATERIAL],"N/A",0)</f>
        <v>proyector 190w</v>
      </c>
      <c r="D183">
        <v>1</v>
      </c>
      <c r="E183" t="s">
        <v>42</v>
      </c>
      <c r="F183" t="s">
        <v>16</v>
      </c>
      <c r="G183" s="1">
        <v>46198</v>
      </c>
      <c r="H183" t="s">
        <v>64</v>
      </c>
      <c r="I183" s="2" t="s">
        <v>104</v>
      </c>
      <c r="J183" t="s">
        <v>166</v>
      </c>
      <c r="K183">
        <v>9959</v>
      </c>
      <c r="L183" t="s">
        <v>100</v>
      </c>
    </row>
    <row r="184" spans="2:14" hidden="1" x14ac:dyDescent="0.25">
      <c r="B184" t="s">
        <v>82</v>
      </c>
      <c r="C184" t="str">
        <f>_xlfn.XLOOKUP(B184,Tabla2[CODIGO],Tabla2[MATERIAL],"N/A",0)</f>
        <v>proyector 190w</v>
      </c>
      <c r="D184">
        <v>1</v>
      </c>
      <c r="E184" t="s">
        <v>42</v>
      </c>
      <c r="F184" t="s">
        <v>16</v>
      </c>
      <c r="G184" s="1">
        <v>46198</v>
      </c>
      <c r="H184" t="s">
        <v>64</v>
      </c>
      <c r="I184" s="2" t="s">
        <v>99</v>
      </c>
      <c r="J184" t="s">
        <v>166</v>
      </c>
      <c r="K184">
        <v>9958</v>
      </c>
      <c r="L184" t="s">
        <v>100</v>
      </c>
    </row>
    <row r="185" spans="2:14" hidden="1" x14ac:dyDescent="0.25">
      <c r="B185" t="s">
        <v>82</v>
      </c>
      <c r="C185" t="str">
        <f>_xlfn.XLOOKUP(B185,Tabla2[CODIGO],Tabla2[MATERIAL],"N/A",0)</f>
        <v>proyector 190w</v>
      </c>
      <c r="D185">
        <v>1</v>
      </c>
      <c r="E185" t="s">
        <v>42</v>
      </c>
      <c r="F185" t="s">
        <v>62</v>
      </c>
      <c r="G185" s="1">
        <v>46199</v>
      </c>
      <c r="H185" t="s">
        <v>64</v>
      </c>
      <c r="I185" t="s">
        <v>99</v>
      </c>
      <c r="J185" t="s">
        <v>166</v>
      </c>
      <c r="K185">
        <v>9958</v>
      </c>
      <c r="M185">
        <v>2277689</v>
      </c>
      <c r="N185">
        <v>9</v>
      </c>
    </row>
    <row r="186" spans="2:14" hidden="1" x14ac:dyDescent="0.25">
      <c r="B186" t="s">
        <v>60</v>
      </c>
      <c r="C186" t="str">
        <f>_xlfn.XLOOKUP(B186,Tabla2[CODIGO],Tabla2[MATERIAL],"N/A",0)</f>
        <v>Fotocelda</v>
      </c>
      <c r="D186">
        <v>10</v>
      </c>
      <c r="E186" t="s">
        <v>42</v>
      </c>
      <c r="F186" t="s">
        <v>16</v>
      </c>
      <c r="G186" s="1">
        <v>46200</v>
      </c>
      <c r="I186" s="2"/>
      <c r="J186" t="s">
        <v>166</v>
      </c>
      <c r="K186">
        <v>9963</v>
      </c>
      <c r="L186" s="3" t="s">
        <v>189</v>
      </c>
    </row>
    <row r="187" spans="2:14" hidden="1" x14ac:dyDescent="0.25">
      <c r="B187" t="s">
        <v>226</v>
      </c>
      <c r="C187" t="str">
        <f>_xlfn.XLOOKUP(B187,Tabla2[CODIGO],Tabla2[MATERIAL],"N/A",0)</f>
        <v>Abrazadera una salida 6"</v>
      </c>
      <c r="D187">
        <v>36</v>
      </c>
      <c r="E187" t="s">
        <v>42</v>
      </c>
      <c r="F187" t="s">
        <v>16</v>
      </c>
      <c r="G187" s="1">
        <v>46197</v>
      </c>
      <c r="I187" s="2"/>
      <c r="J187" t="s">
        <v>166</v>
      </c>
      <c r="K187">
        <v>9961</v>
      </c>
      <c r="L187" t="s">
        <v>165</v>
      </c>
    </row>
    <row r="188" spans="2:14" hidden="1" x14ac:dyDescent="0.25">
      <c r="B188" t="s">
        <v>56</v>
      </c>
      <c r="C188" t="str">
        <f>_xlfn.XLOOKUP(B188,Tabla2[CODIGO],Tabla2[MATERIAL],"N/A",0)</f>
        <v>Aislador Carrreto</v>
      </c>
      <c r="D188">
        <v>5</v>
      </c>
      <c r="E188" t="s">
        <v>42</v>
      </c>
      <c r="F188" t="s">
        <v>16</v>
      </c>
      <c r="G188" s="1">
        <v>46197</v>
      </c>
      <c r="I188" s="2"/>
      <c r="J188" t="s">
        <v>166</v>
      </c>
      <c r="K188">
        <v>9961</v>
      </c>
      <c r="L188" t="s">
        <v>165</v>
      </c>
    </row>
    <row r="189" spans="2:14" hidden="1" x14ac:dyDescent="0.25">
      <c r="B189" t="s">
        <v>194</v>
      </c>
      <c r="C189" t="str">
        <f>_xlfn.XLOOKUP(B189,Tabla2[CODIGO],Tabla2[MATERIAL],"N/A",0)</f>
        <v>Cable TPX 2x4 1x4 awg</v>
      </c>
      <c r="D189">
        <v>110</v>
      </c>
      <c r="E189" t="s">
        <v>43</v>
      </c>
      <c r="F189" t="s">
        <v>16</v>
      </c>
      <c r="G189" s="1">
        <v>46197</v>
      </c>
      <c r="I189" s="2"/>
      <c r="J189" t="s">
        <v>166</v>
      </c>
      <c r="K189">
        <v>9961</v>
      </c>
      <c r="L189" t="s">
        <v>165</v>
      </c>
    </row>
    <row r="190" spans="2:14" hidden="1" x14ac:dyDescent="0.25">
      <c r="B190" t="s">
        <v>21</v>
      </c>
      <c r="C190" t="str">
        <f>_xlfn.XLOOKUP(B190,Tabla2[CODIGO],Tabla2[MATERIAL],"N/A",0)</f>
        <v>Cable Encauchetado 3x14 pvc</v>
      </c>
      <c r="D190">
        <v>221</v>
      </c>
      <c r="E190" t="s">
        <v>43</v>
      </c>
      <c r="F190" t="s">
        <v>16</v>
      </c>
      <c r="G190" s="1">
        <v>46197</v>
      </c>
      <c r="I190" s="2"/>
      <c r="J190" t="s">
        <v>166</v>
      </c>
      <c r="K190">
        <v>9961</v>
      </c>
      <c r="L190" t="s">
        <v>165</v>
      </c>
    </row>
    <row r="191" spans="2:14" hidden="1" x14ac:dyDescent="0.25">
      <c r="B191" t="s">
        <v>53</v>
      </c>
      <c r="C191" t="str">
        <f>_xlfn.XLOOKUP(B191,Tabla2[CODIGO],Tabla2[MATERIAL],"N/A",0)</f>
        <v>Conector de Perforacion ais kz-ep (EP95) pequeño</v>
      </c>
      <c r="D191">
        <v>39</v>
      </c>
      <c r="E191" t="s">
        <v>42</v>
      </c>
      <c r="F191" t="s">
        <v>16</v>
      </c>
      <c r="G191" s="1">
        <v>46197</v>
      </c>
      <c r="I191" s="2"/>
      <c r="J191" t="s">
        <v>166</v>
      </c>
      <c r="K191">
        <v>9961</v>
      </c>
      <c r="L191" t="s">
        <v>165</v>
      </c>
    </row>
    <row r="192" spans="2:14" hidden="1" x14ac:dyDescent="0.25">
      <c r="B192" t="s">
        <v>54</v>
      </c>
      <c r="C192" t="str">
        <f>_xlfn.XLOOKUP(B192,Tabla2[CODIGO],Tabla2[MATERIAL],"N/A",0)</f>
        <v>Conector resorte 18-8</v>
      </c>
      <c r="D192">
        <v>39</v>
      </c>
      <c r="E192" t="s">
        <v>42</v>
      </c>
      <c r="F192" t="s">
        <v>16</v>
      </c>
      <c r="G192" s="1">
        <v>46197</v>
      </c>
      <c r="I192" s="2"/>
      <c r="J192" t="s">
        <v>166</v>
      </c>
      <c r="K192">
        <v>9961</v>
      </c>
      <c r="L192" t="s">
        <v>165</v>
      </c>
    </row>
    <row r="193" spans="2:14" hidden="1" x14ac:dyDescent="0.25">
      <c r="B193" t="s">
        <v>212</v>
      </c>
      <c r="C193" t="str">
        <f>_xlfn.XLOOKUP(B193,Tabla2[CODIGO],Tabla2[MATERIAL],"N/A",0)</f>
        <v>Grillete galvanizado 1,1/2</v>
      </c>
      <c r="D193">
        <v>44</v>
      </c>
      <c r="E193" t="s">
        <v>42</v>
      </c>
      <c r="F193" t="s">
        <v>16</v>
      </c>
      <c r="G193" s="1">
        <v>46197</v>
      </c>
      <c r="I193" s="2"/>
      <c r="J193" t="s">
        <v>166</v>
      </c>
      <c r="K193">
        <v>9961</v>
      </c>
      <c r="L193" t="s">
        <v>165</v>
      </c>
    </row>
    <row r="194" spans="2:14" hidden="1" x14ac:dyDescent="0.25">
      <c r="B194" t="s">
        <v>30</v>
      </c>
      <c r="C194" t="str">
        <f>_xlfn.XLOOKUP(B194,Tabla2[CODIGO],Tabla2[MATERIAL],"N/A",0)</f>
        <v>Kit puesta tierra acero inoxidable</v>
      </c>
      <c r="D194">
        <v>2</v>
      </c>
      <c r="E194" t="s">
        <v>42</v>
      </c>
      <c r="F194" t="s">
        <v>16</v>
      </c>
      <c r="G194" s="1">
        <v>46197</v>
      </c>
      <c r="I194" s="2"/>
      <c r="J194" t="s">
        <v>166</v>
      </c>
      <c r="K194">
        <v>9961</v>
      </c>
      <c r="L194" t="s">
        <v>165</v>
      </c>
    </row>
    <row r="195" spans="2:14" hidden="1" x14ac:dyDescent="0.25">
      <c r="B195" t="s">
        <v>50</v>
      </c>
      <c r="C195" t="str">
        <f>_xlfn.XLOOKUP(B195,Tabla2[CODIGO],Tabla2[MATERIAL],"N/A",0)</f>
        <v>Percha galv 1 puesto</v>
      </c>
      <c r="D195">
        <v>5</v>
      </c>
      <c r="E195" t="s">
        <v>42</v>
      </c>
      <c r="F195" t="s">
        <v>16</v>
      </c>
      <c r="G195" s="1">
        <v>46197</v>
      </c>
      <c r="I195" s="2"/>
      <c r="J195" t="s">
        <v>166</v>
      </c>
      <c r="K195">
        <v>9961</v>
      </c>
      <c r="L195" t="s">
        <v>165</v>
      </c>
    </row>
    <row r="196" spans="2:14" hidden="1" x14ac:dyDescent="0.25">
      <c r="B196" t="s">
        <v>204</v>
      </c>
      <c r="C196" t="str">
        <f>_xlfn.XLOOKUP(B196,Tabla2[CODIGO],Tabla2[MATERIAL],"N/A",0)</f>
        <v>Perno carruaje 5-8*1 1/2</v>
      </c>
      <c r="D196">
        <v>5</v>
      </c>
      <c r="E196" t="s">
        <v>42</v>
      </c>
      <c r="F196" t="s">
        <v>16</v>
      </c>
      <c r="G196" s="1">
        <v>46197</v>
      </c>
      <c r="I196" s="2"/>
      <c r="J196" t="s">
        <v>166</v>
      </c>
      <c r="K196">
        <v>9961</v>
      </c>
      <c r="L196" t="s">
        <v>165</v>
      </c>
    </row>
    <row r="197" spans="2:14" hidden="1" x14ac:dyDescent="0.25">
      <c r="B197" t="s">
        <v>78</v>
      </c>
      <c r="C197" t="str">
        <f>_xlfn.XLOOKUP(B197,Tabla2[CODIGO],Tabla2[MATERIAL],"N/A",0)</f>
        <v>Tapa Concreto</v>
      </c>
      <c r="D197">
        <v>12</v>
      </c>
      <c r="E197" t="s">
        <v>42</v>
      </c>
      <c r="F197" t="s">
        <v>16</v>
      </c>
      <c r="G197" s="1">
        <v>46197</v>
      </c>
      <c r="I197" s="2"/>
      <c r="J197" t="s">
        <v>166</v>
      </c>
      <c r="K197">
        <v>9961</v>
      </c>
      <c r="L197" t="s">
        <v>165</v>
      </c>
    </row>
    <row r="198" spans="2:14" hidden="1" x14ac:dyDescent="0.25">
      <c r="B198" t="s">
        <v>206</v>
      </c>
      <c r="C198" t="str">
        <f>_xlfn.XLOOKUP(B198,Tabla2[CODIGO],Tabla2[MATERIAL],"N/A",0)</f>
        <v>Tornillo Maquina 1/2*1 1/2</v>
      </c>
      <c r="D198">
        <v>4</v>
      </c>
      <c r="E198" t="s">
        <v>42</v>
      </c>
      <c r="F198" t="s">
        <v>16</v>
      </c>
      <c r="G198" s="1">
        <v>46197</v>
      </c>
      <c r="I198" s="2"/>
      <c r="J198" t="s">
        <v>166</v>
      </c>
      <c r="K198">
        <v>9961</v>
      </c>
      <c r="L198" t="s">
        <v>165</v>
      </c>
    </row>
    <row r="199" spans="2:14" hidden="1" x14ac:dyDescent="0.25">
      <c r="B199" t="s">
        <v>213</v>
      </c>
      <c r="C199" t="str">
        <f>_xlfn.XLOOKUP(B199,Tabla2[CODIGO],Tabla2[MATERIAL],"N/A",0)</f>
        <v>Tuerca Hexagona 5/8</v>
      </c>
      <c r="D199">
        <v>5</v>
      </c>
      <c r="E199" t="s">
        <v>42</v>
      </c>
      <c r="F199" t="s">
        <v>16</v>
      </c>
      <c r="G199" s="1">
        <v>46197</v>
      </c>
      <c r="I199" s="2"/>
      <c r="J199" t="s">
        <v>166</v>
      </c>
      <c r="K199">
        <v>9961</v>
      </c>
      <c r="L199" t="s">
        <v>165</v>
      </c>
    </row>
    <row r="200" spans="2:14" hidden="1" x14ac:dyDescent="0.25">
      <c r="B200" t="s">
        <v>198</v>
      </c>
      <c r="C200" t="str">
        <f>_xlfn.XLOOKUP(B200,Tabla2[CODIGO],Tabla2[MATERIAL],"N/A",0)</f>
        <v>Varilla cooperweld 2,4m</v>
      </c>
      <c r="D200">
        <v>13</v>
      </c>
      <c r="E200" t="s">
        <v>42</v>
      </c>
      <c r="F200" t="s">
        <v>16</v>
      </c>
      <c r="G200" s="1">
        <v>46197</v>
      </c>
      <c r="I200" s="2"/>
      <c r="J200" t="s">
        <v>166</v>
      </c>
      <c r="K200">
        <v>9961</v>
      </c>
      <c r="L200" t="s">
        <v>165</v>
      </c>
    </row>
    <row r="201" spans="2:14" hidden="1" x14ac:dyDescent="0.25">
      <c r="B201" t="s">
        <v>210</v>
      </c>
      <c r="C201" t="str">
        <f>_xlfn.XLOOKUP(B201,Tabla2[CODIGO],Tabla2[MATERIAL],"N/A",0)</f>
        <v>Conector Varilla cooperw.</v>
      </c>
      <c r="D201">
        <v>13</v>
      </c>
      <c r="E201" t="s">
        <v>42</v>
      </c>
      <c r="F201" t="s">
        <v>16</v>
      </c>
      <c r="G201" s="1">
        <v>46198</v>
      </c>
      <c r="I201" s="2"/>
      <c r="J201" t="s">
        <v>166</v>
      </c>
      <c r="K201">
        <v>9961</v>
      </c>
      <c r="L201" t="s">
        <v>165</v>
      </c>
    </row>
    <row r="202" spans="2:14" hidden="1" x14ac:dyDescent="0.25">
      <c r="B202" t="s">
        <v>214</v>
      </c>
      <c r="C202" t="str">
        <f>_xlfn.XLOOKUP(B202,Tabla2[CODIGO],Tabla2[MATERIAL],"N/A",0)</f>
        <v>Marco para caja ap</v>
      </c>
      <c r="D202">
        <v>12</v>
      </c>
      <c r="E202" t="s">
        <v>42</v>
      </c>
      <c r="F202" t="s">
        <v>16</v>
      </c>
      <c r="G202" s="1">
        <v>46198</v>
      </c>
      <c r="I202" s="2"/>
      <c r="J202" t="s">
        <v>166</v>
      </c>
      <c r="K202">
        <v>9961</v>
      </c>
      <c r="L202" t="s">
        <v>165</v>
      </c>
    </row>
    <row r="203" spans="2:14" hidden="1" x14ac:dyDescent="0.25">
      <c r="B203" t="s">
        <v>47</v>
      </c>
      <c r="C203" t="str">
        <f>_xlfn.XLOOKUP(B203,Tabla2[CODIGO],Tabla2[MATERIAL],"N/A",0)</f>
        <v>Luminaria 75w</v>
      </c>
      <c r="D203">
        <v>1</v>
      </c>
      <c r="E203" t="s">
        <v>42</v>
      </c>
      <c r="F203" t="s">
        <v>62</v>
      </c>
      <c r="G203" s="1">
        <v>46200</v>
      </c>
      <c r="H203" t="s">
        <v>64</v>
      </c>
      <c r="I203" s="2" t="s">
        <v>145</v>
      </c>
      <c r="J203" t="s">
        <v>166</v>
      </c>
      <c r="K203">
        <v>9961</v>
      </c>
      <c r="L203" t="s">
        <v>165</v>
      </c>
      <c r="M203">
        <v>2257815</v>
      </c>
      <c r="N203">
        <v>1</v>
      </c>
    </row>
    <row r="204" spans="2:14" hidden="1" x14ac:dyDescent="0.25">
      <c r="B204" t="s">
        <v>47</v>
      </c>
      <c r="C204" t="str">
        <f>_xlfn.XLOOKUP(B204,Tabla2[CODIGO],Tabla2[MATERIAL],"N/A",0)</f>
        <v>Luminaria 75w</v>
      </c>
      <c r="D204">
        <v>1</v>
      </c>
      <c r="E204" t="s">
        <v>42</v>
      </c>
      <c r="F204" t="s">
        <v>62</v>
      </c>
      <c r="G204" s="1">
        <v>46200</v>
      </c>
      <c r="H204" t="s">
        <v>64</v>
      </c>
      <c r="I204" s="2" t="s">
        <v>153</v>
      </c>
      <c r="J204" t="s">
        <v>166</v>
      </c>
      <c r="K204">
        <v>9961</v>
      </c>
      <c r="L204" t="s">
        <v>165</v>
      </c>
      <c r="M204">
        <v>2257815</v>
      </c>
      <c r="N204">
        <v>2</v>
      </c>
    </row>
    <row r="205" spans="2:14" hidden="1" x14ac:dyDescent="0.25">
      <c r="B205" t="s">
        <v>47</v>
      </c>
      <c r="C205" t="str">
        <f>_xlfn.XLOOKUP(B205,Tabla2[CODIGO],Tabla2[MATERIAL],"N/A",0)</f>
        <v>Luminaria 75w</v>
      </c>
      <c r="D205">
        <v>1</v>
      </c>
      <c r="E205" t="s">
        <v>42</v>
      </c>
      <c r="F205" t="s">
        <v>62</v>
      </c>
      <c r="G205" s="1">
        <v>46200</v>
      </c>
      <c r="H205" t="s">
        <v>64</v>
      </c>
      <c r="I205" s="2" t="s">
        <v>152</v>
      </c>
      <c r="J205" t="s">
        <v>166</v>
      </c>
      <c r="K205">
        <v>9961</v>
      </c>
      <c r="L205" t="s">
        <v>165</v>
      </c>
      <c r="M205">
        <v>2258897</v>
      </c>
      <c r="N205">
        <v>3</v>
      </c>
    </row>
    <row r="206" spans="2:14" hidden="1" x14ac:dyDescent="0.25">
      <c r="B206" t="s">
        <v>47</v>
      </c>
      <c r="C206" t="str">
        <f>_xlfn.XLOOKUP(B206,Tabla2[CODIGO],Tabla2[MATERIAL],"N/A",0)</f>
        <v>Luminaria 75w</v>
      </c>
      <c r="D206">
        <v>1</v>
      </c>
      <c r="E206" t="s">
        <v>42</v>
      </c>
      <c r="F206" t="s">
        <v>62</v>
      </c>
      <c r="G206" s="1">
        <v>46200</v>
      </c>
      <c r="H206" t="s">
        <v>64</v>
      </c>
      <c r="I206" s="2" t="s">
        <v>162</v>
      </c>
      <c r="J206" t="s">
        <v>166</v>
      </c>
      <c r="K206">
        <v>9961</v>
      </c>
      <c r="L206" t="s">
        <v>165</v>
      </c>
      <c r="M206">
        <v>2258897</v>
      </c>
      <c r="N206">
        <v>4</v>
      </c>
    </row>
    <row r="207" spans="2:14" hidden="1" x14ac:dyDescent="0.25">
      <c r="B207" t="s">
        <v>47</v>
      </c>
      <c r="C207" t="str">
        <f>_xlfn.XLOOKUP(B207,Tabla2[CODIGO],Tabla2[MATERIAL],"N/A",0)</f>
        <v>Luminaria 75w</v>
      </c>
      <c r="D207">
        <v>1</v>
      </c>
      <c r="E207" t="s">
        <v>42</v>
      </c>
      <c r="F207" t="s">
        <v>62</v>
      </c>
      <c r="G207" s="1">
        <v>46200</v>
      </c>
      <c r="H207" t="s">
        <v>64</v>
      </c>
      <c r="I207" s="2" t="s">
        <v>149</v>
      </c>
      <c r="J207" t="s">
        <v>166</v>
      </c>
      <c r="K207">
        <v>9961</v>
      </c>
      <c r="L207" t="s">
        <v>165</v>
      </c>
      <c r="M207">
        <v>6535241</v>
      </c>
      <c r="N207">
        <v>5</v>
      </c>
    </row>
    <row r="208" spans="2:14" hidden="1" x14ac:dyDescent="0.25">
      <c r="B208" t="s">
        <v>47</v>
      </c>
      <c r="C208" t="str">
        <f>_xlfn.XLOOKUP(B208,Tabla2[CODIGO],Tabla2[MATERIAL],"N/A",0)</f>
        <v>Luminaria 75w</v>
      </c>
      <c r="D208">
        <v>1</v>
      </c>
      <c r="E208" t="s">
        <v>42</v>
      </c>
      <c r="F208" t="s">
        <v>62</v>
      </c>
      <c r="G208" s="1">
        <v>46200</v>
      </c>
      <c r="H208" t="s">
        <v>64</v>
      </c>
      <c r="I208" s="2" t="s">
        <v>139</v>
      </c>
      <c r="J208" t="s">
        <v>166</v>
      </c>
      <c r="K208">
        <v>9961</v>
      </c>
      <c r="L208" t="s">
        <v>165</v>
      </c>
      <c r="M208">
        <v>6535241</v>
      </c>
      <c r="N208">
        <v>6</v>
      </c>
    </row>
    <row r="209" spans="2:14" hidden="1" x14ac:dyDescent="0.25">
      <c r="B209" t="s">
        <v>47</v>
      </c>
      <c r="C209" t="str">
        <f>_xlfn.XLOOKUP(B209,Tabla2[CODIGO],Tabla2[MATERIAL],"N/A",0)</f>
        <v>Luminaria 75w</v>
      </c>
      <c r="D209">
        <v>1</v>
      </c>
      <c r="E209" t="s">
        <v>42</v>
      </c>
      <c r="F209" t="s">
        <v>62</v>
      </c>
      <c r="G209" s="1">
        <v>46200</v>
      </c>
      <c r="H209" t="s">
        <v>64</v>
      </c>
      <c r="I209" s="2" t="s">
        <v>142</v>
      </c>
      <c r="J209" t="s">
        <v>166</v>
      </c>
      <c r="K209">
        <v>9961</v>
      </c>
      <c r="L209" t="s">
        <v>165</v>
      </c>
      <c r="M209">
        <v>6532306</v>
      </c>
      <c r="N209">
        <v>7</v>
      </c>
    </row>
    <row r="210" spans="2:14" hidden="1" x14ac:dyDescent="0.25">
      <c r="B210" t="s">
        <v>47</v>
      </c>
      <c r="C210" t="str">
        <f>_xlfn.XLOOKUP(B210,Tabla2[CODIGO],Tabla2[MATERIAL],"N/A",0)</f>
        <v>Luminaria 75w</v>
      </c>
      <c r="D210">
        <v>1</v>
      </c>
      <c r="E210" t="s">
        <v>42</v>
      </c>
      <c r="F210" t="s">
        <v>62</v>
      </c>
      <c r="G210" s="1">
        <v>46200</v>
      </c>
      <c r="H210" t="s">
        <v>64</v>
      </c>
      <c r="I210" s="2" t="s">
        <v>143</v>
      </c>
      <c r="J210" t="s">
        <v>166</v>
      </c>
      <c r="K210">
        <v>9961</v>
      </c>
      <c r="L210" t="s">
        <v>165</v>
      </c>
      <c r="M210">
        <v>6532306</v>
      </c>
      <c r="N210">
        <v>8</v>
      </c>
    </row>
    <row r="211" spans="2:14" hidden="1" x14ac:dyDescent="0.25">
      <c r="B211" t="s">
        <v>47</v>
      </c>
      <c r="C211" t="str">
        <f>_xlfn.XLOOKUP(B211,Tabla2[CODIGO],Tabla2[MATERIAL],"N/A",0)</f>
        <v>Luminaria 75w</v>
      </c>
      <c r="D211">
        <v>1</v>
      </c>
      <c r="E211" t="s">
        <v>42</v>
      </c>
      <c r="F211" t="s">
        <v>62</v>
      </c>
      <c r="G211" s="1">
        <v>46200</v>
      </c>
      <c r="H211" t="s">
        <v>64</v>
      </c>
      <c r="I211" s="2" t="s">
        <v>164</v>
      </c>
      <c r="J211" t="s">
        <v>166</v>
      </c>
      <c r="K211">
        <v>9961</v>
      </c>
      <c r="L211" t="s">
        <v>165</v>
      </c>
      <c r="M211">
        <v>6532292</v>
      </c>
      <c r="N211">
        <v>12</v>
      </c>
    </row>
    <row r="212" spans="2:14" hidden="1" x14ac:dyDescent="0.25">
      <c r="B212" t="s">
        <v>47</v>
      </c>
      <c r="C212" t="str">
        <f>_xlfn.XLOOKUP(B212,Tabla2[CODIGO],Tabla2[MATERIAL],"N/A",0)</f>
        <v>Luminaria 75w</v>
      </c>
      <c r="D212">
        <v>1</v>
      </c>
      <c r="E212" t="s">
        <v>42</v>
      </c>
      <c r="F212" t="s">
        <v>62</v>
      </c>
      <c r="G212" s="1">
        <v>46215</v>
      </c>
      <c r="H212" t="s">
        <v>64</v>
      </c>
      <c r="I212" s="2" t="s">
        <v>160</v>
      </c>
      <c r="J212" t="s">
        <v>166</v>
      </c>
      <c r="K212">
        <v>9963</v>
      </c>
      <c r="L212" t="s">
        <v>165</v>
      </c>
      <c r="M212">
        <v>2295528</v>
      </c>
    </row>
    <row r="213" spans="2:14" hidden="1" x14ac:dyDescent="0.25">
      <c r="B213" t="s">
        <v>47</v>
      </c>
      <c r="C213" t="str">
        <f>_xlfn.XLOOKUP(B213,Tabla2[CODIGO],Tabla2[MATERIAL],"N/A",0)</f>
        <v>Luminaria 75w</v>
      </c>
      <c r="D213">
        <v>1</v>
      </c>
      <c r="E213" t="s">
        <v>42</v>
      </c>
      <c r="F213" t="s">
        <v>62</v>
      </c>
      <c r="G213" s="1">
        <v>46200</v>
      </c>
      <c r="H213" t="s">
        <v>64</v>
      </c>
      <c r="I213" s="2" t="s">
        <v>146</v>
      </c>
      <c r="J213" t="s">
        <v>166</v>
      </c>
      <c r="K213">
        <v>9961</v>
      </c>
      <c r="L213" t="s">
        <v>165</v>
      </c>
      <c r="M213">
        <v>6532281</v>
      </c>
      <c r="N213">
        <v>17</v>
      </c>
    </row>
    <row r="214" spans="2:14" hidden="1" x14ac:dyDescent="0.25">
      <c r="B214" t="s">
        <v>47</v>
      </c>
      <c r="C214" t="str">
        <f>_xlfn.XLOOKUP(B214,Tabla2[CODIGO],Tabla2[MATERIAL],"N/A",0)</f>
        <v>Luminaria 75w</v>
      </c>
      <c r="D214">
        <v>1</v>
      </c>
      <c r="E214" t="s">
        <v>42</v>
      </c>
      <c r="F214" t="s">
        <v>62</v>
      </c>
      <c r="G214" s="1">
        <v>46200</v>
      </c>
      <c r="H214" t="s">
        <v>64</v>
      </c>
      <c r="I214" s="2" t="s">
        <v>141</v>
      </c>
      <c r="J214" t="s">
        <v>166</v>
      </c>
      <c r="K214">
        <v>9961</v>
      </c>
      <c r="L214" t="s">
        <v>165</v>
      </c>
      <c r="M214">
        <v>6532281</v>
      </c>
      <c r="N214">
        <v>18</v>
      </c>
    </row>
    <row r="215" spans="2:14" hidden="1" x14ac:dyDescent="0.25">
      <c r="B215" t="s">
        <v>47</v>
      </c>
      <c r="C215" t="str">
        <f>_xlfn.XLOOKUP(B215,Tabla2[CODIGO],Tabla2[MATERIAL],"N/A",0)</f>
        <v>Luminaria 75w</v>
      </c>
      <c r="D215">
        <v>1</v>
      </c>
      <c r="E215" t="s">
        <v>42</v>
      </c>
      <c r="F215" t="s">
        <v>62</v>
      </c>
      <c r="G215" s="1">
        <v>46200</v>
      </c>
      <c r="H215" t="s">
        <v>64</v>
      </c>
      <c r="I215" s="2" t="s">
        <v>144</v>
      </c>
      <c r="J215" t="s">
        <v>166</v>
      </c>
      <c r="K215">
        <v>9961</v>
      </c>
      <c r="L215" t="s">
        <v>165</v>
      </c>
      <c r="M215">
        <v>6522233</v>
      </c>
      <c r="N215">
        <v>19</v>
      </c>
    </row>
    <row r="216" spans="2:14" hidden="1" x14ac:dyDescent="0.25">
      <c r="B216" t="s">
        <v>47</v>
      </c>
      <c r="C216" t="str">
        <f>_xlfn.XLOOKUP(B216,Tabla2[CODIGO],Tabla2[MATERIAL],"N/A",0)</f>
        <v>Luminaria 75w</v>
      </c>
      <c r="D216">
        <v>1</v>
      </c>
      <c r="E216" t="s">
        <v>42</v>
      </c>
      <c r="F216" t="s">
        <v>62</v>
      </c>
      <c r="G216" s="1">
        <v>46200</v>
      </c>
      <c r="H216" t="s">
        <v>64</v>
      </c>
      <c r="I216" s="2" t="s">
        <v>163</v>
      </c>
      <c r="J216" t="s">
        <v>166</v>
      </c>
      <c r="K216">
        <v>9961</v>
      </c>
      <c r="L216" t="s">
        <v>165</v>
      </c>
      <c r="M216">
        <v>6522233</v>
      </c>
      <c r="N216">
        <v>20</v>
      </c>
    </row>
    <row r="217" spans="2:14" hidden="1" x14ac:dyDescent="0.25">
      <c r="B217" t="s">
        <v>47</v>
      </c>
      <c r="C217" t="str">
        <f>_xlfn.XLOOKUP(B217,Tabla2[CODIGO],Tabla2[MATERIAL],"N/A",0)</f>
        <v>Luminaria 75w</v>
      </c>
      <c r="D217">
        <v>1</v>
      </c>
      <c r="E217" t="s">
        <v>42</v>
      </c>
      <c r="F217" t="s">
        <v>62</v>
      </c>
      <c r="G217" s="1">
        <v>46200</v>
      </c>
      <c r="H217" t="s">
        <v>64</v>
      </c>
      <c r="I217" s="2" t="s">
        <v>148</v>
      </c>
      <c r="J217" t="s">
        <v>166</v>
      </c>
      <c r="K217">
        <v>9961</v>
      </c>
      <c r="L217" t="s">
        <v>165</v>
      </c>
      <c r="M217">
        <v>2258935</v>
      </c>
      <c r="N217">
        <v>21</v>
      </c>
    </row>
    <row r="218" spans="2:14" hidden="1" x14ac:dyDescent="0.25">
      <c r="B218" t="s">
        <v>47</v>
      </c>
      <c r="C218" t="str">
        <f>_xlfn.XLOOKUP(B218,Tabla2[CODIGO],Tabla2[MATERIAL],"N/A",0)</f>
        <v>Luminaria 75w</v>
      </c>
      <c r="D218">
        <v>1</v>
      </c>
      <c r="E218" t="s">
        <v>42</v>
      </c>
      <c r="F218" t="s">
        <v>62</v>
      </c>
      <c r="G218" s="1">
        <v>46200</v>
      </c>
      <c r="H218" t="s">
        <v>64</v>
      </c>
      <c r="I218" s="2" t="s">
        <v>140</v>
      </c>
      <c r="J218" t="s">
        <v>166</v>
      </c>
      <c r="K218">
        <v>9961</v>
      </c>
      <c r="L218" t="s">
        <v>165</v>
      </c>
      <c r="M218">
        <v>2258935</v>
      </c>
      <c r="N218">
        <v>22</v>
      </c>
    </row>
    <row r="219" spans="2:14" hidden="1" x14ac:dyDescent="0.25">
      <c r="B219" t="s">
        <v>47</v>
      </c>
      <c r="C219" t="str">
        <f>_xlfn.XLOOKUP(B219,Tabla2[CODIGO],Tabla2[MATERIAL],"N/A",0)</f>
        <v>Luminaria 75w</v>
      </c>
      <c r="D219">
        <v>1</v>
      </c>
      <c r="E219" t="s">
        <v>42</v>
      </c>
      <c r="F219" t="s">
        <v>62</v>
      </c>
      <c r="G219" s="1">
        <v>46200</v>
      </c>
      <c r="H219" t="s">
        <v>64</v>
      </c>
      <c r="I219" s="2" t="s">
        <v>147</v>
      </c>
      <c r="J219" t="s">
        <v>166</v>
      </c>
      <c r="K219">
        <v>9961</v>
      </c>
      <c r="L219" t="s">
        <v>165</v>
      </c>
      <c r="M219">
        <v>6532225</v>
      </c>
      <c r="N219">
        <v>23</v>
      </c>
    </row>
    <row r="220" spans="2:14" hidden="1" x14ac:dyDescent="0.25">
      <c r="B220" t="s">
        <v>47</v>
      </c>
      <c r="C220" t="str">
        <f>_xlfn.XLOOKUP(B220,Tabla2[CODIGO],Tabla2[MATERIAL],"N/A",0)</f>
        <v>Luminaria 75w</v>
      </c>
      <c r="D220">
        <v>1</v>
      </c>
      <c r="E220" t="s">
        <v>42</v>
      </c>
      <c r="F220" t="s">
        <v>62</v>
      </c>
      <c r="G220" s="1">
        <v>46200</v>
      </c>
      <c r="H220" t="s">
        <v>64</v>
      </c>
      <c r="I220" s="2" t="s">
        <v>161</v>
      </c>
      <c r="J220" t="s">
        <v>166</v>
      </c>
      <c r="K220">
        <v>9961</v>
      </c>
      <c r="L220" t="s">
        <v>165</v>
      </c>
      <c r="M220">
        <v>1588320</v>
      </c>
      <c r="N220">
        <v>24</v>
      </c>
    </row>
    <row r="221" spans="2:14" hidden="1" x14ac:dyDescent="0.25">
      <c r="B221" t="s">
        <v>47</v>
      </c>
      <c r="C221" t="str">
        <f>_xlfn.XLOOKUP(B221,Tabla2[CODIGO],Tabla2[MATERIAL],"N/A",0)</f>
        <v>Luminaria 75w</v>
      </c>
      <c r="D221">
        <v>1</v>
      </c>
      <c r="E221" t="s">
        <v>42</v>
      </c>
      <c r="F221" t="s">
        <v>62</v>
      </c>
      <c r="G221" s="1">
        <v>46200</v>
      </c>
      <c r="H221" t="s">
        <v>64</v>
      </c>
      <c r="I221" s="2" t="s">
        <v>151</v>
      </c>
      <c r="J221" t="s">
        <v>166</v>
      </c>
      <c r="K221">
        <v>9961</v>
      </c>
      <c r="L221" t="s">
        <v>165</v>
      </c>
      <c r="M221">
        <v>1588371</v>
      </c>
      <c r="N221">
        <v>25</v>
      </c>
    </row>
    <row r="222" spans="2:14" hidden="1" x14ac:dyDescent="0.25">
      <c r="B222" t="s">
        <v>47</v>
      </c>
      <c r="C222" t="str">
        <f>_xlfn.XLOOKUP(B222,Tabla2[CODIGO],Tabla2[MATERIAL],"N/A",0)</f>
        <v>Luminaria 75w</v>
      </c>
      <c r="D222">
        <v>1</v>
      </c>
      <c r="E222" t="s">
        <v>42</v>
      </c>
      <c r="F222" t="s">
        <v>62</v>
      </c>
      <c r="G222" s="1">
        <v>46200</v>
      </c>
      <c r="H222" t="s">
        <v>64</v>
      </c>
      <c r="I222" s="2" t="s">
        <v>150</v>
      </c>
      <c r="J222" t="s">
        <v>166</v>
      </c>
      <c r="K222">
        <v>9961</v>
      </c>
      <c r="L222" t="s">
        <v>165</v>
      </c>
      <c r="M222">
        <v>1588419</v>
      </c>
      <c r="N222">
        <v>26</v>
      </c>
    </row>
    <row r="223" spans="2:14" hidden="1" x14ac:dyDescent="0.25">
      <c r="B223" t="s">
        <v>292</v>
      </c>
      <c r="C223" t="str">
        <f>_xlfn.XLOOKUP(B223,Tabla2[CODIGO],Tabla2[MATERIAL],"N/A",0)</f>
        <v>proyector 90w</v>
      </c>
      <c r="D223">
        <v>1</v>
      </c>
      <c r="E223" t="s">
        <v>42</v>
      </c>
      <c r="F223" t="s">
        <v>62</v>
      </c>
      <c r="G223" s="1">
        <v>46200</v>
      </c>
      <c r="H223" t="s">
        <v>64</v>
      </c>
      <c r="I223" s="2" t="s">
        <v>293</v>
      </c>
      <c r="J223" t="s">
        <v>166</v>
      </c>
      <c r="K223">
        <v>9961</v>
      </c>
      <c r="L223" t="s">
        <v>165</v>
      </c>
      <c r="M223">
        <v>2173239</v>
      </c>
      <c r="N223">
        <v>9</v>
      </c>
    </row>
    <row r="224" spans="2:14" hidden="1" x14ac:dyDescent="0.25">
      <c r="B224" t="s">
        <v>292</v>
      </c>
      <c r="C224" t="str">
        <f>_xlfn.XLOOKUP(B224,Tabla2[CODIGO],Tabla2[MATERIAL],"N/A",0)</f>
        <v>proyector 90w</v>
      </c>
      <c r="D224">
        <v>1</v>
      </c>
      <c r="E224" t="s">
        <v>42</v>
      </c>
      <c r="F224" t="s">
        <v>62</v>
      </c>
      <c r="G224" s="1">
        <v>46200</v>
      </c>
      <c r="H224" t="s">
        <v>64</v>
      </c>
      <c r="I224" s="2" t="s">
        <v>294</v>
      </c>
      <c r="J224" t="s">
        <v>166</v>
      </c>
      <c r="K224">
        <v>9961</v>
      </c>
      <c r="L224" t="s">
        <v>165</v>
      </c>
      <c r="M224">
        <v>2173239</v>
      </c>
      <c r="N224">
        <v>10</v>
      </c>
    </row>
    <row r="225" spans="2:14" hidden="1" x14ac:dyDescent="0.25">
      <c r="B225" t="s">
        <v>292</v>
      </c>
      <c r="C225" t="str">
        <f>_xlfn.XLOOKUP(B225,Tabla2[CODIGO],Tabla2[MATERIAL],"N/A",0)</f>
        <v>proyector 90w</v>
      </c>
      <c r="D225">
        <v>1</v>
      </c>
      <c r="E225" t="s">
        <v>42</v>
      </c>
      <c r="F225" t="s">
        <v>62</v>
      </c>
      <c r="G225" s="1">
        <v>46200</v>
      </c>
      <c r="H225" t="s">
        <v>64</v>
      </c>
      <c r="I225" s="2" t="s">
        <v>295</v>
      </c>
      <c r="J225" t="s">
        <v>166</v>
      </c>
      <c r="K225">
        <v>9961</v>
      </c>
      <c r="L225" t="s">
        <v>165</v>
      </c>
      <c r="M225">
        <v>2173239</v>
      </c>
      <c r="N225">
        <v>11</v>
      </c>
    </row>
    <row r="226" spans="2:14" hidden="1" x14ac:dyDescent="0.25">
      <c r="B226" t="s">
        <v>292</v>
      </c>
      <c r="C226" t="str">
        <f>_xlfn.XLOOKUP(B226,Tabla2[CODIGO],Tabla2[MATERIAL],"N/A",0)</f>
        <v>proyector 90w</v>
      </c>
      <c r="D226">
        <v>1</v>
      </c>
      <c r="E226" t="s">
        <v>42</v>
      </c>
      <c r="F226" t="s">
        <v>62</v>
      </c>
      <c r="G226" s="1">
        <v>46200</v>
      </c>
      <c r="H226" t="s">
        <v>64</v>
      </c>
      <c r="I226" s="2" t="s">
        <v>296</v>
      </c>
      <c r="J226" t="s">
        <v>166</v>
      </c>
      <c r="K226">
        <v>9961</v>
      </c>
      <c r="L226" t="s">
        <v>165</v>
      </c>
      <c r="M226">
        <v>2173221</v>
      </c>
      <c r="N226">
        <v>14</v>
      </c>
    </row>
    <row r="227" spans="2:14" hidden="1" x14ac:dyDescent="0.25">
      <c r="B227" t="s">
        <v>292</v>
      </c>
      <c r="C227" t="str">
        <f>_xlfn.XLOOKUP(B227,Tabla2[CODIGO],Tabla2[MATERIAL],"N/A",0)</f>
        <v>proyector 90w</v>
      </c>
      <c r="D227">
        <v>1</v>
      </c>
      <c r="E227" t="s">
        <v>42</v>
      </c>
      <c r="F227" t="s">
        <v>62</v>
      </c>
      <c r="G227" s="1">
        <v>46200</v>
      </c>
      <c r="H227" t="s">
        <v>64</v>
      </c>
      <c r="I227" s="2" t="s">
        <v>297</v>
      </c>
      <c r="J227" t="s">
        <v>166</v>
      </c>
      <c r="K227">
        <v>9961</v>
      </c>
      <c r="L227" t="s">
        <v>165</v>
      </c>
      <c r="M227">
        <v>2173221</v>
      </c>
      <c r="N227">
        <v>15</v>
      </c>
    </row>
    <row r="228" spans="2:14" hidden="1" x14ac:dyDescent="0.25">
      <c r="B228" t="s">
        <v>292</v>
      </c>
      <c r="C228" t="str">
        <f>_xlfn.XLOOKUP(B228,Tabla2[CODIGO],Tabla2[MATERIAL],"N/A",0)</f>
        <v>proyector 90w</v>
      </c>
      <c r="D228">
        <v>1</v>
      </c>
      <c r="E228" t="s">
        <v>42</v>
      </c>
      <c r="F228" t="s">
        <v>62</v>
      </c>
      <c r="G228" s="1">
        <v>46200</v>
      </c>
      <c r="H228" t="s">
        <v>64</v>
      </c>
      <c r="I228" s="2" t="s">
        <v>298</v>
      </c>
      <c r="J228" t="s">
        <v>166</v>
      </c>
      <c r="K228">
        <v>9961</v>
      </c>
      <c r="L228" t="s">
        <v>165</v>
      </c>
      <c r="M228">
        <v>2173221</v>
      </c>
      <c r="N228">
        <v>16</v>
      </c>
    </row>
    <row r="229" spans="2:14" hidden="1" x14ac:dyDescent="0.25">
      <c r="B229" t="s">
        <v>221</v>
      </c>
      <c r="C229" t="str">
        <f>_xlfn.XLOOKUP(B229,Tabla2[CODIGO],Tabla2[MATERIAL],"N/A",0)</f>
        <v>Grillete galvanizado 1,1/2</v>
      </c>
      <c r="D229">
        <v>2</v>
      </c>
      <c r="E229" t="s">
        <v>42</v>
      </c>
      <c r="F229" t="s">
        <v>62</v>
      </c>
      <c r="G229" s="1">
        <v>46200</v>
      </c>
      <c r="I229" s="2"/>
      <c r="J229" t="s">
        <v>166</v>
      </c>
      <c r="K229">
        <v>9961</v>
      </c>
      <c r="L229" t="s">
        <v>165</v>
      </c>
      <c r="M229">
        <v>2258897</v>
      </c>
      <c r="N229">
        <v>3</v>
      </c>
    </row>
    <row r="230" spans="2:14" hidden="1" x14ac:dyDescent="0.25">
      <c r="B230" t="s">
        <v>221</v>
      </c>
      <c r="C230" t="str">
        <f>_xlfn.XLOOKUP(B230,Tabla2[CODIGO],Tabla2[MATERIAL],"N/A",0)</f>
        <v>Grillete galvanizado 1,1/2</v>
      </c>
      <c r="D230">
        <v>2</v>
      </c>
      <c r="E230" t="s">
        <v>42</v>
      </c>
      <c r="F230" t="s">
        <v>62</v>
      </c>
      <c r="G230" s="1">
        <v>46200</v>
      </c>
      <c r="I230" s="2"/>
      <c r="J230" t="s">
        <v>166</v>
      </c>
      <c r="K230">
        <v>9961</v>
      </c>
      <c r="L230" t="s">
        <v>165</v>
      </c>
      <c r="M230">
        <v>2258897</v>
      </c>
      <c r="N230">
        <v>4</v>
      </c>
    </row>
    <row r="231" spans="2:14" hidden="1" x14ac:dyDescent="0.25">
      <c r="B231" t="s">
        <v>221</v>
      </c>
      <c r="C231" t="str">
        <f>_xlfn.XLOOKUP(B231,Tabla2[CODIGO],Tabla2[MATERIAL],"N/A",0)</f>
        <v>Grillete galvanizado 1,1/2</v>
      </c>
      <c r="D231">
        <v>2</v>
      </c>
      <c r="E231" t="s">
        <v>42</v>
      </c>
      <c r="F231" t="s">
        <v>62</v>
      </c>
      <c r="G231" s="1">
        <v>46200</v>
      </c>
      <c r="I231" s="2"/>
      <c r="J231" t="s">
        <v>166</v>
      </c>
      <c r="K231">
        <v>9961</v>
      </c>
      <c r="L231" t="s">
        <v>165</v>
      </c>
      <c r="M231">
        <v>6532281</v>
      </c>
      <c r="N231">
        <v>17</v>
      </c>
    </row>
    <row r="232" spans="2:14" hidden="1" x14ac:dyDescent="0.25">
      <c r="B232" t="s">
        <v>221</v>
      </c>
      <c r="C232" t="str">
        <f>_xlfn.XLOOKUP(B232,Tabla2[CODIGO],Tabla2[MATERIAL],"N/A",0)</f>
        <v>Grillete galvanizado 1,1/2</v>
      </c>
      <c r="D232">
        <v>2</v>
      </c>
      <c r="E232" t="s">
        <v>42</v>
      </c>
      <c r="F232" t="s">
        <v>62</v>
      </c>
      <c r="G232" s="1">
        <v>46200</v>
      </c>
      <c r="I232" s="2"/>
      <c r="J232" t="s">
        <v>166</v>
      </c>
      <c r="K232">
        <v>9961</v>
      </c>
      <c r="L232" t="s">
        <v>165</v>
      </c>
      <c r="M232">
        <v>6532281</v>
      </c>
      <c r="N232">
        <v>18</v>
      </c>
    </row>
    <row r="233" spans="2:14" hidden="1" x14ac:dyDescent="0.25">
      <c r="B233" t="s">
        <v>221</v>
      </c>
      <c r="C233" t="str">
        <f>_xlfn.XLOOKUP(B233,Tabla2[CODIGO],Tabla2[MATERIAL],"N/A",0)</f>
        <v>Grillete galvanizado 1,1/2</v>
      </c>
      <c r="D233">
        <v>2</v>
      </c>
      <c r="E233" t="s">
        <v>42</v>
      </c>
      <c r="F233" t="s">
        <v>62</v>
      </c>
      <c r="G233" s="1">
        <v>46200</v>
      </c>
      <c r="I233" s="2"/>
      <c r="J233" t="s">
        <v>166</v>
      </c>
      <c r="K233">
        <v>9961</v>
      </c>
      <c r="L233" t="s">
        <v>165</v>
      </c>
      <c r="M233">
        <v>6522233</v>
      </c>
      <c r="N233">
        <v>19</v>
      </c>
    </row>
    <row r="234" spans="2:14" hidden="1" x14ac:dyDescent="0.25">
      <c r="B234" t="s">
        <v>221</v>
      </c>
      <c r="C234" t="str">
        <f>_xlfn.XLOOKUP(B234,Tabla2[CODIGO],Tabla2[MATERIAL],"N/A",0)</f>
        <v>Grillete galvanizado 1,1/2</v>
      </c>
      <c r="D234">
        <v>2</v>
      </c>
      <c r="E234" t="s">
        <v>42</v>
      </c>
      <c r="F234" t="s">
        <v>62</v>
      </c>
      <c r="G234" s="1">
        <v>46200</v>
      </c>
      <c r="I234" s="2"/>
      <c r="J234" t="s">
        <v>166</v>
      </c>
      <c r="K234">
        <v>9961</v>
      </c>
      <c r="L234" t="s">
        <v>165</v>
      </c>
      <c r="M234">
        <v>6522233</v>
      </c>
      <c r="N234">
        <v>20</v>
      </c>
    </row>
    <row r="235" spans="2:14" hidden="1" x14ac:dyDescent="0.25">
      <c r="B235" t="s">
        <v>221</v>
      </c>
      <c r="C235" t="str">
        <f>_xlfn.XLOOKUP(B235,Tabla2[CODIGO],Tabla2[MATERIAL],"N/A",0)</f>
        <v>Grillete galvanizado 1,1/2</v>
      </c>
      <c r="D235">
        <v>2</v>
      </c>
      <c r="E235" t="s">
        <v>42</v>
      </c>
      <c r="F235" t="s">
        <v>62</v>
      </c>
      <c r="G235" s="1">
        <v>46200</v>
      </c>
      <c r="I235" s="2"/>
      <c r="J235" t="s">
        <v>166</v>
      </c>
      <c r="K235">
        <v>9961</v>
      </c>
      <c r="L235" t="s">
        <v>165</v>
      </c>
      <c r="M235">
        <v>6532225</v>
      </c>
      <c r="N235">
        <v>23</v>
      </c>
    </row>
    <row r="236" spans="2:14" hidden="1" x14ac:dyDescent="0.25">
      <c r="B236" t="s">
        <v>223</v>
      </c>
      <c r="C236" t="str">
        <f>_xlfn.XLOOKUP(B236,Tabla2[CODIGO],Tabla2[MATERIAL],"N/A",0)</f>
        <v>Conector resorte 18-8</v>
      </c>
      <c r="D236">
        <v>3</v>
      </c>
      <c r="E236" t="s">
        <v>42</v>
      </c>
      <c r="F236" t="s">
        <v>62</v>
      </c>
      <c r="G236" s="1">
        <v>46200</v>
      </c>
      <c r="I236" s="2"/>
      <c r="J236" t="s">
        <v>166</v>
      </c>
      <c r="K236">
        <v>9961</v>
      </c>
      <c r="L236" t="s">
        <v>165</v>
      </c>
      <c r="M236">
        <v>6532306</v>
      </c>
      <c r="N236">
        <v>7</v>
      </c>
    </row>
    <row r="237" spans="2:14" hidden="1" x14ac:dyDescent="0.25">
      <c r="B237" t="s">
        <v>223</v>
      </c>
      <c r="C237" t="str">
        <f>_xlfn.XLOOKUP(B237,Tabla2[CODIGO],Tabla2[MATERIAL],"N/A",0)</f>
        <v>Conector resorte 18-8</v>
      </c>
      <c r="D237">
        <v>3</v>
      </c>
      <c r="E237" t="s">
        <v>42</v>
      </c>
      <c r="F237" t="s">
        <v>62</v>
      </c>
      <c r="G237" s="1">
        <v>46200</v>
      </c>
      <c r="I237" s="2"/>
      <c r="J237" t="s">
        <v>166</v>
      </c>
      <c r="K237">
        <v>9961</v>
      </c>
      <c r="L237" t="s">
        <v>165</v>
      </c>
      <c r="M237">
        <v>2173239</v>
      </c>
      <c r="N237">
        <v>9</v>
      </c>
    </row>
    <row r="238" spans="2:14" hidden="1" x14ac:dyDescent="0.25">
      <c r="B238" t="s">
        <v>224</v>
      </c>
      <c r="C238" t="str">
        <f>_xlfn.XLOOKUP(B238,Tabla2[CODIGO],Tabla2[MATERIAL],"N/A",0)</f>
        <v>Empalme gel ppal 8-4/0 a der 14-2/0 awg (grande)</v>
      </c>
      <c r="D238">
        <v>2</v>
      </c>
      <c r="E238" t="s">
        <v>42</v>
      </c>
      <c r="F238" t="s">
        <v>62</v>
      </c>
      <c r="G238" s="1">
        <v>46200</v>
      </c>
      <c r="I238" s="2"/>
      <c r="J238" t="s">
        <v>166</v>
      </c>
      <c r="K238">
        <v>9961</v>
      </c>
      <c r="L238" t="s">
        <v>165</v>
      </c>
      <c r="M238">
        <v>6532306</v>
      </c>
      <c r="N238">
        <v>7</v>
      </c>
    </row>
    <row r="239" spans="2:14" hidden="1" x14ac:dyDescent="0.25">
      <c r="B239" t="s">
        <v>224</v>
      </c>
      <c r="C239" t="str">
        <f>_xlfn.XLOOKUP(B239,Tabla2[CODIGO],Tabla2[MATERIAL],"N/A",0)</f>
        <v>Empalme gel ppal 8-4/0 a der 14-2/0 awg (grande)</v>
      </c>
      <c r="D239">
        <v>2</v>
      </c>
      <c r="E239" t="s">
        <v>42</v>
      </c>
      <c r="F239" t="s">
        <v>62</v>
      </c>
      <c r="G239" s="1">
        <v>46200</v>
      </c>
      <c r="I239" s="2"/>
      <c r="J239" t="s">
        <v>166</v>
      </c>
      <c r="K239">
        <v>9961</v>
      </c>
      <c r="L239" t="s">
        <v>165</v>
      </c>
      <c r="M239">
        <v>2173239</v>
      </c>
      <c r="N239">
        <v>9</v>
      </c>
    </row>
    <row r="240" spans="2:14" hidden="1" x14ac:dyDescent="0.25">
      <c r="B240" t="s">
        <v>222</v>
      </c>
      <c r="C240" t="str">
        <f>_xlfn.XLOOKUP(B240,Tabla2[CODIGO],Tabla2[MATERIAL],"N/A",0)</f>
        <v>Conector de Perforacion ais kz-ep (EP95) pequeño</v>
      </c>
      <c r="D240">
        <v>6</v>
      </c>
      <c r="E240" t="s">
        <v>42</v>
      </c>
      <c r="F240" t="s">
        <v>62</v>
      </c>
      <c r="G240" s="1">
        <v>46200</v>
      </c>
      <c r="I240" s="2"/>
      <c r="J240" t="s">
        <v>166</v>
      </c>
      <c r="K240">
        <v>9961</v>
      </c>
      <c r="L240" t="s">
        <v>165</v>
      </c>
      <c r="M240">
        <v>2258935</v>
      </c>
      <c r="N240">
        <v>21</v>
      </c>
    </row>
    <row r="241" spans="2:14" hidden="1" x14ac:dyDescent="0.25">
      <c r="B241" t="s">
        <v>222</v>
      </c>
      <c r="C241" t="str">
        <f>_xlfn.XLOOKUP(B241,Tabla2[CODIGO],Tabla2[MATERIAL],"N/A",0)</f>
        <v>Conector de Perforacion ais kz-ep (EP95) pequeño</v>
      </c>
      <c r="D241">
        <v>3</v>
      </c>
      <c r="E241" t="s">
        <v>42</v>
      </c>
      <c r="F241" t="s">
        <v>62</v>
      </c>
      <c r="G241" s="1">
        <v>46200</v>
      </c>
      <c r="I241" s="2"/>
      <c r="J241" t="s">
        <v>166</v>
      </c>
      <c r="K241">
        <v>9961</v>
      </c>
      <c r="L241" t="s">
        <v>165</v>
      </c>
      <c r="M241">
        <v>1588320</v>
      </c>
      <c r="N241">
        <v>24</v>
      </c>
    </row>
    <row r="242" spans="2:14" hidden="1" x14ac:dyDescent="0.25">
      <c r="B242" t="s">
        <v>222</v>
      </c>
      <c r="C242" t="str">
        <f>_xlfn.XLOOKUP(B242,Tabla2[CODIGO],Tabla2[MATERIAL],"N/A",0)</f>
        <v>Conector de Perforacion ais kz-ep (EP95) pequeño</v>
      </c>
      <c r="D242">
        <v>3</v>
      </c>
      <c r="E242" t="s">
        <v>42</v>
      </c>
      <c r="F242" t="s">
        <v>62</v>
      </c>
      <c r="G242" s="1">
        <v>46200</v>
      </c>
      <c r="I242" s="2"/>
      <c r="J242" t="s">
        <v>166</v>
      </c>
      <c r="K242">
        <v>9961</v>
      </c>
      <c r="L242" t="s">
        <v>165</v>
      </c>
      <c r="M242">
        <v>1588371</v>
      </c>
      <c r="N242">
        <v>25</v>
      </c>
    </row>
    <row r="243" spans="2:14" hidden="1" x14ac:dyDescent="0.25">
      <c r="B243" t="s">
        <v>222</v>
      </c>
      <c r="C243" t="str">
        <f>_xlfn.XLOOKUP(B243,Tabla2[CODIGO],Tabla2[MATERIAL],"N/A",0)</f>
        <v>Conector de Perforacion ais kz-ep (EP95) pequeño</v>
      </c>
      <c r="D243">
        <v>6</v>
      </c>
      <c r="E243" t="s">
        <v>42</v>
      </c>
      <c r="F243" t="s">
        <v>62</v>
      </c>
      <c r="G243" s="1">
        <v>46200</v>
      </c>
      <c r="I243" s="2"/>
      <c r="J243" t="s">
        <v>166</v>
      </c>
      <c r="K243">
        <v>9961</v>
      </c>
      <c r="L243" t="s">
        <v>165</v>
      </c>
      <c r="M243">
        <v>1588419</v>
      </c>
      <c r="N243">
        <v>26</v>
      </c>
    </row>
    <row r="244" spans="2:14" hidden="1" x14ac:dyDescent="0.25">
      <c r="B244" t="s">
        <v>222</v>
      </c>
      <c r="C244" t="str">
        <f>_xlfn.XLOOKUP(B244,Tabla2[CODIGO],Tabla2[MATERIAL],"N/A",0)</f>
        <v>Conector de Perforacion ais kz-ep (EP95) pequeño</v>
      </c>
      <c r="D244">
        <v>3</v>
      </c>
      <c r="E244" t="s">
        <v>42</v>
      </c>
      <c r="F244" t="s">
        <v>62</v>
      </c>
      <c r="G244" s="1">
        <v>46200</v>
      </c>
      <c r="I244" s="2"/>
      <c r="J244" t="s">
        <v>166</v>
      </c>
      <c r="K244">
        <v>9961</v>
      </c>
      <c r="L244" t="s">
        <v>165</v>
      </c>
      <c r="M244">
        <v>1588281</v>
      </c>
      <c r="N244">
        <v>27</v>
      </c>
    </row>
    <row r="245" spans="2:14" hidden="1" x14ac:dyDescent="0.25">
      <c r="B245" t="s">
        <v>225</v>
      </c>
      <c r="C245" t="str">
        <f>_xlfn.XLOOKUP(B245,Tabla2[CODIGO],Tabla2[MATERIAL],"N/A",0)</f>
        <v>Abrazadera una salida 6"</v>
      </c>
      <c r="D245">
        <v>1</v>
      </c>
      <c r="E245" t="s">
        <v>42</v>
      </c>
      <c r="F245" t="s">
        <v>62</v>
      </c>
      <c r="G245" s="1">
        <v>46200</v>
      </c>
      <c r="I245" s="2"/>
      <c r="J245" t="s">
        <v>166</v>
      </c>
      <c r="K245">
        <v>9961</v>
      </c>
      <c r="L245" t="s">
        <v>165</v>
      </c>
      <c r="M245">
        <v>2258897</v>
      </c>
      <c r="N245">
        <v>3</v>
      </c>
    </row>
    <row r="246" spans="2:14" hidden="1" x14ac:dyDescent="0.25">
      <c r="B246" t="s">
        <v>225</v>
      </c>
      <c r="C246" t="str">
        <f>_xlfn.XLOOKUP(B246,Tabla2[CODIGO],Tabla2[MATERIAL],"N/A",0)</f>
        <v>Abrazadera una salida 6"</v>
      </c>
      <c r="D246">
        <v>1</v>
      </c>
      <c r="E246" t="s">
        <v>42</v>
      </c>
      <c r="F246" t="s">
        <v>62</v>
      </c>
      <c r="G246" s="1">
        <v>46200</v>
      </c>
      <c r="I246" s="2"/>
      <c r="J246" t="s">
        <v>166</v>
      </c>
      <c r="K246">
        <v>9961</v>
      </c>
      <c r="L246" t="s">
        <v>165</v>
      </c>
      <c r="M246">
        <v>2258897</v>
      </c>
      <c r="N246">
        <v>4</v>
      </c>
    </row>
    <row r="247" spans="2:14" hidden="1" x14ac:dyDescent="0.25">
      <c r="B247" t="s">
        <v>225</v>
      </c>
      <c r="C247" t="str">
        <f>_xlfn.XLOOKUP(B247,Tabla2[CODIGO],Tabla2[MATERIAL],"N/A",0)</f>
        <v>Abrazadera una salida 6"</v>
      </c>
      <c r="D247">
        <v>1</v>
      </c>
      <c r="E247" t="s">
        <v>42</v>
      </c>
      <c r="F247" t="s">
        <v>62</v>
      </c>
      <c r="G247" s="1">
        <v>46200</v>
      </c>
      <c r="I247" s="2"/>
      <c r="J247" t="s">
        <v>166</v>
      </c>
      <c r="K247">
        <v>9961</v>
      </c>
      <c r="L247" t="s">
        <v>165</v>
      </c>
      <c r="M247">
        <v>6532281</v>
      </c>
      <c r="N247">
        <v>17</v>
      </c>
    </row>
    <row r="248" spans="2:14" hidden="1" x14ac:dyDescent="0.25">
      <c r="B248" t="s">
        <v>225</v>
      </c>
      <c r="C248" t="str">
        <f>_xlfn.XLOOKUP(B248,Tabla2[CODIGO],Tabla2[MATERIAL],"N/A",0)</f>
        <v>Abrazadera una salida 6"</v>
      </c>
      <c r="D248">
        <v>1</v>
      </c>
      <c r="E248" t="s">
        <v>42</v>
      </c>
      <c r="F248" t="s">
        <v>62</v>
      </c>
      <c r="G248" s="1">
        <v>46200</v>
      </c>
      <c r="I248" s="2"/>
      <c r="J248" t="s">
        <v>166</v>
      </c>
      <c r="K248">
        <v>9961</v>
      </c>
      <c r="L248" t="s">
        <v>165</v>
      </c>
      <c r="M248">
        <v>6532281</v>
      </c>
      <c r="N248">
        <v>18</v>
      </c>
    </row>
    <row r="249" spans="2:14" hidden="1" x14ac:dyDescent="0.25">
      <c r="B249" t="s">
        <v>225</v>
      </c>
      <c r="C249" t="str">
        <f>_xlfn.XLOOKUP(B249,Tabla2[CODIGO],Tabla2[MATERIAL],"N/A",0)</f>
        <v>Abrazadera una salida 6"</v>
      </c>
      <c r="D249">
        <v>1</v>
      </c>
      <c r="E249" t="s">
        <v>42</v>
      </c>
      <c r="F249" t="s">
        <v>62</v>
      </c>
      <c r="G249" s="1">
        <v>46200</v>
      </c>
      <c r="I249" s="2"/>
      <c r="J249" t="s">
        <v>166</v>
      </c>
      <c r="K249">
        <v>9961</v>
      </c>
      <c r="L249" t="s">
        <v>165</v>
      </c>
      <c r="M249">
        <v>6522233</v>
      </c>
      <c r="N249">
        <v>19</v>
      </c>
    </row>
    <row r="250" spans="2:14" hidden="1" x14ac:dyDescent="0.25">
      <c r="B250" t="s">
        <v>225</v>
      </c>
      <c r="C250" t="str">
        <f>_xlfn.XLOOKUP(B250,Tabla2[CODIGO],Tabla2[MATERIAL],"N/A",0)</f>
        <v>Abrazadera una salida 6"</v>
      </c>
      <c r="D250">
        <v>1</v>
      </c>
      <c r="E250" t="s">
        <v>42</v>
      </c>
      <c r="F250" t="s">
        <v>62</v>
      </c>
      <c r="G250" s="1">
        <v>46200</v>
      </c>
      <c r="I250" s="2"/>
      <c r="J250" t="s">
        <v>166</v>
      </c>
      <c r="K250">
        <v>9961</v>
      </c>
      <c r="L250" t="s">
        <v>165</v>
      </c>
      <c r="M250">
        <v>6522233</v>
      </c>
      <c r="N250">
        <v>20</v>
      </c>
    </row>
    <row r="251" spans="2:14" hidden="1" x14ac:dyDescent="0.25">
      <c r="B251" t="s">
        <v>225</v>
      </c>
      <c r="C251" t="str">
        <f>_xlfn.XLOOKUP(B251,Tabla2[CODIGO],Tabla2[MATERIAL],"N/A",0)</f>
        <v>Abrazadera una salida 6"</v>
      </c>
      <c r="D251">
        <v>1</v>
      </c>
      <c r="E251" t="s">
        <v>42</v>
      </c>
      <c r="F251" t="s">
        <v>62</v>
      </c>
      <c r="G251" s="1">
        <v>46200</v>
      </c>
      <c r="I251" s="2"/>
      <c r="J251" t="s">
        <v>166</v>
      </c>
      <c r="K251">
        <v>9961</v>
      </c>
      <c r="L251" t="s">
        <v>165</v>
      </c>
      <c r="M251">
        <v>2258935</v>
      </c>
      <c r="N251">
        <v>21</v>
      </c>
    </row>
    <row r="252" spans="2:14" hidden="1" x14ac:dyDescent="0.25">
      <c r="B252" t="s">
        <v>225</v>
      </c>
      <c r="C252" t="str">
        <f>_xlfn.XLOOKUP(B252,Tabla2[CODIGO],Tabla2[MATERIAL],"N/A",0)</f>
        <v>Abrazadera una salida 6"</v>
      </c>
      <c r="D252">
        <v>1</v>
      </c>
      <c r="E252" t="s">
        <v>42</v>
      </c>
      <c r="F252" t="s">
        <v>62</v>
      </c>
      <c r="G252" s="1">
        <v>46200</v>
      </c>
      <c r="I252" s="2"/>
      <c r="J252" t="s">
        <v>166</v>
      </c>
      <c r="K252">
        <v>9961</v>
      </c>
      <c r="L252" t="s">
        <v>165</v>
      </c>
      <c r="M252">
        <v>1588320</v>
      </c>
      <c r="N252">
        <v>24</v>
      </c>
    </row>
    <row r="253" spans="2:14" hidden="1" x14ac:dyDescent="0.25">
      <c r="B253" t="s">
        <v>225</v>
      </c>
      <c r="C253" t="str">
        <f>_xlfn.XLOOKUP(B253,Tabla2[CODIGO],Tabla2[MATERIAL],"N/A",0)</f>
        <v>Abrazadera una salida 6"</v>
      </c>
      <c r="D253">
        <v>1</v>
      </c>
      <c r="E253" t="s">
        <v>42</v>
      </c>
      <c r="F253" t="s">
        <v>62</v>
      </c>
      <c r="G253" s="1">
        <v>46200</v>
      </c>
      <c r="I253" s="2"/>
      <c r="J253" t="s">
        <v>166</v>
      </c>
      <c r="K253">
        <v>9961</v>
      </c>
      <c r="L253" t="s">
        <v>165</v>
      </c>
      <c r="M253">
        <v>1588371</v>
      </c>
      <c r="N253">
        <v>25</v>
      </c>
    </row>
    <row r="254" spans="2:14" hidden="1" x14ac:dyDescent="0.25">
      <c r="B254" t="s">
        <v>225</v>
      </c>
      <c r="C254" t="str">
        <f>_xlfn.XLOOKUP(B254,Tabla2[CODIGO],Tabla2[MATERIAL],"N/A",0)</f>
        <v>Abrazadera una salida 6"</v>
      </c>
      <c r="D254">
        <v>2</v>
      </c>
      <c r="E254" t="s">
        <v>42</v>
      </c>
      <c r="F254" t="s">
        <v>62</v>
      </c>
      <c r="G254" s="1">
        <v>46200</v>
      </c>
      <c r="I254" s="2"/>
      <c r="J254" t="s">
        <v>166</v>
      </c>
      <c r="K254">
        <v>9961</v>
      </c>
      <c r="L254" t="s">
        <v>165</v>
      </c>
      <c r="M254">
        <v>1588419</v>
      </c>
      <c r="N254">
        <v>26</v>
      </c>
    </row>
    <row r="255" spans="2:14" hidden="1" x14ac:dyDescent="0.25">
      <c r="B255" t="s">
        <v>225</v>
      </c>
      <c r="C255" t="str">
        <f>_xlfn.XLOOKUP(B255,Tabla2[CODIGO],Tabla2[MATERIAL],"N/A",0)</f>
        <v>Abrazadera una salida 6"</v>
      </c>
      <c r="D255">
        <v>1</v>
      </c>
      <c r="E255" t="s">
        <v>42</v>
      </c>
      <c r="F255" t="s">
        <v>62</v>
      </c>
      <c r="G255" s="1">
        <v>46200</v>
      </c>
      <c r="I255" s="2"/>
      <c r="J255" t="s">
        <v>166</v>
      </c>
      <c r="K255">
        <v>9961</v>
      </c>
      <c r="L255" t="s">
        <v>165</v>
      </c>
      <c r="M255">
        <v>1588281</v>
      </c>
      <c r="N255">
        <v>27</v>
      </c>
    </row>
    <row r="256" spans="2:14" hidden="1" x14ac:dyDescent="0.25">
      <c r="B256" t="s">
        <v>137</v>
      </c>
      <c r="C256" t="str">
        <f>_xlfn.XLOOKUP(B256,Tabla2[CODIGO],Tabla2[MATERIAL],"N/A",0)</f>
        <v>Fotocelda</v>
      </c>
      <c r="D256">
        <v>1</v>
      </c>
      <c r="E256" t="s">
        <v>42</v>
      </c>
      <c r="F256" t="s">
        <v>62</v>
      </c>
      <c r="G256" s="1">
        <v>46200</v>
      </c>
      <c r="I256" s="2"/>
      <c r="J256" t="s">
        <v>166</v>
      </c>
      <c r="K256">
        <v>9961</v>
      </c>
      <c r="L256" t="s">
        <v>165</v>
      </c>
      <c r="M256">
        <v>2257815</v>
      </c>
      <c r="N256">
        <v>1</v>
      </c>
    </row>
    <row r="257" spans="2:14" hidden="1" x14ac:dyDescent="0.25">
      <c r="B257" t="s">
        <v>137</v>
      </c>
      <c r="C257" t="str">
        <f>_xlfn.XLOOKUP(B257,Tabla2[CODIGO],Tabla2[MATERIAL],"N/A",0)</f>
        <v>Fotocelda</v>
      </c>
      <c r="D257">
        <v>1</v>
      </c>
      <c r="E257" t="s">
        <v>42</v>
      </c>
      <c r="F257" t="s">
        <v>62</v>
      </c>
      <c r="G257" s="1">
        <v>46200</v>
      </c>
      <c r="I257" s="2"/>
      <c r="J257" t="s">
        <v>166</v>
      </c>
      <c r="K257">
        <v>9961</v>
      </c>
      <c r="L257" t="s">
        <v>165</v>
      </c>
      <c r="M257">
        <v>2257815</v>
      </c>
      <c r="N257">
        <v>2</v>
      </c>
    </row>
    <row r="258" spans="2:14" hidden="1" x14ac:dyDescent="0.25">
      <c r="B258" t="s">
        <v>137</v>
      </c>
      <c r="C258" t="str">
        <f>_xlfn.XLOOKUP(B258,Tabla2[CODIGO],Tabla2[MATERIAL],"N/A",0)</f>
        <v>Fotocelda</v>
      </c>
      <c r="D258">
        <v>1</v>
      </c>
      <c r="E258" t="s">
        <v>42</v>
      </c>
      <c r="F258" t="s">
        <v>62</v>
      </c>
      <c r="G258" s="1">
        <v>46200</v>
      </c>
      <c r="I258" s="2"/>
      <c r="J258" t="s">
        <v>166</v>
      </c>
      <c r="K258">
        <v>9961</v>
      </c>
      <c r="L258" t="s">
        <v>165</v>
      </c>
      <c r="M258">
        <v>2258897</v>
      </c>
      <c r="N258">
        <v>3</v>
      </c>
    </row>
    <row r="259" spans="2:14" hidden="1" x14ac:dyDescent="0.25">
      <c r="B259" t="s">
        <v>137</v>
      </c>
      <c r="C259" t="str">
        <f>_xlfn.XLOOKUP(B259,Tabla2[CODIGO],Tabla2[MATERIAL],"N/A",0)</f>
        <v>Fotocelda</v>
      </c>
      <c r="D259">
        <v>1</v>
      </c>
      <c r="E259" t="s">
        <v>42</v>
      </c>
      <c r="F259" t="s">
        <v>62</v>
      </c>
      <c r="G259" s="1">
        <v>46200</v>
      </c>
      <c r="I259" s="2"/>
      <c r="J259" t="s">
        <v>166</v>
      </c>
      <c r="K259">
        <v>9961</v>
      </c>
      <c r="L259" t="s">
        <v>165</v>
      </c>
      <c r="M259">
        <v>2258897</v>
      </c>
      <c r="N259">
        <v>4</v>
      </c>
    </row>
    <row r="260" spans="2:14" hidden="1" x14ac:dyDescent="0.25">
      <c r="B260" t="s">
        <v>137</v>
      </c>
      <c r="C260" t="str">
        <f>_xlfn.XLOOKUP(B260,Tabla2[CODIGO],Tabla2[MATERIAL],"N/A",0)</f>
        <v>Fotocelda</v>
      </c>
      <c r="D260">
        <v>1</v>
      </c>
      <c r="E260" t="s">
        <v>42</v>
      </c>
      <c r="F260" t="s">
        <v>62</v>
      </c>
      <c r="G260" s="1">
        <v>46200</v>
      </c>
      <c r="I260" s="2"/>
      <c r="J260" t="s">
        <v>166</v>
      </c>
      <c r="K260">
        <v>9961</v>
      </c>
      <c r="L260" t="s">
        <v>165</v>
      </c>
      <c r="M260">
        <v>6535241</v>
      </c>
      <c r="N260">
        <v>5</v>
      </c>
    </row>
    <row r="261" spans="2:14" hidden="1" x14ac:dyDescent="0.25">
      <c r="B261" t="s">
        <v>137</v>
      </c>
      <c r="C261" t="str">
        <f>_xlfn.XLOOKUP(B261,Tabla2[CODIGO],Tabla2[MATERIAL],"N/A",0)</f>
        <v>Fotocelda</v>
      </c>
      <c r="D261">
        <v>1</v>
      </c>
      <c r="E261" t="s">
        <v>42</v>
      </c>
      <c r="F261" t="s">
        <v>62</v>
      </c>
      <c r="G261" s="1">
        <v>46200</v>
      </c>
      <c r="I261" s="2"/>
      <c r="J261" t="s">
        <v>166</v>
      </c>
      <c r="K261">
        <v>9961</v>
      </c>
      <c r="L261" t="s">
        <v>165</v>
      </c>
      <c r="M261">
        <v>6535241</v>
      </c>
      <c r="N261">
        <v>6</v>
      </c>
    </row>
    <row r="262" spans="2:14" hidden="1" x14ac:dyDescent="0.25">
      <c r="B262" t="s">
        <v>137</v>
      </c>
      <c r="C262" t="str">
        <f>_xlfn.XLOOKUP(B262,Tabla2[CODIGO],Tabla2[MATERIAL],"N/A",0)</f>
        <v>Fotocelda</v>
      </c>
      <c r="D262">
        <v>1</v>
      </c>
      <c r="E262" t="s">
        <v>42</v>
      </c>
      <c r="F262" t="s">
        <v>62</v>
      </c>
      <c r="G262" s="1">
        <v>46200</v>
      </c>
      <c r="I262" s="2"/>
      <c r="J262" t="s">
        <v>166</v>
      </c>
      <c r="K262">
        <v>9961</v>
      </c>
      <c r="L262" t="s">
        <v>165</v>
      </c>
      <c r="M262">
        <v>6532306</v>
      </c>
      <c r="N262">
        <v>7</v>
      </c>
    </row>
    <row r="263" spans="2:14" hidden="1" x14ac:dyDescent="0.25">
      <c r="B263" t="s">
        <v>137</v>
      </c>
      <c r="C263" t="str">
        <f>_xlfn.XLOOKUP(B263,Tabla2[CODIGO],Tabla2[MATERIAL],"N/A",0)</f>
        <v>Fotocelda</v>
      </c>
      <c r="D263">
        <v>1</v>
      </c>
      <c r="E263" t="s">
        <v>42</v>
      </c>
      <c r="F263" t="s">
        <v>62</v>
      </c>
      <c r="G263" s="1">
        <v>46200</v>
      </c>
      <c r="I263" s="2"/>
      <c r="J263" t="s">
        <v>166</v>
      </c>
      <c r="K263">
        <v>9961</v>
      </c>
      <c r="L263" t="s">
        <v>165</v>
      </c>
      <c r="M263">
        <v>6532306</v>
      </c>
      <c r="N263">
        <v>8</v>
      </c>
    </row>
    <row r="264" spans="2:14" hidden="1" x14ac:dyDescent="0.25">
      <c r="B264" t="s">
        <v>137</v>
      </c>
      <c r="C264" t="str">
        <f>_xlfn.XLOOKUP(B264,Tabla2[CODIGO],Tabla2[MATERIAL],"N/A",0)</f>
        <v>Fotocelda</v>
      </c>
      <c r="D264">
        <v>1</v>
      </c>
      <c r="E264" t="s">
        <v>42</v>
      </c>
      <c r="F264" t="s">
        <v>62</v>
      </c>
      <c r="G264" s="1">
        <v>46200</v>
      </c>
      <c r="I264" s="2"/>
      <c r="J264" t="s">
        <v>166</v>
      </c>
      <c r="K264">
        <v>9961</v>
      </c>
      <c r="L264" t="s">
        <v>165</v>
      </c>
      <c r="M264">
        <v>2173239</v>
      </c>
      <c r="N264">
        <v>9</v>
      </c>
    </row>
    <row r="265" spans="2:14" hidden="1" x14ac:dyDescent="0.25">
      <c r="B265" t="s">
        <v>137</v>
      </c>
      <c r="C265" t="str">
        <f>_xlfn.XLOOKUP(B265,Tabla2[CODIGO],Tabla2[MATERIAL],"N/A",0)</f>
        <v>Fotocelda</v>
      </c>
      <c r="D265">
        <v>1</v>
      </c>
      <c r="E265" t="s">
        <v>42</v>
      </c>
      <c r="F265" t="s">
        <v>62</v>
      </c>
      <c r="G265" s="1">
        <v>46200</v>
      </c>
      <c r="I265" s="2"/>
      <c r="J265" t="s">
        <v>166</v>
      </c>
      <c r="K265">
        <v>9961</v>
      </c>
      <c r="L265" t="s">
        <v>165</v>
      </c>
      <c r="M265">
        <v>2173239</v>
      </c>
      <c r="N265">
        <v>10</v>
      </c>
    </row>
    <row r="266" spans="2:14" hidden="1" x14ac:dyDescent="0.25">
      <c r="B266" t="s">
        <v>137</v>
      </c>
      <c r="C266" t="str">
        <f>_xlfn.XLOOKUP(B266,Tabla2[CODIGO],Tabla2[MATERIAL],"N/A",0)</f>
        <v>Fotocelda</v>
      </c>
      <c r="D266">
        <v>1</v>
      </c>
      <c r="E266" t="s">
        <v>42</v>
      </c>
      <c r="F266" t="s">
        <v>62</v>
      </c>
      <c r="G266" s="1">
        <v>46200</v>
      </c>
      <c r="I266" s="2"/>
      <c r="J266" t="s">
        <v>166</v>
      </c>
      <c r="K266">
        <v>9961</v>
      </c>
      <c r="L266" t="s">
        <v>165</v>
      </c>
      <c r="M266">
        <v>2173239</v>
      </c>
      <c r="N266">
        <v>11</v>
      </c>
    </row>
    <row r="267" spans="2:14" hidden="1" x14ac:dyDescent="0.25">
      <c r="B267" t="s">
        <v>137</v>
      </c>
      <c r="C267" t="str">
        <f>_xlfn.XLOOKUP(B267,Tabla2[CODIGO],Tabla2[MATERIAL],"N/A",0)</f>
        <v>Fotocelda</v>
      </c>
      <c r="D267">
        <v>1</v>
      </c>
      <c r="E267" t="s">
        <v>42</v>
      </c>
      <c r="F267" t="s">
        <v>62</v>
      </c>
      <c r="G267" s="1">
        <v>46200</v>
      </c>
      <c r="I267" s="2"/>
      <c r="J267" t="s">
        <v>166</v>
      </c>
      <c r="K267">
        <v>9961</v>
      </c>
      <c r="L267" t="s">
        <v>165</v>
      </c>
      <c r="M267">
        <v>6532292</v>
      </c>
      <c r="N267">
        <v>12</v>
      </c>
    </row>
    <row r="268" spans="2:14" hidden="1" x14ac:dyDescent="0.25">
      <c r="B268" t="s">
        <v>137</v>
      </c>
      <c r="C268" t="str">
        <f>_xlfn.XLOOKUP(B268,Tabla2[CODIGO],Tabla2[MATERIAL],"N/A",0)</f>
        <v>Fotocelda</v>
      </c>
      <c r="D268">
        <v>1</v>
      </c>
      <c r="E268" t="s">
        <v>42</v>
      </c>
      <c r="F268" t="s">
        <v>62</v>
      </c>
      <c r="G268" s="1">
        <v>46200</v>
      </c>
      <c r="I268" s="2"/>
      <c r="J268" t="s">
        <v>166</v>
      </c>
      <c r="K268">
        <v>9961</v>
      </c>
      <c r="L268" t="s">
        <v>165</v>
      </c>
      <c r="M268">
        <v>2173221</v>
      </c>
      <c r="N268">
        <v>14</v>
      </c>
    </row>
    <row r="269" spans="2:14" hidden="1" x14ac:dyDescent="0.25">
      <c r="B269" t="s">
        <v>137</v>
      </c>
      <c r="C269" t="str">
        <f>_xlfn.XLOOKUP(B269,Tabla2[CODIGO],Tabla2[MATERIAL],"N/A",0)</f>
        <v>Fotocelda</v>
      </c>
      <c r="D269">
        <v>1</v>
      </c>
      <c r="E269" t="s">
        <v>42</v>
      </c>
      <c r="F269" t="s">
        <v>62</v>
      </c>
      <c r="G269" s="1">
        <v>46200</v>
      </c>
      <c r="I269" s="2"/>
      <c r="J269" t="s">
        <v>166</v>
      </c>
      <c r="K269">
        <v>9961</v>
      </c>
      <c r="L269" t="s">
        <v>165</v>
      </c>
      <c r="M269">
        <v>2173221</v>
      </c>
      <c r="N269">
        <v>15</v>
      </c>
    </row>
    <row r="270" spans="2:14" hidden="1" x14ac:dyDescent="0.25">
      <c r="B270" t="s">
        <v>137</v>
      </c>
      <c r="C270" t="str">
        <f>_xlfn.XLOOKUP(B270,Tabla2[CODIGO],Tabla2[MATERIAL],"N/A",0)</f>
        <v>Fotocelda</v>
      </c>
      <c r="D270">
        <v>1</v>
      </c>
      <c r="E270" t="s">
        <v>42</v>
      </c>
      <c r="F270" t="s">
        <v>62</v>
      </c>
      <c r="G270" s="1">
        <v>46200</v>
      </c>
      <c r="I270" s="2"/>
      <c r="J270" t="s">
        <v>166</v>
      </c>
      <c r="K270">
        <v>9961</v>
      </c>
      <c r="L270" t="s">
        <v>165</v>
      </c>
      <c r="M270">
        <v>2173221</v>
      </c>
      <c r="N270">
        <v>16</v>
      </c>
    </row>
    <row r="271" spans="2:14" hidden="1" x14ac:dyDescent="0.25">
      <c r="B271" t="s">
        <v>227</v>
      </c>
      <c r="C271" t="str">
        <f>_xlfn.XLOOKUP(B271,Tabla2[CODIGO],Tabla2[MATERIAL],"N/A",0)</f>
        <v>Cable TPX 2x4 1x4 awg</v>
      </c>
      <c r="D271">
        <v>116</v>
      </c>
      <c r="E271" t="s">
        <v>43</v>
      </c>
      <c r="F271" t="s">
        <v>62</v>
      </c>
      <c r="G271" s="1">
        <v>46200</v>
      </c>
      <c r="I271" s="2"/>
      <c r="J271" t="s">
        <v>166</v>
      </c>
      <c r="K271">
        <v>9961</v>
      </c>
      <c r="L271" t="s">
        <v>165</v>
      </c>
      <c r="M271">
        <v>1588320</v>
      </c>
      <c r="N271">
        <v>24</v>
      </c>
    </row>
    <row r="272" spans="2:14" hidden="1" x14ac:dyDescent="0.25">
      <c r="B272" t="s">
        <v>21</v>
      </c>
      <c r="C272" t="str">
        <f>_xlfn.XLOOKUP(B272,Tabla2[CODIGO],Tabla2[MATERIAL],"N/A",0)</f>
        <v>Cable Encauchetado 3x14 pvc</v>
      </c>
      <c r="D272">
        <v>12</v>
      </c>
      <c r="E272" t="s">
        <v>43</v>
      </c>
      <c r="F272" t="s">
        <v>62</v>
      </c>
      <c r="G272" s="1">
        <v>46200</v>
      </c>
      <c r="I272" s="2"/>
      <c r="J272" t="s">
        <v>166</v>
      </c>
      <c r="K272">
        <v>9961</v>
      </c>
      <c r="L272" t="s">
        <v>165</v>
      </c>
      <c r="M272">
        <v>6532306</v>
      </c>
      <c r="N272">
        <v>7</v>
      </c>
    </row>
    <row r="273" spans="2:15" hidden="1" x14ac:dyDescent="0.25">
      <c r="B273" t="s">
        <v>21</v>
      </c>
      <c r="C273" t="str">
        <f>_xlfn.XLOOKUP(B273,Tabla2[CODIGO],Tabla2[MATERIAL],"N/A",0)</f>
        <v>Cable Encauchetado 3x14 pvc</v>
      </c>
      <c r="D273">
        <v>15</v>
      </c>
      <c r="E273" t="s">
        <v>43</v>
      </c>
      <c r="F273" t="s">
        <v>62</v>
      </c>
      <c r="G273" s="1">
        <v>46200</v>
      </c>
      <c r="I273" s="2"/>
      <c r="J273" t="s">
        <v>166</v>
      </c>
      <c r="K273">
        <v>9961</v>
      </c>
      <c r="L273" t="s">
        <v>165</v>
      </c>
      <c r="M273">
        <v>2173239</v>
      </c>
      <c r="N273">
        <v>9</v>
      </c>
    </row>
    <row r="274" spans="2:15" hidden="1" x14ac:dyDescent="0.25">
      <c r="B274" t="s">
        <v>50</v>
      </c>
      <c r="C274" t="str">
        <f>_xlfn.XLOOKUP(B274,Tabla2[CODIGO],Tabla2[MATERIAL],"N/A",0)</f>
        <v>Percha galv 1 puesto</v>
      </c>
      <c r="D274">
        <v>1</v>
      </c>
      <c r="E274" t="s">
        <v>42</v>
      </c>
      <c r="F274" t="s">
        <v>62</v>
      </c>
      <c r="G274" s="1">
        <v>46200</v>
      </c>
      <c r="I274" s="2"/>
      <c r="J274" t="s">
        <v>166</v>
      </c>
      <c r="K274">
        <v>9961</v>
      </c>
      <c r="L274" t="s">
        <v>165</v>
      </c>
      <c r="M274">
        <v>1588320</v>
      </c>
      <c r="N274">
        <v>24</v>
      </c>
    </row>
    <row r="275" spans="2:15" hidden="1" x14ac:dyDescent="0.25">
      <c r="B275" t="s">
        <v>50</v>
      </c>
      <c r="C275" t="str">
        <f>_xlfn.XLOOKUP(B275,Tabla2[CODIGO],Tabla2[MATERIAL],"N/A",0)</f>
        <v>Percha galv 1 puesto</v>
      </c>
      <c r="D275">
        <v>1</v>
      </c>
      <c r="E275" t="s">
        <v>42</v>
      </c>
      <c r="F275" t="s">
        <v>62</v>
      </c>
      <c r="G275" s="1">
        <v>46200</v>
      </c>
      <c r="I275" s="2"/>
      <c r="J275" t="s">
        <v>166</v>
      </c>
      <c r="K275">
        <v>9961</v>
      </c>
      <c r="L275" t="s">
        <v>165</v>
      </c>
      <c r="M275">
        <v>1588371</v>
      </c>
      <c r="N275">
        <v>25</v>
      </c>
    </row>
    <row r="276" spans="2:15" hidden="1" x14ac:dyDescent="0.25">
      <c r="B276" t="s">
        <v>50</v>
      </c>
      <c r="C276" t="str">
        <f>_xlfn.XLOOKUP(B276,Tabla2[CODIGO],Tabla2[MATERIAL],"N/A",0)</f>
        <v>Percha galv 1 puesto</v>
      </c>
      <c r="D276">
        <v>1</v>
      </c>
      <c r="E276" t="s">
        <v>42</v>
      </c>
      <c r="F276" t="s">
        <v>62</v>
      </c>
      <c r="G276" s="1">
        <v>46200</v>
      </c>
      <c r="I276" s="2"/>
      <c r="J276" t="s">
        <v>166</v>
      </c>
      <c r="K276">
        <v>9961</v>
      </c>
      <c r="L276" t="s">
        <v>165</v>
      </c>
      <c r="M276">
        <v>1588419</v>
      </c>
      <c r="N276">
        <v>26</v>
      </c>
    </row>
    <row r="277" spans="2:15" hidden="1" x14ac:dyDescent="0.25">
      <c r="B277" t="s">
        <v>50</v>
      </c>
      <c r="C277" t="str">
        <f>_xlfn.XLOOKUP(B277,Tabla2[CODIGO],Tabla2[MATERIAL],"N/A",0)</f>
        <v>Percha galv 1 puesto</v>
      </c>
      <c r="D277">
        <v>1</v>
      </c>
      <c r="E277" t="s">
        <v>42</v>
      </c>
      <c r="F277" t="s">
        <v>62</v>
      </c>
      <c r="G277" s="1">
        <v>46200</v>
      </c>
      <c r="I277" s="2"/>
      <c r="J277" t="s">
        <v>166</v>
      </c>
      <c r="K277">
        <v>9961</v>
      </c>
      <c r="L277" t="s">
        <v>165</v>
      </c>
      <c r="M277">
        <v>1588281</v>
      </c>
      <c r="N277">
        <v>27</v>
      </c>
    </row>
    <row r="278" spans="2:15" hidden="1" x14ac:dyDescent="0.25">
      <c r="B278" t="s">
        <v>56</v>
      </c>
      <c r="C278" t="str">
        <f>_xlfn.XLOOKUP(B278,Tabla2[CODIGO],Tabla2[MATERIAL],"N/A",0)</f>
        <v>Aislador Carrreto</v>
      </c>
      <c r="D278">
        <v>1</v>
      </c>
      <c r="E278" t="s">
        <v>42</v>
      </c>
      <c r="F278" t="s">
        <v>62</v>
      </c>
      <c r="G278" s="1">
        <v>46200</v>
      </c>
      <c r="I278" s="2"/>
      <c r="J278" t="s">
        <v>166</v>
      </c>
      <c r="K278">
        <v>9961</v>
      </c>
      <c r="L278" t="s">
        <v>165</v>
      </c>
      <c r="M278">
        <v>1588320</v>
      </c>
      <c r="N278">
        <v>24</v>
      </c>
    </row>
    <row r="279" spans="2:15" hidden="1" x14ac:dyDescent="0.25">
      <c r="B279" t="s">
        <v>56</v>
      </c>
      <c r="C279" t="str">
        <f>_xlfn.XLOOKUP(B279,Tabla2[CODIGO],Tabla2[MATERIAL],"N/A",0)</f>
        <v>Aislador Carrreto</v>
      </c>
      <c r="D279">
        <v>1</v>
      </c>
      <c r="E279" t="s">
        <v>42</v>
      </c>
      <c r="F279" t="s">
        <v>62</v>
      </c>
      <c r="G279" s="1">
        <v>46200</v>
      </c>
      <c r="I279" s="2"/>
      <c r="J279" t="s">
        <v>166</v>
      </c>
      <c r="K279">
        <v>9961</v>
      </c>
      <c r="L279" t="s">
        <v>165</v>
      </c>
      <c r="M279">
        <v>1588371</v>
      </c>
      <c r="N279">
        <v>25</v>
      </c>
    </row>
    <row r="280" spans="2:15" hidden="1" x14ac:dyDescent="0.25">
      <c r="B280" t="s">
        <v>56</v>
      </c>
      <c r="C280" t="str">
        <f>_xlfn.XLOOKUP(B280,Tabla2[CODIGO],Tabla2[MATERIAL],"N/A",0)</f>
        <v>Aislador Carrreto</v>
      </c>
      <c r="D280">
        <v>1</v>
      </c>
      <c r="E280" t="s">
        <v>42</v>
      </c>
      <c r="F280" t="s">
        <v>62</v>
      </c>
      <c r="G280" s="1">
        <v>46200</v>
      </c>
      <c r="I280" s="2"/>
      <c r="J280" t="s">
        <v>166</v>
      </c>
      <c r="K280">
        <v>9961</v>
      </c>
      <c r="L280" t="s">
        <v>165</v>
      </c>
      <c r="M280">
        <v>1588419</v>
      </c>
      <c r="N280">
        <v>26</v>
      </c>
    </row>
    <row r="281" spans="2:15" hidden="1" x14ac:dyDescent="0.25">
      <c r="B281" t="s">
        <v>56</v>
      </c>
      <c r="C281" t="str">
        <f>_xlfn.XLOOKUP(B281,Tabla2[CODIGO],Tabla2[MATERIAL],"N/A",0)</f>
        <v>Aislador Carrreto</v>
      </c>
      <c r="D281">
        <v>1</v>
      </c>
      <c r="E281" t="s">
        <v>42</v>
      </c>
      <c r="F281" t="s">
        <v>62</v>
      </c>
      <c r="G281" s="1">
        <v>46200</v>
      </c>
      <c r="I281" s="2"/>
      <c r="J281" t="s">
        <v>166</v>
      </c>
      <c r="K281">
        <v>9961</v>
      </c>
      <c r="L281" t="s">
        <v>165</v>
      </c>
      <c r="M281">
        <v>1588281</v>
      </c>
      <c r="N281">
        <v>27</v>
      </c>
    </row>
    <row r="282" spans="2:15" hidden="1" x14ac:dyDescent="0.25">
      <c r="B282" t="s">
        <v>228</v>
      </c>
      <c r="C282" t="str">
        <f>_xlfn.XLOOKUP(B282,Tabla2[CODIGO],Tabla2[MATERIAL],"N/A",0)</f>
        <v>Cruceta Metalica 3*3x 1/4</v>
      </c>
      <c r="D282">
        <v>1</v>
      </c>
      <c r="E282" t="s">
        <v>42</v>
      </c>
      <c r="F282" t="s">
        <v>62</v>
      </c>
      <c r="G282" s="1">
        <v>46200</v>
      </c>
      <c r="I282" s="2"/>
      <c r="J282" t="s">
        <v>166</v>
      </c>
      <c r="K282">
        <v>9961</v>
      </c>
      <c r="L282" t="s">
        <v>165</v>
      </c>
      <c r="M282">
        <v>2173239</v>
      </c>
      <c r="N282">
        <v>9</v>
      </c>
    </row>
    <row r="283" spans="2:15" hidden="1" x14ac:dyDescent="0.25">
      <c r="B283" t="s">
        <v>228</v>
      </c>
      <c r="C283" t="str">
        <f>_xlfn.XLOOKUP(B283,Tabla2[CODIGO],Tabla2[MATERIAL],"N/A",0)</f>
        <v>Cruceta Metalica 3*3x 1/4</v>
      </c>
      <c r="D283">
        <v>1</v>
      </c>
      <c r="E283" t="s">
        <v>42</v>
      </c>
      <c r="F283" t="s">
        <v>62</v>
      </c>
      <c r="G283" s="1">
        <v>46200</v>
      </c>
      <c r="I283" s="2"/>
      <c r="J283" t="s">
        <v>166</v>
      </c>
      <c r="K283">
        <v>9961</v>
      </c>
      <c r="L283" t="s">
        <v>165</v>
      </c>
      <c r="M283">
        <v>2173221</v>
      </c>
      <c r="N283">
        <v>14</v>
      </c>
    </row>
    <row r="284" spans="2:15" hidden="1" x14ac:dyDescent="0.25">
      <c r="B284" t="s">
        <v>229</v>
      </c>
      <c r="C284" t="str">
        <f>_xlfn.XLOOKUP(B284,Tabla2[CODIGO],Tabla2[MATERIAL],"N/A",0)</f>
        <v>angular V</v>
      </c>
      <c r="D284">
        <v>1</v>
      </c>
      <c r="E284" t="s">
        <v>42</v>
      </c>
      <c r="F284" t="s">
        <v>62</v>
      </c>
      <c r="G284" s="1">
        <v>46200</v>
      </c>
      <c r="I284" s="2"/>
      <c r="J284" t="s">
        <v>166</v>
      </c>
      <c r="K284">
        <v>9961</v>
      </c>
      <c r="L284" t="s">
        <v>165</v>
      </c>
      <c r="M284">
        <v>2173239</v>
      </c>
      <c r="N284">
        <v>9</v>
      </c>
    </row>
    <row r="285" spans="2:15" hidden="1" x14ac:dyDescent="0.25">
      <c r="B285" t="s">
        <v>229</v>
      </c>
      <c r="C285" t="str">
        <f>_xlfn.XLOOKUP(B285,Tabla2[CODIGO],Tabla2[MATERIAL],"N/A",0)</f>
        <v>angular V</v>
      </c>
      <c r="D285">
        <v>1</v>
      </c>
      <c r="E285" t="s">
        <v>42</v>
      </c>
      <c r="F285" t="s">
        <v>62</v>
      </c>
      <c r="G285" s="1">
        <v>46200</v>
      </c>
      <c r="I285" s="2"/>
      <c r="J285" t="s">
        <v>166</v>
      </c>
      <c r="K285">
        <v>9961</v>
      </c>
      <c r="L285" t="s">
        <v>165</v>
      </c>
      <c r="M285">
        <v>2173221</v>
      </c>
      <c r="N285">
        <v>14</v>
      </c>
    </row>
    <row r="286" spans="2:15" x14ac:dyDescent="0.25">
      <c r="B286" t="s">
        <v>228</v>
      </c>
      <c r="C286" t="str">
        <f>_xlfn.XLOOKUP(B286,Tabla2[CODIGO],Tabla2[MATERIAL],"N/A",0)</f>
        <v>Cruceta Metalica 3*3x 1/4</v>
      </c>
      <c r="D286">
        <v>1</v>
      </c>
      <c r="E286" t="s">
        <v>42</v>
      </c>
      <c r="F286" t="s">
        <v>61</v>
      </c>
      <c r="G286" s="1">
        <v>46200</v>
      </c>
      <c r="I286" s="2"/>
      <c r="J286" t="s">
        <v>166</v>
      </c>
      <c r="K286">
        <v>9961</v>
      </c>
      <c r="L286" t="s">
        <v>165</v>
      </c>
      <c r="M286">
        <v>2173239</v>
      </c>
      <c r="N286">
        <v>9</v>
      </c>
      <c r="O286" t="s">
        <v>10</v>
      </c>
    </row>
    <row r="287" spans="2:15" x14ac:dyDescent="0.25">
      <c r="B287" t="s">
        <v>228</v>
      </c>
      <c r="C287" t="str">
        <f>_xlfn.XLOOKUP(B287,Tabla2[CODIGO],Tabla2[MATERIAL],"N/A",0)</f>
        <v>Cruceta Metalica 3*3x 1/4</v>
      </c>
      <c r="D287">
        <v>1</v>
      </c>
      <c r="E287" t="s">
        <v>42</v>
      </c>
      <c r="F287" t="s">
        <v>61</v>
      </c>
      <c r="G287" s="1">
        <v>46200</v>
      </c>
      <c r="I287" s="2"/>
      <c r="J287" t="s">
        <v>166</v>
      </c>
      <c r="K287">
        <v>9961</v>
      </c>
      <c r="L287" t="s">
        <v>165</v>
      </c>
      <c r="M287">
        <v>2173221</v>
      </c>
      <c r="N287">
        <v>14</v>
      </c>
      <c r="O287" t="s">
        <v>10</v>
      </c>
    </row>
    <row r="288" spans="2:15" x14ac:dyDescent="0.25">
      <c r="B288" t="s">
        <v>229</v>
      </c>
      <c r="C288" t="str">
        <f>_xlfn.XLOOKUP(B288,Tabla2[CODIGO],Tabla2[MATERIAL],"N/A",0)</f>
        <v>angular V</v>
      </c>
      <c r="D288">
        <v>1</v>
      </c>
      <c r="E288" t="s">
        <v>42</v>
      </c>
      <c r="F288" t="s">
        <v>61</v>
      </c>
      <c r="G288" s="1">
        <v>46200</v>
      </c>
      <c r="I288" s="2"/>
      <c r="J288" t="s">
        <v>166</v>
      </c>
      <c r="K288">
        <v>9961</v>
      </c>
      <c r="L288" t="s">
        <v>165</v>
      </c>
      <c r="M288">
        <v>2173239</v>
      </c>
      <c r="N288">
        <v>9</v>
      </c>
      <c r="O288" t="s">
        <v>10</v>
      </c>
    </row>
    <row r="289" spans="2:15" x14ac:dyDescent="0.25">
      <c r="B289" t="s">
        <v>229</v>
      </c>
      <c r="C289" t="str">
        <f>_xlfn.XLOOKUP(B289,Tabla2[CODIGO],Tabla2[MATERIAL],"N/A",0)</f>
        <v>angular V</v>
      </c>
      <c r="D289">
        <v>1</v>
      </c>
      <c r="E289" t="s">
        <v>42</v>
      </c>
      <c r="F289" t="s">
        <v>61</v>
      </c>
      <c r="G289" s="1">
        <v>46200</v>
      </c>
      <c r="I289" s="2"/>
      <c r="J289" t="s">
        <v>166</v>
      </c>
      <c r="K289">
        <v>9961</v>
      </c>
      <c r="L289" t="s">
        <v>165</v>
      </c>
      <c r="M289">
        <v>2173221</v>
      </c>
      <c r="N289">
        <v>14</v>
      </c>
      <c r="O289" t="s">
        <v>10</v>
      </c>
    </row>
    <row r="290" spans="2:15" hidden="1" x14ac:dyDescent="0.25">
      <c r="B290" t="s">
        <v>60</v>
      </c>
      <c r="C290" t="str">
        <f>_xlfn.XLOOKUP(B290,Tabla2[CODIGO],Tabla2[MATERIAL],"N/A",0)</f>
        <v>Fotocelda</v>
      </c>
      <c r="D290">
        <v>1</v>
      </c>
      <c r="E290" t="s">
        <v>42</v>
      </c>
      <c r="F290" t="s">
        <v>62</v>
      </c>
      <c r="G290" s="1">
        <v>46200</v>
      </c>
      <c r="I290" s="2"/>
      <c r="J290" t="s">
        <v>166</v>
      </c>
      <c r="K290">
        <v>9961</v>
      </c>
      <c r="L290" t="s">
        <v>165</v>
      </c>
      <c r="M290">
        <v>6532281</v>
      </c>
      <c r="N290">
        <v>17</v>
      </c>
    </row>
    <row r="291" spans="2:15" hidden="1" x14ac:dyDescent="0.25">
      <c r="B291" t="s">
        <v>60</v>
      </c>
      <c r="C291" t="str">
        <f>_xlfn.XLOOKUP(B291,Tabla2[CODIGO],Tabla2[MATERIAL],"N/A",0)</f>
        <v>Fotocelda</v>
      </c>
      <c r="D291">
        <v>1</v>
      </c>
      <c r="E291" t="s">
        <v>42</v>
      </c>
      <c r="F291" t="s">
        <v>62</v>
      </c>
      <c r="G291" s="1">
        <v>46200</v>
      </c>
      <c r="I291" s="2"/>
      <c r="J291" t="s">
        <v>166</v>
      </c>
      <c r="K291">
        <v>9961</v>
      </c>
      <c r="L291" t="s">
        <v>165</v>
      </c>
      <c r="M291">
        <v>6532281</v>
      </c>
      <c r="N291">
        <v>18</v>
      </c>
    </row>
    <row r="292" spans="2:15" hidden="1" x14ac:dyDescent="0.25">
      <c r="B292" t="s">
        <v>60</v>
      </c>
      <c r="C292" t="str">
        <f>_xlfn.XLOOKUP(B292,Tabla2[CODIGO],Tabla2[MATERIAL],"N/A",0)</f>
        <v>Fotocelda</v>
      </c>
      <c r="D292">
        <v>1</v>
      </c>
      <c r="E292" t="s">
        <v>42</v>
      </c>
      <c r="F292" t="s">
        <v>62</v>
      </c>
      <c r="G292" s="1">
        <v>46200</v>
      </c>
      <c r="I292" s="2"/>
      <c r="J292" t="s">
        <v>166</v>
      </c>
      <c r="K292">
        <v>9961</v>
      </c>
      <c r="L292" t="s">
        <v>165</v>
      </c>
      <c r="M292">
        <v>6522233</v>
      </c>
      <c r="N292">
        <v>19</v>
      </c>
    </row>
    <row r="293" spans="2:15" hidden="1" x14ac:dyDescent="0.25">
      <c r="B293" t="s">
        <v>60</v>
      </c>
      <c r="C293" t="str">
        <f>_xlfn.XLOOKUP(B293,Tabla2[CODIGO],Tabla2[MATERIAL],"N/A",0)</f>
        <v>Fotocelda</v>
      </c>
      <c r="D293">
        <v>1</v>
      </c>
      <c r="E293" t="s">
        <v>42</v>
      </c>
      <c r="F293" t="s">
        <v>62</v>
      </c>
      <c r="G293" s="1">
        <v>46200</v>
      </c>
      <c r="I293" s="2"/>
      <c r="J293" t="s">
        <v>166</v>
      </c>
      <c r="K293">
        <v>9961</v>
      </c>
      <c r="L293" t="s">
        <v>165</v>
      </c>
      <c r="M293">
        <v>6522233</v>
      </c>
      <c r="N293">
        <v>20</v>
      </c>
    </row>
    <row r="294" spans="2:15" hidden="1" x14ac:dyDescent="0.25">
      <c r="B294" t="s">
        <v>60</v>
      </c>
      <c r="C294" t="str">
        <f>_xlfn.XLOOKUP(B294,Tabla2[CODIGO],Tabla2[MATERIAL],"N/A",0)</f>
        <v>Fotocelda</v>
      </c>
      <c r="D294">
        <v>1</v>
      </c>
      <c r="E294" t="s">
        <v>42</v>
      </c>
      <c r="F294" t="s">
        <v>62</v>
      </c>
      <c r="G294" s="1">
        <v>46200</v>
      </c>
      <c r="I294" s="2"/>
      <c r="J294" t="s">
        <v>166</v>
      </c>
      <c r="K294">
        <v>9961</v>
      </c>
      <c r="L294" t="s">
        <v>165</v>
      </c>
      <c r="M294">
        <v>2258935</v>
      </c>
      <c r="N294">
        <v>21</v>
      </c>
    </row>
    <row r="295" spans="2:15" hidden="1" x14ac:dyDescent="0.25">
      <c r="B295" t="s">
        <v>60</v>
      </c>
      <c r="C295" t="str">
        <f>_xlfn.XLOOKUP(B295,Tabla2[CODIGO],Tabla2[MATERIAL],"N/A",0)</f>
        <v>Fotocelda</v>
      </c>
      <c r="D295">
        <v>1</v>
      </c>
      <c r="E295" t="s">
        <v>42</v>
      </c>
      <c r="F295" t="s">
        <v>62</v>
      </c>
      <c r="G295" s="1">
        <v>46200</v>
      </c>
      <c r="I295" s="2"/>
      <c r="J295" t="s">
        <v>166</v>
      </c>
      <c r="K295">
        <v>9961</v>
      </c>
      <c r="L295" t="s">
        <v>165</v>
      </c>
      <c r="M295">
        <v>2258935</v>
      </c>
      <c r="N295">
        <v>22</v>
      </c>
    </row>
    <row r="296" spans="2:15" hidden="1" x14ac:dyDescent="0.25">
      <c r="B296" t="s">
        <v>60</v>
      </c>
      <c r="C296" t="str">
        <f>_xlfn.XLOOKUP(B296,Tabla2[CODIGO],Tabla2[MATERIAL],"N/A",0)</f>
        <v>Fotocelda</v>
      </c>
      <c r="D296">
        <v>1</v>
      </c>
      <c r="E296" t="s">
        <v>42</v>
      </c>
      <c r="F296" t="s">
        <v>62</v>
      </c>
      <c r="G296" s="1">
        <v>46200</v>
      </c>
      <c r="I296" s="2"/>
      <c r="J296" t="s">
        <v>166</v>
      </c>
      <c r="K296">
        <v>9961</v>
      </c>
      <c r="L296" t="s">
        <v>165</v>
      </c>
      <c r="M296">
        <v>6532225</v>
      </c>
      <c r="N296">
        <v>23</v>
      </c>
    </row>
    <row r="297" spans="2:15" hidden="1" x14ac:dyDescent="0.25">
      <c r="B297" t="s">
        <v>60</v>
      </c>
      <c r="C297" t="str">
        <f>_xlfn.XLOOKUP(B297,Tabla2[CODIGO],Tabla2[MATERIAL],"N/A",0)</f>
        <v>Fotocelda</v>
      </c>
      <c r="D297">
        <v>1</v>
      </c>
      <c r="E297" t="s">
        <v>42</v>
      </c>
      <c r="F297" t="s">
        <v>62</v>
      </c>
      <c r="G297" s="1">
        <v>46200</v>
      </c>
      <c r="I297" s="2"/>
      <c r="J297" t="s">
        <v>166</v>
      </c>
      <c r="K297">
        <v>9961</v>
      </c>
      <c r="L297" t="s">
        <v>165</v>
      </c>
      <c r="M297">
        <v>1588320</v>
      </c>
      <c r="N297">
        <v>24</v>
      </c>
    </row>
    <row r="298" spans="2:15" hidden="1" x14ac:dyDescent="0.25">
      <c r="B298" t="s">
        <v>60</v>
      </c>
      <c r="C298" t="str">
        <f>_xlfn.XLOOKUP(B298,Tabla2[CODIGO],Tabla2[MATERIAL],"N/A",0)</f>
        <v>Fotocelda</v>
      </c>
      <c r="D298">
        <v>1</v>
      </c>
      <c r="E298" t="s">
        <v>42</v>
      </c>
      <c r="F298" t="s">
        <v>62</v>
      </c>
      <c r="G298" s="1">
        <v>46200</v>
      </c>
      <c r="I298" s="2"/>
      <c r="J298" t="s">
        <v>166</v>
      </c>
      <c r="K298">
        <v>9961</v>
      </c>
      <c r="L298" t="s">
        <v>165</v>
      </c>
      <c r="M298">
        <v>1588371</v>
      </c>
      <c r="N298">
        <v>25</v>
      </c>
    </row>
    <row r="299" spans="2:15" hidden="1" x14ac:dyDescent="0.25">
      <c r="B299" t="s">
        <v>60</v>
      </c>
      <c r="C299" t="str">
        <f>_xlfn.XLOOKUP(B299,Tabla2[CODIGO],Tabla2[MATERIAL],"N/A",0)</f>
        <v>Fotocelda</v>
      </c>
      <c r="D299">
        <v>1</v>
      </c>
      <c r="E299" t="s">
        <v>42</v>
      </c>
      <c r="F299" t="s">
        <v>62</v>
      </c>
      <c r="G299" s="1">
        <v>46200</v>
      </c>
      <c r="I299" s="2"/>
      <c r="J299" t="s">
        <v>166</v>
      </c>
      <c r="K299">
        <v>9961</v>
      </c>
      <c r="L299" t="s">
        <v>165</v>
      </c>
      <c r="M299">
        <v>1588419</v>
      </c>
      <c r="N299">
        <v>26</v>
      </c>
    </row>
    <row r="300" spans="2:15" x14ac:dyDescent="0.25">
      <c r="B300" t="s">
        <v>216</v>
      </c>
      <c r="C300" t="str">
        <f>_xlfn.XLOOKUP(B300,Tabla2[CODIGO],Tabla2[MATERIAL],"N/A",0)</f>
        <v>Brazo Galvanizado 2" x 2m</v>
      </c>
      <c r="D300">
        <v>1</v>
      </c>
      <c r="E300" t="s">
        <v>42</v>
      </c>
      <c r="F300" t="s">
        <v>61</v>
      </c>
      <c r="G300" s="1">
        <v>46200</v>
      </c>
      <c r="I300" s="2"/>
      <c r="J300" t="s">
        <v>166</v>
      </c>
      <c r="K300">
        <v>9961</v>
      </c>
      <c r="L300" t="s">
        <v>165</v>
      </c>
      <c r="M300">
        <v>2257815</v>
      </c>
      <c r="N300">
        <v>1</v>
      </c>
      <c r="O300" t="s">
        <v>10</v>
      </c>
    </row>
    <row r="301" spans="2:15" x14ac:dyDescent="0.25">
      <c r="B301" t="s">
        <v>216</v>
      </c>
      <c r="C301" t="str">
        <f>_xlfn.XLOOKUP(B301,Tabla2[CODIGO],Tabla2[MATERIAL],"N/A",0)</f>
        <v>Brazo Galvanizado 2" x 2m</v>
      </c>
      <c r="D301">
        <v>1</v>
      </c>
      <c r="E301" t="s">
        <v>42</v>
      </c>
      <c r="F301" t="s">
        <v>61</v>
      </c>
      <c r="G301" s="1">
        <v>46200</v>
      </c>
      <c r="I301" s="2"/>
      <c r="J301" t="s">
        <v>166</v>
      </c>
      <c r="K301">
        <v>9961</v>
      </c>
      <c r="L301" t="s">
        <v>165</v>
      </c>
      <c r="M301">
        <v>2257815</v>
      </c>
      <c r="N301">
        <v>2</v>
      </c>
      <c r="O301" t="s">
        <v>10</v>
      </c>
    </row>
    <row r="302" spans="2:15" x14ac:dyDescent="0.25">
      <c r="B302" t="s">
        <v>216</v>
      </c>
      <c r="C302" t="str">
        <f>_xlfn.XLOOKUP(B302,Tabla2[CODIGO],Tabla2[MATERIAL],"N/A",0)</f>
        <v>Brazo Galvanizado 2" x 2m</v>
      </c>
      <c r="D302">
        <v>1</v>
      </c>
      <c r="E302" t="s">
        <v>42</v>
      </c>
      <c r="F302" t="s">
        <v>61</v>
      </c>
      <c r="G302" s="1">
        <v>46200</v>
      </c>
      <c r="I302" s="2"/>
      <c r="J302" t="s">
        <v>166</v>
      </c>
      <c r="K302">
        <v>9961</v>
      </c>
      <c r="L302" t="s">
        <v>165</v>
      </c>
      <c r="M302">
        <v>2258897</v>
      </c>
      <c r="N302">
        <v>3</v>
      </c>
      <c r="O302" t="s">
        <v>10</v>
      </c>
    </row>
    <row r="303" spans="2:15" x14ac:dyDescent="0.25">
      <c r="B303" t="s">
        <v>216</v>
      </c>
      <c r="C303" t="str">
        <f>_xlfn.XLOOKUP(B303,Tabla2[CODIGO],Tabla2[MATERIAL],"N/A",0)</f>
        <v>Brazo Galvanizado 2" x 2m</v>
      </c>
      <c r="D303">
        <v>1</v>
      </c>
      <c r="E303" t="s">
        <v>42</v>
      </c>
      <c r="F303" t="s">
        <v>61</v>
      </c>
      <c r="G303" s="1">
        <v>46200</v>
      </c>
      <c r="I303" s="2"/>
      <c r="J303" t="s">
        <v>166</v>
      </c>
      <c r="K303">
        <v>9961</v>
      </c>
      <c r="L303" t="s">
        <v>165</v>
      </c>
      <c r="M303">
        <v>2258897</v>
      </c>
      <c r="N303">
        <v>4</v>
      </c>
      <c r="O303" t="s">
        <v>10</v>
      </c>
    </row>
    <row r="304" spans="2:15" x14ac:dyDescent="0.25">
      <c r="B304" t="s">
        <v>216</v>
      </c>
      <c r="C304" t="str">
        <f>_xlfn.XLOOKUP(B304,Tabla2[CODIGO],Tabla2[MATERIAL],"N/A",0)</f>
        <v>Brazo Galvanizado 2" x 2m</v>
      </c>
      <c r="D304">
        <v>1</v>
      </c>
      <c r="E304" t="s">
        <v>42</v>
      </c>
      <c r="F304" t="s">
        <v>61</v>
      </c>
      <c r="G304" s="1">
        <v>46200</v>
      </c>
      <c r="I304" s="2"/>
      <c r="J304" t="s">
        <v>166</v>
      </c>
      <c r="K304">
        <v>9961</v>
      </c>
      <c r="L304" t="s">
        <v>165</v>
      </c>
      <c r="M304">
        <v>6535241</v>
      </c>
      <c r="N304">
        <v>5</v>
      </c>
      <c r="O304" t="s">
        <v>10</v>
      </c>
    </row>
    <row r="305" spans="2:15" x14ac:dyDescent="0.25">
      <c r="B305" t="s">
        <v>216</v>
      </c>
      <c r="C305" t="str">
        <f>_xlfn.XLOOKUP(B305,Tabla2[CODIGO],Tabla2[MATERIAL],"N/A",0)</f>
        <v>Brazo Galvanizado 2" x 2m</v>
      </c>
      <c r="D305">
        <v>1</v>
      </c>
      <c r="E305" t="s">
        <v>42</v>
      </c>
      <c r="F305" t="s">
        <v>61</v>
      </c>
      <c r="G305" s="1">
        <v>46200</v>
      </c>
      <c r="I305" s="2"/>
      <c r="J305" t="s">
        <v>166</v>
      </c>
      <c r="K305">
        <v>9961</v>
      </c>
      <c r="L305" t="s">
        <v>165</v>
      </c>
      <c r="M305">
        <v>6535241</v>
      </c>
      <c r="N305">
        <v>6</v>
      </c>
      <c r="O305" t="s">
        <v>10</v>
      </c>
    </row>
    <row r="306" spans="2:15" x14ac:dyDescent="0.25">
      <c r="B306" t="s">
        <v>216</v>
      </c>
      <c r="C306" t="str">
        <f>_xlfn.XLOOKUP(B306,Tabla2[CODIGO],Tabla2[MATERIAL],"N/A",0)</f>
        <v>Brazo Galvanizado 2" x 2m</v>
      </c>
      <c r="D306">
        <v>1</v>
      </c>
      <c r="E306" t="s">
        <v>42</v>
      </c>
      <c r="F306" t="s">
        <v>61</v>
      </c>
      <c r="G306" s="1">
        <v>46200</v>
      </c>
      <c r="I306" s="2"/>
      <c r="J306" t="s">
        <v>166</v>
      </c>
      <c r="K306">
        <v>9961</v>
      </c>
      <c r="L306" t="s">
        <v>165</v>
      </c>
      <c r="M306">
        <v>6532306</v>
      </c>
      <c r="N306">
        <v>7</v>
      </c>
      <c r="O306" t="s">
        <v>10</v>
      </c>
    </row>
    <row r="307" spans="2:15" x14ac:dyDescent="0.25">
      <c r="B307" t="s">
        <v>216</v>
      </c>
      <c r="C307" t="str">
        <f>_xlfn.XLOOKUP(B307,Tabla2[CODIGO],Tabla2[MATERIAL],"N/A",0)</f>
        <v>Brazo Galvanizado 2" x 2m</v>
      </c>
      <c r="D307">
        <v>1</v>
      </c>
      <c r="E307" t="s">
        <v>42</v>
      </c>
      <c r="F307" t="s">
        <v>61</v>
      </c>
      <c r="G307" s="1">
        <v>46200</v>
      </c>
      <c r="I307" s="2"/>
      <c r="J307" t="s">
        <v>166</v>
      </c>
      <c r="K307">
        <v>9961</v>
      </c>
      <c r="L307" t="s">
        <v>165</v>
      </c>
      <c r="M307">
        <v>6532306</v>
      </c>
      <c r="N307">
        <v>8</v>
      </c>
      <c r="O307" t="s">
        <v>10</v>
      </c>
    </row>
    <row r="308" spans="2:15" x14ac:dyDescent="0.25">
      <c r="B308" t="s">
        <v>216</v>
      </c>
      <c r="C308" t="str">
        <f>_xlfn.XLOOKUP(B308,Tabla2[CODIGO],Tabla2[MATERIAL],"N/A",0)</f>
        <v>Brazo Galvanizado 2" x 2m</v>
      </c>
      <c r="D308">
        <v>1</v>
      </c>
      <c r="E308" t="s">
        <v>42</v>
      </c>
      <c r="F308" t="s">
        <v>61</v>
      </c>
      <c r="G308" s="1">
        <v>46200</v>
      </c>
      <c r="I308" s="2"/>
      <c r="J308" t="s">
        <v>166</v>
      </c>
      <c r="K308">
        <v>9961</v>
      </c>
      <c r="L308" t="s">
        <v>165</v>
      </c>
      <c r="M308">
        <v>6532292</v>
      </c>
      <c r="N308">
        <v>12</v>
      </c>
      <c r="O308" t="s">
        <v>10</v>
      </c>
    </row>
    <row r="309" spans="2:15" x14ac:dyDescent="0.25">
      <c r="B309" t="s">
        <v>216</v>
      </c>
      <c r="C309" t="str">
        <f>_xlfn.XLOOKUP(B309,Tabla2[CODIGO],Tabla2[MATERIAL],"N/A",0)</f>
        <v>Brazo Galvanizado 2" x 2m</v>
      </c>
      <c r="D309">
        <v>1</v>
      </c>
      <c r="E309" t="s">
        <v>42</v>
      </c>
      <c r="F309" t="s">
        <v>61</v>
      </c>
      <c r="G309" s="1">
        <v>46200</v>
      </c>
      <c r="I309" s="2"/>
      <c r="J309" t="s">
        <v>166</v>
      </c>
      <c r="K309">
        <v>9961</v>
      </c>
      <c r="L309" t="s">
        <v>165</v>
      </c>
      <c r="M309">
        <v>6532292</v>
      </c>
      <c r="N309">
        <v>13</v>
      </c>
      <c r="O309" t="s">
        <v>10</v>
      </c>
    </row>
    <row r="310" spans="2:15" x14ac:dyDescent="0.25">
      <c r="B310" t="s">
        <v>216</v>
      </c>
      <c r="C310" t="str">
        <f>_xlfn.XLOOKUP(B310,Tabla2[CODIGO],Tabla2[MATERIAL],"N/A",0)</f>
        <v>Brazo Galvanizado 2" x 2m</v>
      </c>
      <c r="D310">
        <v>1</v>
      </c>
      <c r="E310" t="s">
        <v>42</v>
      </c>
      <c r="F310" t="s">
        <v>61</v>
      </c>
      <c r="G310" s="1">
        <v>46200</v>
      </c>
      <c r="I310" s="2"/>
      <c r="J310" t="s">
        <v>166</v>
      </c>
      <c r="K310">
        <v>9961</v>
      </c>
      <c r="L310" t="s">
        <v>165</v>
      </c>
      <c r="M310">
        <v>6532281</v>
      </c>
      <c r="N310">
        <v>17</v>
      </c>
      <c r="O310" t="s">
        <v>10</v>
      </c>
    </row>
    <row r="311" spans="2:15" x14ac:dyDescent="0.25">
      <c r="B311" t="s">
        <v>216</v>
      </c>
      <c r="C311" t="str">
        <f>_xlfn.XLOOKUP(B311,Tabla2[CODIGO],Tabla2[MATERIAL],"N/A",0)</f>
        <v>Brazo Galvanizado 2" x 2m</v>
      </c>
      <c r="D311">
        <v>1</v>
      </c>
      <c r="E311" t="s">
        <v>42</v>
      </c>
      <c r="F311" t="s">
        <v>61</v>
      </c>
      <c r="G311" s="1">
        <v>46200</v>
      </c>
      <c r="I311" s="2"/>
      <c r="J311" t="s">
        <v>166</v>
      </c>
      <c r="K311">
        <v>9961</v>
      </c>
      <c r="L311" t="s">
        <v>165</v>
      </c>
      <c r="M311">
        <v>6532281</v>
      </c>
      <c r="N311">
        <v>18</v>
      </c>
      <c r="O311" t="s">
        <v>10</v>
      </c>
    </row>
    <row r="312" spans="2:15" x14ac:dyDescent="0.25">
      <c r="B312" t="s">
        <v>216</v>
      </c>
      <c r="C312" t="str">
        <f>_xlfn.XLOOKUP(B312,Tabla2[CODIGO],Tabla2[MATERIAL],"N/A",0)</f>
        <v>Brazo Galvanizado 2" x 2m</v>
      </c>
      <c r="D312">
        <v>1</v>
      </c>
      <c r="E312" t="s">
        <v>42</v>
      </c>
      <c r="F312" t="s">
        <v>61</v>
      </c>
      <c r="G312" s="1">
        <v>46200</v>
      </c>
      <c r="I312" s="2"/>
      <c r="J312" t="s">
        <v>166</v>
      </c>
      <c r="K312">
        <v>9961</v>
      </c>
      <c r="L312" t="s">
        <v>165</v>
      </c>
      <c r="M312">
        <v>6522233</v>
      </c>
      <c r="N312">
        <v>19</v>
      </c>
      <c r="O312" t="s">
        <v>10</v>
      </c>
    </row>
    <row r="313" spans="2:15" x14ac:dyDescent="0.25">
      <c r="B313" t="s">
        <v>216</v>
      </c>
      <c r="C313" t="str">
        <f>_xlfn.XLOOKUP(B313,Tabla2[CODIGO],Tabla2[MATERIAL],"N/A",0)</f>
        <v>Brazo Galvanizado 2" x 2m</v>
      </c>
      <c r="D313">
        <v>1</v>
      </c>
      <c r="E313" t="s">
        <v>42</v>
      </c>
      <c r="F313" t="s">
        <v>61</v>
      </c>
      <c r="G313" s="1">
        <v>46200</v>
      </c>
      <c r="I313" s="2"/>
      <c r="J313" t="s">
        <v>166</v>
      </c>
      <c r="K313">
        <v>9961</v>
      </c>
      <c r="L313" t="s">
        <v>165</v>
      </c>
      <c r="M313">
        <v>6522233</v>
      </c>
      <c r="N313">
        <v>20</v>
      </c>
      <c r="O313" t="s">
        <v>10</v>
      </c>
    </row>
    <row r="314" spans="2:15" x14ac:dyDescent="0.25">
      <c r="B314" t="s">
        <v>216</v>
      </c>
      <c r="C314" t="str">
        <f>_xlfn.XLOOKUP(B314,Tabla2[CODIGO],Tabla2[MATERIAL],"N/A",0)</f>
        <v>Brazo Galvanizado 2" x 2m</v>
      </c>
      <c r="D314">
        <v>1</v>
      </c>
      <c r="E314" t="s">
        <v>42</v>
      </c>
      <c r="F314" t="s">
        <v>61</v>
      </c>
      <c r="G314" s="1">
        <v>46200</v>
      </c>
      <c r="I314" s="2"/>
      <c r="J314" t="s">
        <v>166</v>
      </c>
      <c r="K314">
        <v>9961</v>
      </c>
      <c r="L314" t="s">
        <v>165</v>
      </c>
      <c r="M314">
        <v>2258935</v>
      </c>
      <c r="N314">
        <v>21</v>
      </c>
      <c r="O314" t="s">
        <v>10</v>
      </c>
    </row>
    <row r="315" spans="2:15" x14ac:dyDescent="0.25">
      <c r="B315" t="s">
        <v>216</v>
      </c>
      <c r="C315" t="str">
        <f>_xlfn.XLOOKUP(B315,Tabla2[CODIGO],Tabla2[MATERIAL],"N/A",0)</f>
        <v>Brazo Galvanizado 2" x 2m</v>
      </c>
      <c r="D315">
        <v>1</v>
      </c>
      <c r="E315" t="s">
        <v>42</v>
      </c>
      <c r="F315" t="s">
        <v>61</v>
      </c>
      <c r="G315" s="1">
        <v>46200</v>
      </c>
      <c r="I315" s="2"/>
      <c r="J315" t="s">
        <v>166</v>
      </c>
      <c r="K315">
        <v>9961</v>
      </c>
      <c r="L315" t="s">
        <v>165</v>
      </c>
      <c r="M315">
        <v>2258935</v>
      </c>
      <c r="N315">
        <v>22</v>
      </c>
      <c r="O315" t="s">
        <v>10</v>
      </c>
    </row>
    <row r="316" spans="2:15" x14ac:dyDescent="0.25">
      <c r="B316" t="s">
        <v>216</v>
      </c>
      <c r="C316" t="str">
        <f>_xlfn.XLOOKUP(B316,Tabla2[CODIGO],Tabla2[MATERIAL],"N/A",0)</f>
        <v>Brazo Galvanizado 2" x 2m</v>
      </c>
      <c r="D316">
        <v>1</v>
      </c>
      <c r="E316" t="s">
        <v>42</v>
      </c>
      <c r="F316" t="s">
        <v>61</v>
      </c>
      <c r="G316" s="1">
        <v>46200</v>
      </c>
      <c r="I316" s="2"/>
      <c r="J316" t="s">
        <v>166</v>
      </c>
      <c r="K316">
        <v>9961</v>
      </c>
      <c r="L316" t="s">
        <v>165</v>
      </c>
      <c r="M316">
        <v>6532225</v>
      </c>
      <c r="N316">
        <v>23</v>
      </c>
      <c r="O316" t="s">
        <v>10</v>
      </c>
    </row>
    <row r="317" spans="2:15" x14ac:dyDescent="0.25">
      <c r="B317" t="s">
        <v>216</v>
      </c>
      <c r="C317" t="str">
        <f>_xlfn.XLOOKUP(B317,Tabla2[CODIGO],Tabla2[MATERIAL],"N/A",0)</f>
        <v>Brazo Galvanizado 2" x 2m</v>
      </c>
      <c r="D317">
        <v>1</v>
      </c>
      <c r="E317" t="s">
        <v>42</v>
      </c>
      <c r="F317" t="s">
        <v>61</v>
      </c>
      <c r="G317" s="1">
        <v>46200</v>
      </c>
      <c r="I317" s="2"/>
      <c r="J317" t="s">
        <v>166</v>
      </c>
      <c r="K317">
        <v>9961</v>
      </c>
      <c r="L317" t="s">
        <v>165</v>
      </c>
      <c r="M317">
        <v>1588320</v>
      </c>
      <c r="N317">
        <v>24</v>
      </c>
      <c r="O317" t="s">
        <v>10</v>
      </c>
    </row>
    <row r="318" spans="2:15" x14ac:dyDescent="0.25">
      <c r="B318" t="s">
        <v>216</v>
      </c>
      <c r="C318" t="str">
        <f>_xlfn.XLOOKUP(B318,Tabla2[CODIGO],Tabla2[MATERIAL],"N/A",0)</f>
        <v>Brazo Galvanizado 2" x 2m</v>
      </c>
      <c r="D318">
        <v>1</v>
      </c>
      <c r="E318" t="s">
        <v>42</v>
      </c>
      <c r="F318" t="s">
        <v>61</v>
      </c>
      <c r="G318" s="1">
        <v>46200</v>
      </c>
      <c r="I318" s="2"/>
      <c r="J318" t="s">
        <v>166</v>
      </c>
      <c r="K318">
        <v>9961</v>
      </c>
      <c r="L318" t="s">
        <v>165</v>
      </c>
      <c r="M318">
        <v>1588371</v>
      </c>
      <c r="N318">
        <v>25</v>
      </c>
      <c r="O318" t="s">
        <v>10</v>
      </c>
    </row>
    <row r="319" spans="2:15" x14ac:dyDescent="0.25">
      <c r="B319" t="s">
        <v>216</v>
      </c>
      <c r="C319" t="str">
        <f>_xlfn.XLOOKUP(B319,Tabla2[CODIGO],Tabla2[MATERIAL],"N/A",0)</f>
        <v>Brazo Galvanizado 2" x 2m</v>
      </c>
      <c r="D319">
        <v>1</v>
      </c>
      <c r="E319" t="s">
        <v>42</v>
      </c>
      <c r="F319" t="s">
        <v>61</v>
      </c>
      <c r="G319" s="1">
        <v>46200</v>
      </c>
      <c r="I319" s="2"/>
      <c r="J319" t="s">
        <v>166</v>
      </c>
      <c r="K319">
        <v>9961</v>
      </c>
      <c r="L319" t="s">
        <v>165</v>
      </c>
      <c r="M319">
        <v>1588419</v>
      </c>
      <c r="N319">
        <v>26</v>
      </c>
      <c r="O319" t="s">
        <v>10</v>
      </c>
    </row>
    <row r="320" spans="2:15" x14ac:dyDescent="0.25">
      <c r="B320" t="s">
        <v>60</v>
      </c>
      <c r="C320" t="str">
        <f>_xlfn.XLOOKUP(B320,Tabla2[CODIGO],Tabla2[MATERIAL],"N/A",0)</f>
        <v>Fotocelda</v>
      </c>
      <c r="D320">
        <v>1</v>
      </c>
      <c r="E320" t="s">
        <v>42</v>
      </c>
      <c r="F320" t="s">
        <v>61</v>
      </c>
      <c r="G320" s="1">
        <v>46200</v>
      </c>
      <c r="I320" s="2"/>
      <c r="J320" t="s">
        <v>166</v>
      </c>
      <c r="K320">
        <v>9961</v>
      </c>
      <c r="L320" t="s">
        <v>165</v>
      </c>
      <c r="M320">
        <v>6535241</v>
      </c>
      <c r="N320">
        <v>5</v>
      </c>
      <c r="O320" t="s">
        <v>10</v>
      </c>
    </row>
    <row r="321" spans="2:15" x14ac:dyDescent="0.25">
      <c r="B321" t="s">
        <v>60</v>
      </c>
      <c r="C321" t="str">
        <f>_xlfn.XLOOKUP(B321,Tabla2[CODIGO],Tabla2[MATERIAL],"N/A",0)</f>
        <v>Fotocelda</v>
      </c>
      <c r="D321">
        <v>1</v>
      </c>
      <c r="E321" t="s">
        <v>42</v>
      </c>
      <c r="F321" t="s">
        <v>61</v>
      </c>
      <c r="G321" s="1">
        <v>46200</v>
      </c>
      <c r="I321" s="2"/>
      <c r="J321" t="s">
        <v>166</v>
      </c>
      <c r="K321">
        <v>9961</v>
      </c>
      <c r="L321" t="s">
        <v>165</v>
      </c>
      <c r="M321">
        <v>6535241</v>
      </c>
      <c r="N321">
        <v>6</v>
      </c>
      <c r="O321" t="s">
        <v>10</v>
      </c>
    </row>
    <row r="322" spans="2:15" x14ac:dyDescent="0.25">
      <c r="B322" t="s">
        <v>60</v>
      </c>
      <c r="C322" t="str">
        <f>_xlfn.XLOOKUP(B322,Tabla2[CODIGO],Tabla2[MATERIAL],"N/A",0)</f>
        <v>Fotocelda</v>
      </c>
      <c r="D322">
        <v>1</v>
      </c>
      <c r="E322" t="s">
        <v>42</v>
      </c>
      <c r="F322" t="s">
        <v>61</v>
      </c>
      <c r="G322" s="1">
        <v>46200</v>
      </c>
      <c r="I322" s="2"/>
      <c r="J322" t="s">
        <v>166</v>
      </c>
      <c r="K322">
        <v>9961</v>
      </c>
      <c r="L322" t="s">
        <v>165</v>
      </c>
      <c r="M322">
        <v>6532306</v>
      </c>
      <c r="N322">
        <v>7</v>
      </c>
      <c r="O322" t="s">
        <v>10</v>
      </c>
    </row>
    <row r="323" spans="2:15" x14ac:dyDescent="0.25">
      <c r="B323" t="s">
        <v>60</v>
      </c>
      <c r="C323" t="str">
        <f>_xlfn.XLOOKUP(B323,Tabla2[CODIGO],Tabla2[MATERIAL],"N/A",0)</f>
        <v>Fotocelda</v>
      </c>
      <c r="D323">
        <v>1</v>
      </c>
      <c r="E323" t="s">
        <v>42</v>
      </c>
      <c r="F323" t="s">
        <v>61</v>
      </c>
      <c r="G323" s="1">
        <v>46200</v>
      </c>
      <c r="I323" s="2"/>
      <c r="J323" t="s">
        <v>166</v>
      </c>
      <c r="K323">
        <v>9961</v>
      </c>
      <c r="L323" t="s">
        <v>165</v>
      </c>
      <c r="M323">
        <v>6532306</v>
      </c>
      <c r="N323">
        <v>8</v>
      </c>
      <c r="O323" t="s">
        <v>10</v>
      </c>
    </row>
    <row r="324" spans="2:15" x14ac:dyDescent="0.25">
      <c r="B324" t="s">
        <v>60</v>
      </c>
      <c r="C324" t="str">
        <f>_xlfn.XLOOKUP(B324,Tabla2[CODIGO],Tabla2[MATERIAL],"N/A",0)</f>
        <v>Fotocelda</v>
      </c>
      <c r="D324">
        <v>1</v>
      </c>
      <c r="E324" t="s">
        <v>42</v>
      </c>
      <c r="F324" t="s">
        <v>61</v>
      </c>
      <c r="G324" s="1">
        <v>46200</v>
      </c>
      <c r="I324" s="2"/>
      <c r="J324" t="s">
        <v>166</v>
      </c>
      <c r="K324">
        <v>9961</v>
      </c>
      <c r="L324" t="s">
        <v>165</v>
      </c>
      <c r="M324">
        <v>2173239</v>
      </c>
      <c r="N324">
        <v>9</v>
      </c>
      <c r="O324" t="s">
        <v>10</v>
      </c>
    </row>
    <row r="325" spans="2:15" x14ac:dyDescent="0.25">
      <c r="B325" t="s">
        <v>60</v>
      </c>
      <c r="C325" t="str">
        <f>_xlfn.XLOOKUP(B325,Tabla2[CODIGO],Tabla2[MATERIAL],"N/A",0)</f>
        <v>Fotocelda</v>
      </c>
      <c r="D325">
        <v>1</v>
      </c>
      <c r="E325" t="s">
        <v>42</v>
      </c>
      <c r="F325" t="s">
        <v>61</v>
      </c>
      <c r="G325" s="1">
        <v>46200</v>
      </c>
      <c r="I325" s="2"/>
      <c r="J325" t="s">
        <v>166</v>
      </c>
      <c r="K325">
        <v>9961</v>
      </c>
      <c r="L325" t="s">
        <v>165</v>
      </c>
      <c r="M325">
        <v>2173239</v>
      </c>
      <c r="N325">
        <v>10</v>
      </c>
      <c r="O325" t="s">
        <v>10</v>
      </c>
    </row>
    <row r="326" spans="2:15" x14ac:dyDescent="0.25">
      <c r="B326" t="s">
        <v>60</v>
      </c>
      <c r="C326" t="str">
        <f>_xlfn.XLOOKUP(B326,Tabla2[CODIGO],Tabla2[MATERIAL],"N/A",0)</f>
        <v>Fotocelda</v>
      </c>
      <c r="D326">
        <v>1</v>
      </c>
      <c r="E326" t="s">
        <v>42</v>
      </c>
      <c r="F326" t="s">
        <v>61</v>
      </c>
      <c r="G326" s="1">
        <v>46200</v>
      </c>
      <c r="I326" s="2"/>
      <c r="J326" t="s">
        <v>166</v>
      </c>
      <c r="K326">
        <v>9961</v>
      </c>
      <c r="L326" t="s">
        <v>165</v>
      </c>
      <c r="M326">
        <v>2173239</v>
      </c>
      <c r="N326">
        <v>11</v>
      </c>
      <c r="O326" t="s">
        <v>10</v>
      </c>
    </row>
    <row r="327" spans="2:15" x14ac:dyDescent="0.25">
      <c r="B327" t="s">
        <v>60</v>
      </c>
      <c r="C327" t="str">
        <f>_xlfn.XLOOKUP(B327,Tabla2[CODIGO],Tabla2[MATERIAL],"N/A",0)</f>
        <v>Fotocelda</v>
      </c>
      <c r="D327">
        <v>1</v>
      </c>
      <c r="E327" t="s">
        <v>42</v>
      </c>
      <c r="F327" t="s">
        <v>61</v>
      </c>
      <c r="G327" s="1">
        <v>46200</v>
      </c>
      <c r="I327" s="2"/>
      <c r="J327" t="s">
        <v>166</v>
      </c>
      <c r="K327">
        <v>9961</v>
      </c>
      <c r="L327" t="s">
        <v>165</v>
      </c>
      <c r="M327">
        <v>6532292</v>
      </c>
      <c r="N327">
        <v>12</v>
      </c>
      <c r="O327" t="s">
        <v>10</v>
      </c>
    </row>
    <row r="328" spans="2:15" x14ac:dyDescent="0.25">
      <c r="B328" t="s">
        <v>60</v>
      </c>
      <c r="C328" t="str">
        <f>_xlfn.XLOOKUP(B328,Tabla2[CODIGO],Tabla2[MATERIAL],"N/A",0)</f>
        <v>Fotocelda</v>
      </c>
      <c r="D328">
        <v>1</v>
      </c>
      <c r="E328" t="s">
        <v>42</v>
      </c>
      <c r="F328" t="s">
        <v>61</v>
      </c>
      <c r="G328" s="1">
        <v>46200</v>
      </c>
      <c r="I328" s="2"/>
      <c r="J328" t="s">
        <v>166</v>
      </c>
      <c r="K328">
        <v>9961</v>
      </c>
      <c r="L328" t="s">
        <v>165</v>
      </c>
      <c r="M328">
        <v>6532292</v>
      </c>
      <c r="N328">
        <v>13</v>
      </c>
      <c r="O328" t="s">
        <v>10</v>
      </c>
    </row>
    <row r="329" spans="2:15" x14ac:dyDescent="0.25">
      <c r="B329" t="s">
        <v>60</v>
      </c>
      <c r="C329" t="str">
        <f>_xlfn.XLOOKUP(B329,Tabla2[CODIGO],Tabla2[MATERIAL],"N/A",0)</f>
        <v>Fotocelda</v>
      </c>
      <c r="D329">
        <v>1</v>
      </c>
      <c r="E329" t="s">
        <v>42</v>
      </c>
      <c r="F329" t="s">
        <v>61</v>
      </c>
      <c r="G329" s="1">
        <v>46200</v>
      </c>
      <c r="I329" s="2"/>
      <c r="J329" t="s">
        <v>166</v>
      </c>
      <c r="K329">
        <v>9961</v>
      </c>
      <c r="L329" t="s">
        <v>165</v>
      </c>
      <c r="M329">
        <v>2173221</v>
      </c>
      <c r="N329">
        <v>14</v>
      </c>
      <c r="O329" t="s">
        <v>10</v>
      </c>
    </row>
    <row r="330" spans="2:15" x14ac:dyDescent="0.25">
      <c r="B330" t="s">
        <v>60</v>
      </c>
      <c r="C330" t="str">
        <f>_xlfn.XLOOKUP(B330,Tabla2[CODIGO],Tabla2[MATERIAL],"N/A",0)</f>
        <v>Fotocelda</v>
      </c>
      <c r="D330">
        <v>1</v>
      </c>
      <c r="E330" t="s">
        <v>42</v>
      </c>
      <c r="F330" t="s">
        <v>61</v>
      </c>
      <c r="G330" s="1">
        <v>46200</v>
      </c>
      <c r="I330" s="2"/>
      <c r="J330" t="s">
        <v>166</v>
      </c>
      <c r="K330">
        <v>9961</v>
      </c>
      <c r="L330" t="s">
        <v>165</v>
      </c>
      <c r="M330">
        <v>2173221</v>
      </c>
      <c r="N330">
        <v>15</v>
      </c>
      <c r="O330" t="s">
        <v>10</v>
      </c>
    </row>
    <row r="331" spans="2:15" x14ac:dyDescent="0.25">
      <c r="B331" t="s">
        <v>60</v>
      </c>
      <c r="C331" t="str">
        <f>_xlfn.XLOOKUP(B331,Tabla2[CODIGO],Tabla2[MATERIAL],"N/A",0)</f>
        <v>Fotocelda</v>
      </c>
      <c r="D331">
        <v>1</v>
      </c>
      <c r="E331" t="s">
        <v>42</v>
      </c>
      <c r="F331" t="s">
        <v>61</v>
      </c>
      <c r="G331" s="1">
        <v>46200</v>
      </c>
      <c r="I331" s="2"/>
      <c r="J331" t="s">
        <v>166</v>
      </c>
      <c r="K331">
        <v>9961</v>
      </c>
      <c r="L331" t="s">
        <v>165</v>
      </c>
      <c r="M331">
        <v>2173221</v>
      </c>
      <c r="N331">
        <v>16</v>
      </c>
      <c r="O331" t="s">
        <v>10</v>
      </c>
    </row>
    <row r="332" spans="2:15" x14ac:dyDescent="0.25">
      <c r="B332" t="s">
        <v>60</v>
      </c>
      <c r="C332" t="str">
        <f>_xlfn.XLOOKUP(B332,Tabla2[CODIGO],Tabla2[MATERIAL],"N/A",0)</f>
        <v>Fotocelda</v>
      </c>
      <c r="D332">
        <v>1</v>
      </c>
      <c r="E332" t="s">
        <v>42</v>
      </c>
      <c r="F332" t="s">
        <v>61</v>
      </c>
      <c r="G332" s="1">
        <v>46200</v>
      </c>
      <c r="I332" s="2"/>
      <c r="J332" t="s">
        <v>166</v>
      </c>
      <c r="K332">
        <v>9961</v>
      </c>
      <c r="L332" t="s">
        <v>165</v>
      </c>
      <c r="M332">
        <v>6532281</v>
      </c>
      <c r="N332">
        <v>17</v>
      </c>
      <c r="O332" t="s">
        <v>10</v>
      </c>
    </row>
    <row r="333" spans="2:15" x14ac:dyDescent="0.25">
      <c r="B333" t="s">
        <v>60</v>
      </c>
      <c r="C333" t="str">
        <f>_xlfn.XLOOKUP(B333,Tabla2[CODIGO],Tabla2[MATERIAL],"N/A",0)</f>
        <v>Fotocelda</v>
      </c>
      <c r="D333">
        <v>1</v>
      </c>
      <c r="E333" t="s">
        <v>42</v>
      </c>
      <c r="F333" t="s">
        <v>61</v>
      </c>
      <c r="G333" s="1">
        <v>46200</v>
      </c>
      <c r="I333" s="2"/>
      <c r="J333" t="s">
        <v>166</v>
      </c>
      <c r="K333">
        <v>9961</v>
      </c>
      <c r="L333" t="s">
        <v>165</v>
      </c>
      <c r="M333">
        <v>6532281</v>
      </c>
      <c r="N333">
        <v>18</v>
      </c>
      <c r="O333" t="s">
        <v>10</v>
      </c>
    </row>
    <row r="334" spans="2:15" x14ac:dyDescent="0.25">
      <c r="B334" t="s">
        <v>60</v>
      </c>
      <c r="C334" t="str">
        <f>_xlfn.XLOOKUP(B334,Tabla2[CODIGO],Tabla2[MATERIAL],"N/A",0)</f>
        <v>Fotocelda</v>
      </c>
      <c r="D334">
        <v>1</v>
      </c>
      <c r="E334" t="s">
        <v>42</v>
      </c>
      <c r="F334" t="s">
        <v>61</v>
      </c>
      <c r="G334" s="1">
        <v>46200</v>
      </c>
      <c r="I334" s="2"/>
      <c r="J334" t="s">
        <v>166</v>
      </c>
      <c r="K334">
        <v>9961</v>
      </c>
      <c r="L334" t="s">
        <v>165</v>
      </c>
      <c r="M334">
        <v>6522233</v>
      </c>
      <c r="N334">
        <v>19</v>
      </c>
      <c r="O334" t="s">
        <v>10</v>
      </c>
    </row>
    <row r="335" spans="2:15" x14ac:dyDescent="0.25">
      <c r="B335" t="s">
        <v>60</v>
      </c>
      <c r="C335" t="str">
        <f>_xlfn.XLOOKUP(B335,Tabla2[CODIGO],Tabla2[MATERIAL],"N/A",0)</f>
        <v>Fotocelda</v>
      </c>
      <c r="D335">
        <v>1</v>
      </c>
      <c r="E335" t="s">
        <v>42</v>
      </c>
      <c r="F335" t="s">
        <v>61</v>
      </c>
      <c r="G335" s="1">
        <v>46200</v>
      </c>
      <c r="I335" s="2"/>
      <c r="J335" t="s">
        <v>166</v>
      </c>
      <c r="K335">
        <v>9961</v>
      </c>
      <c r="L335" t="s">
        <v>165</v>
      </c>
      <c r="M335">
        <v>6522233</v>
      </c>
      <c r="N335">
        <v>20</v>
      </c>
      <c r="O335" t="s">
        <v>10</v>
      </c>
    </row>
    <row r="336" spans="2:15" x14ac:dyDescent="0.25">
      <c r="B336" t="s">
        <v>60</v>
      </c>
      <c r="C336" t="str">
        <f>_xlfn.XLOOKUP(B336,Tabla2[CODIGO],Tabla2[MATERIAL],"N/A",0)</f>
        <v>Fotocelda</v>
      </c>
      <c r="D336">
        <v>1</v>
      </c>
      <c r="E336" t="s">
        <v>42</v>
      </c>
      <c r="F336" t="s">
        <v>61</v>
      </c>
      <c r="G336" s="1">
        <v>46200</v>
      </c>
      <c r="I336" s="2"/>
      <c r="J336" t="s">
        <v>166</v>
      </c>
      <c r="K336">
        <v>9961</v>
      </c>
      <c r="L336" t="s">
        <v>165</v>
      </c>
      <c r="M336">
        <v>2258935</v>
      </c>
      <c r="N336">
        <v>21</v>
      </c>
      <c r="O336" t="s">
        <v>10</v>
      </c>
    </row>
    <row r="337" spans="2:15" x14ac:dyDescent="0.25">
      <c r="B337" t="s">
        <v>60</v>
      </c>
      <c r="C337" t="str">
        <f>_xlfn.XLOOKUP(B337,Tabla2[CODIGO],Tabla2[MATERIAL],"N/A",0)</f>
        <v>Fotocelda</v>
      </c>
      <c r="D337">
        <v>1</v>
      </c>
      <c r="E337" t="s">
        <v>42</v>
      </c>
      <c r="F337" t="s">
        <v>61</v>
      </c>
      <c r="G337" s="1">
        <v>46200</v>
      </c>
      <c r="I337" s="2"/>
      <c r="J337" t="s">
        <v>166</v>
      </c>
      <c r="K337">
        <v>9961</v>
      </c>
      <c r="L337" t="s">
        <v>165</v>
      </c>
      <c r="M337">
        <v>2258935</v>
      </c>
      <c r="N337">
        <v>22</v>
      </c>
      <c r="O337" t="s">
        <v>10</v>
      </c>
    </row>
    <row r="338" spans="2:15" x14ac:dyDescent="0.25">
      <c r="B338" t="s">
        <v>60</v>
      </c>
      <c r="C338" t="str">
        <f>_xlfn.XLOOKUP(B338,Tabla2[CODIGO],Tabla2[MATERIAL],"N/A",0)</f>
        <v>Fotocelda</v>
      </c>
      <c r="D338">
        <v>1</v>
      </c>
      <c r="E338" t="s">
        <v>42</v>
      </c>
      <c r="F338" t="s">
        <v>61</v>
      </c>
      <c r="G338" s="1">
        <v>46200</v>
      </c>
      <c r="I338" s="2"/>
      <c r="J338" t="s">
        <v>166</v>
      </c>
      <c r="K338">
        <v>9961</v>
      </c>
      <c r="L338" t="s">
        <v>165</v>
      </c>
      <c r="M338">
        <v>6532225</v>
      </c>
      <c r="N338">
        <v>23</v>
      </c>
      <c r="O338" t="s">
        <v>10</v>
      </c>
    </row>
    <row r="339" spans="2:15" x14ac:dyDescent="0.25">
      <c r="B339" t="s">
        <v>60</v>
      </c>
      <c r="C339" t="str">
        <f>_xlfn.XLOOKUP(B339,Tabla2[CODIGO],Tabla2[MATERIAL],"N/A",0)</f>
        <v>Fotocelda</v>
      </c>
      <c r="D339">
        <v>1</v>
      </c>
      <c r="E339" t="s">
        <v>42</v>
      </c>
      <c r="F339" t="s">
        <v>61</v>
      </c>
      <c r="G339" s="1">
        <v>46200</v>
      </c>
      <c r="I339" s="2"/>
      <c r="J339" t="s">
        <v>166</v>
      </c>
      <c r="K339">
        <v>9961</v>
      </c>
      <c r="L339" t="s">
        <v>165</v>
      </c>
      <c r="M339">
        <v>1588320</v>
      </c>
      <c r="N339">
        <v>24</v>
      </c>
      <c r="O339" t="s">
        <v>10</v>
      </c>
    </row>
    <row r="340" spans="2:15" x14ac:dyDescent="0.25">
      <c r="B340" t="s">
        <v>60</v>
      </c>
      <c r="C340" t="str">
        <f>_xlfn.XLOOKUP(B340,Tabla2[CODIGO],Tabla2[MATERIAL],"N/A",0)</f>
        <v>Fotocelda</v>
      </c>
      <c r="D340">
        <v>1</v>
      </c>
      <c r="E340" t="s">
        <v>42</v>
      </c>
      <c r="F340" t="s">
        <v>61</v>
      </c>
      <c r="G340" s="1">
        <v>46200</v>
      </c>
      <c r="I340" s="2"/>
      <c r="J340" t="s">
        <v>166</v>
      </c>
      <c r="K340">
        <v>9961</v>
      </c>
      <c r="L340" t="s">
        <v>165</v>
      </c>
      <c r="M340">
        <v>1588371</v>
      </c>
      <c r="N340">
        <v>25</v>
      </c>
      <c r="O340" t="s">
        <v>10</v>
      </c>
    </row>
    <row r="341" spans="2:15" x14ac:dyDescent="0.25">
      <c r="B341" t="s">
        <v>221</v>
      </c>
      <c r="C341" t="str">
        <f>_xlfn.XLOOKUP(B341,Tabla2[CODIGO],Tabla2[MATERIAL],"N/A",0)</f>
        <v>Grillete galvanizado 1,1/2</v>
      </c>
      <c r="D341">
        <v>2</v>
      </c>
      <c r="E341" t="s">
        <v>42</v>
      </c>
      <c r="F341" t="s">
        <v>61</v>
      </c>
      <c r="G341" s="1">
        <v>46200</v>
      </c>
      <c r="I341" s="2"/>
      <c r="J341" t="s">
        <v>166</v>
      </c>
      <c r="K341">
        <v>9961</v>
      </c>
      <c r="L341" t="s">
        <v>165</v>
      </c>
      <c r="M341">
        <v>2258897</v>
      </c>
      <c r="N341">
        <v>3</v>
      </c>
      <c r="O341" t="s">
        <v>10</v>
      </c>
    </row>
    <row r="342" spans="2:15" x14ac:dyDescent="0.25">
      <c r="B342" t="s">
        <v>221</v>
      </c>
      <c r="C342" t="str">
        <f>_xlfn.XLOOKUP(B342,Tabla2[CODIGO],Tabla2[MATERIAL],"N/A",0)</f>
        <v>Grillete galvanizado 1,1/2</v>
      </c>
      <c r="D342">
        <v>2</v>
      </c>
      <c r="E342" t="s">
        <v>42</v>
      </c>
      <c r="F342" t="s">
        <v>61</v>
      </c>
      <c r="G342" s="1">
        <v>46200</v>
      </c>
      <c r="I342" s="2"/>
      <c r="J342" t="s">
        <v>166</v>
      </c>
      <c r="K342">
        <v>9961</v>
      </c>
      <c r="L342" t="s">
        <v>165</v>
      </c>
      <c r="M342">
        <v>2258897</v>
      </c>
      <c r="N342">
        <v>4</v>
      </c>
      <c r="O342" t="s">
        <v>10</v>
      </c>
    </row>
    <row r="343" spans="2:15" x14ac:dyDescent="0.25">
      <c r="B343" t="s">
        <v>221</v>
      </c>
      <c r="C343" t="str">
        <f>_xlfn.XLOOKUP(B343,Tabla2[CODIGO],Tabla2[MATERIAL],"N/A",0)</f>
        <v>Grillete galvanizado 1,1/2</v>
      </c>
      <c r="D343">
        <v>2</v>
      </c>
      <c r="E343" t="s">
        <v>42</v>
      </c>
      <c r="F343" t="s">
        <v>61</v>
      </c>
      <c r="G343" s="1">
        <v>46200</v>
      </c>
      <c r="I343" s="2"/>
      <c r="J343" t="s">
        <v>166</v>
      </c>
      <c r="K343">
        <v>9961</v>
      </c>
      <c r="L343" t="s">
        <v>165</v>
      </c>
      <c r="M343">
        <v>6532281</v>
      </c>
      <c r="N343">
        <v>17</v>
      </c>
      <c r="O343" t="s">
        <v>10</v>
      </c>
    </row>
    <row r="344" spans="2:15" x14ac:dyDescent="0.25">
      <c r="B344" t="s">
        <v>221</v>
      </c>
      <c r="C344" t="str">
        <f>_xlfn.XLOOKUP(B344,Tabla2[CODIGO],Tabla2[MATERIAL],"N/A",0)</f>
        <v>Grillete galvanizado 1,1/2</v>
      </c>
      <c r="D344">
        <v>2</v>
      </c>
      <c r="E344" t="s">
        <v>42</v>
      </c>
      <c r="F344" t="s">
        <v>61</v>
      </c>
      <c r="G344" s="1">
        <v>46200</v>
      </c>
      <c r="I344" s="2"/>
      <c r="J344" t="s">
        <v>166</v>
      </c>
      <c r="K344">
        <v>9961</v>
      </c>
      <c r="L344" t="s">
        <v>165</v>
      </c>
      <c r="M344">
        <v>6532281</v>
      </c>
      <c r="N344">
        <v>18</v>
      </c>
      <c r="O344" t="s">
        <v>10</v>
      </c>
    </row>
    <row r="345" spans="2:15" x14ac:dyDescent="0.25">
      <c r="B345" t="s">
        <v>221</v>
      </c>
      <c r="C345" t="str">
        <f>_xlfn.XLOOKUP(B345,Tabla2[CODIGO],Tabla2[MATERIAL],"N/A",0)</f>
        <v>Grillete galvanizado 1,1/2</v>
      </c>
      <c r="D345">
        <v>2</v>
      </c>
      <c r="E345" t="s">
        <v>42</v>
      </c>
      <c r="F345" t="s">
        <v>61</v>
      </c>
      <c r="G345" s="1">
        <v>46200</v>
      </c>
      <c r="I345" s="2"/>
      <c r="J345" t="s">
        <v>166</v>
      </c>
      <c r="K345">
        <v>9961</v>
      </c>
      <c r="L345" t="s">
        <v>165</v>
      </c>
      <c r="M345">
        <v>6522233</v>
      </c>
      <c r="N345">
        <v>19</v>
      </c>
      <c r="O345" t="s">
        <v>10</v>
      </c>
    </row>
    <row r="346" spans="2:15" x14ac:dyDescent="0.25">
      <c r="B346" t="s">
        <v>221</v>
      </c>
      <c r="C346" t="str">
        <f>_xlfn.XLOOKUP(B346,Tabla2[CODIGO],Tabla2[MATERIAL],"N/A",0)</f>
        <v>Grillete galvanizado 1,1/2</v>
      </c>
      <c r="D346">
        <v>2</v>
      </c>
      <c r="E346" t="s">
        <v>42</v>
      </c>
      <c r="F346" t="s">
        <v>61</v>
      </c>
      <c r="G346" s="1">
        <v>46200</v>
      </c>
      <c r="I346" s="2"/>
      <c r="J346" t="s">
        <v>166</v>
      </c>
      <c r="K346">
        <v>9961</v>
      </c>
      <c r="L346" t="s">
        <v>165</v>
      </c>
      <c r="M346">
        <v>6522233</v>
      </c>
      <c r="N346">
        <v>20</v>
      </c>
      <c r="O346" t="s">
        <v>10</v>
      </c>
    </row>
    <row r="347" spans="2:15" x14ac:dyDescent="0.25">
      <c r="B347" t="s">
        <v>221</v>
      </c>
      <c r="C347" t="str">
        <f>_xlfn.XLOOKUP(B347,Tabla2[CODIGO],Tabla2[MATERIAL],"N/A",0)</f>
        <v>Grillete galvanizado 1,1/2</v>
      </c>
      <c r="D347">
        <v>2</v>
      </c>
      <c r="E347" t="s">
        <v>42</v>
      </c>
      <c r="F347" t="s">
        <v>61</v>
      </c>
      <c r="G347" s="1">
        <v>46200</v>
      </c>
      <c r="I347" s="2"/>
      <c r="J347" t="s">
        <v>166</v>
      </c>
      <c r="K347">
        <v>9961</v>
      </c>
      <c r="L347" t="s">
        <v>165</v>
      </c>
      <c r="M347">
        <v>6532225</v>
      </c>
      <c r="N347">
        <v>23</v>
      </c>
      <c r="O347" t="s">
        <v>10</v>
      </c>
    </row>
    <row r="348" spans="2:15" x14ac:dyDescent="0.25">
      <c r="B348" t="s">
        <v>226</v>
      </c>
      <c r="C348" t="str">
        <f>_xlfn.XLOOKUP(B348,Tabla2[CODIGO],Tabla2[MATERIAL],"N/A",0)</f>
        <v>Abrazadera una salida 6"</v>
      </c>
      <c r="D348">
        <v>1</v>
      </c>
      <c r="E348" t="s">
        <v>42</v>
      </c>
      <c r="F348" t="s">
        <v>61</v>
      </c>
      <c r="G348" s="1">
        <v>46200</v>
      </c>
      <c r="I348" s="2"/>
      <c r="J348" t="s">
        <v>166</v>
      </c>
      <c r="K348">
        <v>9961</v>
      </c>
      <c r="L348" t="s">
        <v>165</v>
      </c>
      <c r="M348">
        <v>2257815</v>
      </c>
      <c r="N348">
        <v>2</v>
      </c>
      <c r="O348" t="s">
        <v>10</v>
      </c>
    </row>
    <row r="349" spans="2:15" x14ac:dyDescent="0.25">
      <c r="B349" t="s">
        <v>226</v>
      </c>
      <c r="C349" t="str">
        <f>_xlfn.XLOOKUP(B349,Tabla2[CODIGO],Tabla2[MATERIAL],"N/A",0)</f>
        <v>Abrazadera una salida 6"</v>
      </c>
      <c r="D349">
        <v>1</v>
      </c>
      <c r="E349" t="s">
        <v>42</v>
      </c>
      <c r="F349" t="s">
        <v>61</v>
      </c>
      <c r="G349" s="1">
        <v>46200</v>
      </c>
      <c r="I349" s="2"/>
      <c r="J349" t="s">
        <v>166</v>
      </c>
      <c r="K349">
        <v>9961</v>
      </c>
      <c r="L349" t="s">
        <v>165</v>
      </c>
      <c r="M349">
        <v>2258897</v>
      </c>
      <c r="N349">
        <v>3</v>
      </c>
      <c r="O349" t="s">
        <v>10</v>
      </c>
    </row>
    <row r="350" spans="2:15" x14ac:dyDescent="0.25">
      <c r="B350" t="s">
        <v>226</v>
      </c>
      <c r="C350" t="str">
        <f>_xlfn.XLOOKUP(B350,Tabla2[CODIGO],Tabla2[MATERIAL],"N/A",0)</f>
        <v>Abrazadera una salida 6"</v>
      </c>
      <c r="D350">
        <v>1</v>
      </c>
      <c r="E350" t="s">
        <v>42</v>
      </c>
      <c r="F350" t="s">
        <v>61</v>
      </c>
      <c r="G350" s="1">
        <v>46200</v>
      </c>
      <c r="I350" s="2"/>
      <c r="J350" t="s">
        <v>166</v>
      </c>
      <c r="K350">
        <v>9961</v>
      </c>
      <c r="L350" t="s">
        <v>165</v>
      </c>
      <c r="M350">
        <v>6532281</v>
      </c>
      <c r="N350">
        <v>17</v>
      </c>
      <c r="O350" t="s">
        <v>10</v>
      </c>
    </row>
    <row r="351" spans="2:15" x14ac:dyDescent="0.25">
      <c r="B351" t="s">
        <v>226</v>
      </c>
      <c r="C351" t="str">
        <f>_xlfn.XLOOKUP(B351,Tabla2[CODIGO],Tabla2[MATERIAL],"N/A",0)</f>
        <v>Abrazadera una salida 6"</v>
      </c>
      <c r="D351">
        <v>1</v>
      </c>
      <c r="E351" t="s">
        <v>42</v>
      </c>
      <c r="F351" t="s">
        <v>61</v>
      </c>
      <c r="G351" s="1">
        <v>46200</v>
      </c>
      <c r="I351" s="2"/>
      <c r="J351" t="s">
        <v>166</v>
      </c>
      <c r="K351">
        <v>9961</v>
      </c>
      <c r="L351" t="s">
        <v>165</v>
      </c>
      <c r="M351">
        <v>6532281</v>
      </c>
      <c r="N351">
        <v>18</v>
      </c>
      <c r="O351" t="s">
        <v>10</v>
      </c>
    </row>
    <row r="352" spans="2:15" x14ac:dyDescent="0.25">
      <c r="B352" t="s">
        <v>226</v>
      </c>
      <c r="C352" t="str">
        <f>_xlfn.XLOOKUP(B352,Tabla2[CODIGO],Tabla2[MATERIAL],"N/A",0)</f>
        <v>Abrazadera una salida 6"</v>
      </c>
      <c r="D352">
        <v>1</v>
      </c>
      <c r="E352" t="s">
        <v>42</v>
      </c>
      <c r="F352" t="s">
        <v>61</v>
      </c>
      <c r="G352" s="1">
        <v>46200</v>
      </c>
      <c r="I352" s="2"/>
      <c r="J352" t="s">
        <v>166</v>
      </c>
      <c r="K352">
        <v>9961</v>
      </c>
      <c r="L352" t="s">
        <v>165</v>
      </c>
      <c r="M352">
        <v>6522233</v>
      </c>
      <c r="N352">
        <v>19</v>
      </c>
      <c r="O352" t="s">
        <v>10</v>
      </c>
    </row>
    <row r="353" spans="2:15" x14ac:dyDescent="0.25">
      <c r="B353" t="s">
        <v>226</v>
      </c>
      <c r="C353" t="str">
        <f>_xlfn.XLOOKUP(B353,Tabla2[CODIGO],Tabla2[MATERIAL],"N/A",0)</f>
        <v>Abrazadera una salida 6"</v>
      </c>
      <c r="D353">
        <v>1</v>
      </c>
      <c r="E353" t="s">
        <v>42</v>
      </c>
      <c r="F353" t="s">
        <v>61</v>
      </c>
      <c r="G353" s="1">
        <v>46200</v>
      </c>
      <c r="I353" s="2"/>
      <c r="J353" t="s">
        <v>166</v>
      </c>
      <c r="K353">
        <v>9961</v>
      </c>
      <c r="L353" t="s">
        <v>165</v>
      </c>
      <c r="M353">
        <v>6522233</v>
      </c>
      <c r="N353">
        <v>20</v>
      </c>
      <c r="O353" t="s">
        <v>10</v>
      </c>
    </row>
    <row r="354" spans="2:15" x14ac:dyDescent="0.25">
      <c r="B354" t="s">
        <v>226</v>
      </c>
      <c r="C354" t="str">
        <f>_xlfn.XLOOKUP(B354,Tabla2[CODIGO],Tabla2[MATERIAL],"N/A",0)</f>
        <v>Abrazadera una salida 6"</v>
      </c>
      <c r="D354">
        <v>1</v>
      </c>
      <c r="E354" t="s">
        <v>42</v>
      </c>
      <c r="F354" t="s">
        <v>61</v>
      </c>
      <c r="G354" s="1">
        <v>46200</v>
      </c>
      <c r="I354" s="2"/>
      <c r="J354" t="s">
        <v>166</v>
      </c>
      <c r="K354">
        <v>9961</v>
      </c>
      <c r="L354" t="s">
        <v>165</v>
      </c>
      <c r="M354">
        <v>1588281</v>
      </c>
      <c r="N354">
        <v>27</v>
      </c>
      <c r="O354" t="s">
        <v>10</v>
      </c>
    </row>
    <row r="355" spans="2:15" x14ac:dyDescent="0.25">
      <c r="B355" t="s">
        <v>230</v>
      </c>
      <c r="C355" t="str">
        <f>_xlfn.XLOOKUP(B355,Tabla2[CODIGO],Tabla2[MATERIAL],"N/A",0)</f>
        <v>Retiro Cable</v>
      </c>
      <c r="D355">
        <v>232</v>
      </c>
      <c r="E355" t="s">
        <v>43</v>
      </c>
      <c r="F355" t="s">
        <v>61</v>
      </c>
      <c r="G355" s="1">
        <v>46200</v>
      </c>
      <c r="I355" s="2"/>
      <c r="J355" t="s">
        <v>166</v>
      </c>
      <c r="K355">
        <v>9961</v>
      </c>
      <c r="L355" t="s">
        <v>165</v>
      </c>
      <c r="M355">
        <v>1588320</v>
      </c>
      <c r="N355">
        <v>24</v>
      </c>
      <c r="O355" t="s">
        <v>10</v>
      </c>
    </row>
    <row r="356" spans="2:15" x14ac:dyDescent="0.25">
      <c r="B356" t="s">
        <v>234</v>
      </c>
      <c r="C356" t="str">
        <f>_xlfn.XLOOKUP(B356,Tabla2[CODIGO],Tabla2[MATERIAL],"N/A",0)</f>
        <v>Proyector Ret. 250w</v>
      </c>
      <c r="D356">
        <v>1</v>
      </c>
      <c r="E356" t="s">
        <v>42</v>
      </c>
      <c r="F356" t="s">
        <v>61</v>
      </c>
      <c r="G356" s="1">
        <v>46200</v>
      </c>
      <c r="I356" s="2"/>
      <c r="J356" t="s">
        <v>166</v>
      </c>
      <c r="K356">
        <v>9961</v>
      </c>
      <c r="L356" t="s">
        <v>165</v>
      </c>
      <c r="M356">
        <v>2173239</v>
      </c>
      <c r="N356">
        <v>9</v>
      </c>
      <c r="O356" t="s">
        <v>10</v>
      </c>
    </row>
    <row r="357" spans="2:15" x14ac:dyDescent="0.25">
      <c r="B357" t="s">
        <v>234</v>
      </c>
      <c r="C357" t="str">
        <f>_xlfn.XLOOKUP(B357,Tabla2[CODIGO],Tabla2[MATERIAL],"N/A",0)</f>
        <v>Proyector Ret. 250w</v>
      </c>
      <c r="D357">
        <v>1</v>
      </c>
      <c r="E357" t="s">
        <v>42</v>
      </c>
      <c r="F357" t="s">
        <v>61</v>
      </c>
      <c r="G357" s="1">
        <v>46200</v>
      </c>
      <c r="I357" s="2"/>
      <c r="J357" t="s">
        <v>166</v>
      </c>
      <c r="K357">
        <v>9961</v>
      </c>
      <c r="L357" t="s">
        <v>165</v>
      </c>
      <c r="M357">
        <v>2173239</v>
      </c>
      <c r="N357">
        <v>10</v>
      </c>
      <c r="O357" t="s">
        <v>10</v>
      </c>
    </row>
    <row r="358" spans="2:15" x14ac:dyDescent="0.25">
      <c r="B358" t="s">
        <v>234</v>
      </c>
      <c r="C358" t="str">
        <f>_xlfn.XLOOKUP(B358,Tabla2[CODIGO],Tabla2[MATERIAL],"N/A",0)</f>
        <v>Proyector Ret. 250w</v>
      </c>
      <c r="D358">
        <v>1</v>
      </c>
      <c r="E358" t="s">
        <v>42</v>
      </c>
      <c r="F358" t="s">
        <v>61</v>
      </c>
      <c r="G358" s="1">
        <v>46200</v>
      </c>
      <c r="I358" s="2"/>
      <c r="J358" t="s">
        <v>166</v>
      </c>
      <c r="K358">
        <v>9961</v>
      </c>
      <c r="L358" t="s">
        <v>165</v>
      </c>
      <c r="M358">
        <v>2173239</v>
      </c>
      <c r="N358">
        <v>11</v>
      </c>
      <c r="O358" t="s">
        <v>10</v>
      </c>
    </row>
    <row r="359" spans="2:15" x14ac:dyDescent="0.25">
      <c r="B359" t="s">
        <v>234</v>
      </c>
      <c r="C359" t="str">
        <f>_xlfn.XLOOKUP(B359,Tabla2[CODIGO],Tabla2[MATERIAL],"N/A",0)</f>
        <v>Proyector Ret. 250w</v>
      </c>
      <c r="D359">
        <v>1</v>
      </c>
      <c r="E359" t="s">
        <v>42</v>
      </c>
      <c r="F359" t="s">
        <v>61</v>
      </c>
      <c r="G359" s="1">
        <v>46200</v>
      </c>
      <c r="I359" s="2"/>
      <c r="J359" t="s">
        <v>166</v>
      </c>
      <c r="K359">
        <v>9961</v>
      </c>
      <c r="L359" t="s">
        <v>165</v>
      </c>
      <c r="M359">
        <v>2173221</v>
      </c>
      <c r="N359">
        <v>14</v>
      </c>
      <c r="O359" t="s">
        <v>10</v>
      </c>
    </row>
    <row r="360" spans="2:15" x14ac:dyDescent="0.25">
      <c r="B360" t="s">
        <v>234</v>
      </c>
      <c r="C360" t="str">
        <f>_xlfn.XLOOKUP(B360,Tabla2[CODIGO],Tabla2[MATERIAL],"N/A",0)</f>
        <v>Proyector Ret. 250w</v>
      </c>
      <c r="D360">
        <v>1</v>
      </c>
      <c r="E360" t="s">
        <v>42</v>
      </c>
      <c r="F360" t="s">
        <v>61</v>
      </c>
      <c r="G360" s="1">
        <v>46200</v>
      </c>
      <c r="I360" s="2"/>
      <c r="J360" t="s">
        <v>166</v>
      </c>
      <c r="K360">
        <v>9961</v>
      </c>
      <c r="L360" t="s">
        <v>165</v>
      </c>
      <c r="M360">
        <v>2173221</v>
      </c>
      <c r="N360">
        <v>15</v>
      </c>
      <c r="O360" t="s">
        <v>10</v>
      </c>
    </row>
    <row r="361" spans="2:15" x14ac:dyDescent="0.25">
      <c r="B361" t="s">
        <v>234</v>
      </c>
      <c r="C361" t="str">
        <f>_xlfn.XLOOKUP(B361,Tabla2[CODIGO],Tabla2[MATERIAL],"N/A",0)</f>
        <v>Proyector Ret. 250w</v>
      </c>
      <c r="D361">
        <v>1</v>
      </c>
      <c r="E361" t="s">
        <v>42</v>
      </c>
      <c r="F361" t="s">
        <v>61</v>
      </c>
      <c r="G361" s="1">
        <v>46200</v>
      </c>
      <c r="I361" s="2"/>
      <c r="J361" t="s">
        <v>166</v>
      </c>
      <c r="K361">
        <v>9961</v>
      </c>
      <c r="L361" t="s">
        <v>165</v>
      </c>
      <c r="M361">
        <v>2173221</v>
      </c>
      <c r="N361">
        <v>16</v>
      </c>
      <c r="O361" t="s">
        <v>10</v>
      </c>
    </row>
    <row r="362" spans="2:15" x14ac:dyDescent="0.25">
      <c r="B362" t="s">
        <v>235</v>
      </c>
      <c r="C362" t="str">
        <f>_xlfn.XLOOKUP(B362,Tabla2[CODIGO],Tabla2[MATERIAL],"N/A",0)</f>
        <v>Luminaria Ret. 150w</v>
      </c>
      <c r="D362">
        <v>1</v>
      </c>
      <c r="E362" t="s">
        <v>42</v>
      </c>
      <c r="F362" t="s">
        <v>61</v>
      </c>
      <c r="G362" s="1">
        <v>46200</v>
      </c>
      <c r="I362" s="2"/>
      <c r="J362" t="s">
        <v>166</v>
      </c>
      <c r="K362">
        <v>9961</v>
      </c>
      <c r="L362" t="s">
        <v>165</v>
      </c>
      <c r="M362">
        <v>6535241</v>
      </c>
      <c r="N362">
        <v>5</v>
      </c>
      <c r="O362" t="s">
        <v>10</v>
      </c>
    </row>
    <row r="363" spans="2:15" x14ac:dyDescent="0.25">
      <c r="B363" t="s">
        <v>235</v>
      </c>
      <c r="C363" t="str">
        <f>_xlfn.XLOOKUP(B363,Tabla2[CODIGO],Tabla2[MATERIAL],"N/A",0)</f>
        <v>Luminaria Ret. 150w</v>
      </c>
      <c r="D363">
        <v>1</v>
      </c>
      <c r="E363" t="s">
        <v>42</v>
      </c>
      <c r="F363" t="s">
        <v>61</v>
      </c>
      <c r="G363" s="1">
        <v>46200</v>
      </c>
      <c r="I363" s="2"/>
      <c r="J363" t="s">
        <v>166</v>
      </c>
      <c r="K363">
        <v>9961</v>
      </c>
      <c r="L363" t="s">
        <v>165</v>
      </c>
      <c r="M363">
        <v>6535241</v>
      </c>
      <c r="N363">
        <v>6</v>
      </c>
      <c r="O363" t="s">
        <v>10</v>
      </c>
    </row>
    <row r="364" spans="2:15" x14ac:dyDescent="0.25">
      <c r="B364" t="s">
        <v>235</v>
      </c>
      <c r="C364" t="str">
        <f>_xlfn.XLOOKUP(B364,Tabla2[CODIGO],Tabla2[MATERIAL],"N/A",0)</f>
        <v>Luminaria Ret. 150w</v>
      </c>
      <c r="D364">
        <v>1</v>
      </c>
      <c r="E364" t="s">
        <v>42</v>
      </c>
      <c r="F364" t="s">
        <v>61</v>
      </c>
      <c r="G364" s="1">
        <v>46200</v>
      </c>
      <c r="I364" s="2"/>
      <c r="J364" t="s">
        <v>166</v>
      </c>
      <c r="K364">
        <v>9961</v>
      </c>
      <c r="L364" t="s">
        <v>165</v>
      </c>
      <c r="M364">
        <v>6532306</v>
      </c>
      <c r="N364">
        <v>7</v>
      </c>
      <c r="O364" t="s">
        <v>10</v>
      </c>
    </row>
    <row r="365" spans="2:15" x14ac:dyDescent="0.25">
      <c r="B365" t="s">
        <v>235</v>
      </c>
      <c r="C365" t="str">
        <f>_xlfn.XLOOKUP(B365,Tabla2[CODIGO],Tabla2[MATERIAL],"N/A",0)</f>
        <v>Luminaria Ret. 150w</v>
      </c>
      <c r="D365">
        <v>1</v>
      </c>
      <c r="E365" t="s">
        <v>42</v>
      </c>
      <c r="F365" t="s">
        <v>61</v>
      </c>
      <c r="G365" s="1">
        <v>46200</v>
      </c>
      <c r="I365" s="2"/>
      <c r="J365" t="s">
        <v>166</v>
      </c>
      <c r="K365">
        <v>9961</v>
      </c>
      <c r="L365" t="s">
        <v>165</v>
      </c>
      <c r="M365">
        <v>6532306</v>
      </c>
      <c r="N365">
        <v>8</v>
      </c>
      <c r="O365" t="s">
        <v>10</v>
      </c>
    </row>
    <row r="366" spans="2:15" x14ac:dyDescent="0.25">
      <c r="B366" t="s">
        <v>235</v>
      </c>
      <c r="C366" t="str">
        <f>_xlfn.XLOOKUP(B366,Tabla2[CODIGO],Tabla2[MATERIAL],"N/A",0)</f>
        <v>Luminaria Ret. 150w</v>
      </c>
      <c r="D366">
        <v>1</v>
      </c>
      <c r="E366" t="s">
        <v>42</v>
      </c>
      <c r="F366" t="s">
        <v>61</v>
      </c>
      <c r="G366" s="1">
        <v>46200</v>
      </c>
      <c r="I366" s="2"/>
      <c r="J366" t="s">
        <v>166</v>
      </c>
      <c r="K366">
        <v>9961</v>
      </c>
      <c r="L366" t="s">
        <v>165</v>
      </c>
      <c r="M366">
        <v>6532292</v>
      </c>
      <c r="N366">
        <v>12</v>
      </c>
      <c r="O366" t="s">
        <v>10</v>
      </c>
    </row>
    <row r="367" spans="2:15" x14ac:dyDescent="0.25">
      <c r="B367" t="s">
        <v>235</v>
      </c>
      <c r="C367" t="str">
        <f>_xlfn.XLOOKUP(B367,Tabla2[CODIGO],Tabla2[MATERIAL],"N/A",0)</f>
        <v>Luminaria Ret. 150w</v>
      </c>
      <c r="D367">
        <v>1</v>
      </c>
      <c r="E367" t="s">
        <v>42</v>
      </c>
      <c r="F367" t="s">
        <v>61</v>
      </c>
      <c r="G367" s="1">
        <v>46200</v>
      </c>
      <c r="I367" s="2"/>
      <c r="J367" t="s">
        <v>166</v>
      </c>
      <c r="K367">
        <v>9961</v>
      </c>
      <c r="L367" t="s">
        <v>165</v>
      </c>
      <c r="M367">
        <v>6532292</v>
      </c>
      <c r="N367">
        <v>13</v>
      </c>
      <c r="O367" t="s">
        <v>10</v>
      </c>
    </row>
    <row r="368" spans="2:15" x14ac:dyDescent="0.25">
      <c r="B368" t="s">
        <v>235</v>
      </c>
      <c r="C368" t="str">
        <f>_xlfn.XLOOKUP(B368,Tabla2[CODIGO],Tabla2[MATERIAL],"N/A",0)</f>
        <v>Luminaria Ret. 150w</v>
      </c>
      <c r="D368">
        <v>1</v>
      </c>
      <c r="E368" t="s">
        <v>42</v>
      </c>
      <c r="F368" t="s">
        <v>61</v>
      </c>
      <c r="G368" s="1">
        <v>46200</v>
      </c>
      <c r="I368" s="2"/>
      <c r="J368" t="s">
        <v>166</v>
      </c>
      <c r="K368">
        <v>9961</v>
      </c>
      <c r="L368" t="s">
        <v>165</v>
      </c>
      <c r="M368">
        <v>6532281</v>
      </c>
      <c r="N368">
        <v>17</v>
      </c>
      <c r="O368" t="s">
        <v>10</v>
      </c>
    </row>
    <row r="369" spans="2:15" x14ac:dyDescent="0.25">
      <c r="B369" t="s">
        <v>235</v>
      </c>
      <c r="C369" t="str">
        <f>_xlfn.XLOOKUP(B369,Tabla2[CODIGO],Tabla2[MATERIAL],"N/A",0)</f>
        <v>Luminaria Ret. 150w</v>
      </c>
      <c r="D369">
        <v>1</v>
      </c>
      <c r="E369" t="s">
        <v>42</v>
      </c>
      <c r="F369" t="s">
        <v>61</v>
      </c>
      <c r="G369" s="1">
        <v>46200</v>
      </c>
      <c r="I369" s="2"/>
      <c r="J369" t="s">
        <v>166</v>
      </c>
      <c r="K369">
        <v>9961</v>
      </c>
      <c r="L369" t="s">
        <v>165</v>
      </c>
      <c r="M369">
        <v>6532281</v>
      </c>
      <c r="N369">
        <v>18</v>
      </c>
      <c r="O369" t="s">
        <v>10</v>
      </c>
    </row>
    <row r="370" spans="2:15" x14ac:dyDescent="0.25">
      <c r="B370" t="s">
        <v>235</v>
      </c>
      <c r="C370" t="str">
        <f>_xlfn.XLOOKUP(B370,Tabla2[CODIGO],Tabla2[MATERIAL],"N/A",0)</f>
        <v>Luminaria Ret. 150w</v>
      </c>
      <c r="D370">
        <v>1</v>
      </c>
      <c r="E370" t="s">
        <v>42</v>
      </c>
      <c r="F370" t="s">
        <v>61</v>
      </c>
      <c r="G370" s="1">
        <v>46200</v>
      </c>
      <c r="I370" s="2"/>
      <c r="J370" t="s">
        <v>166</v>
      </c>
      <c r="K370">
        <v>9961</v>
      </c>
      <c r="L370" t="s">
        <v>165</v>
      </c>
      <c r="M370">
        <v>6522233</v>
      </c>
      <c r="N370">
        <v>19</v>
      </c>
      <c r="O370" t="s">
        <v>10</v>
      </c>
    </row>
    <row r="371" spans="2:15" x14ac:dyDescent="0.25">
      <c r="B371" t="s">
        <v>235</v>
      </c>
      <c r="C371" t="str">
        <f>_xlfn.XLOOKUP(B371,Tabla2[CODIGO],Tabla2[MATERIAL],"N/A",0)</f>
        <v>Luminaria Ret. 150w</v>
      </c>
      <c r="D371">
        <v>1</v>
      </c>
      <c r="E371" t="s">
        <v>42</v>
      </c>
      <c r="F371" t="s">
        <v>61</v>
      </c>
      <c r="G371" s="1">
        <v>46200</v>
      </c>
      <c r="I371" s="2"/>
      <c r="J371" t="s">
        <v>166</v>
      </c>
      <c r="K371">
        <v>9961</v>
      </c>
      <c r="L371" t="s">
        <v>165</v>
      </c>
      <c r="M371">
        <v>6522233</v>
      </c>
      <c r="N371">
        <v>20</v>
      </c>
      <c r="O371" t="s">
        <v>10</v>
      </c>
    </row>
    <row r="372" spans="2:15" x14ac:dyDescent="0.25">
      <c r="B372" t="s">
        <v>235</v>
      </c>
      <c r="C372" t="str">
        <f>_xlfn.XLOOKUP(B372,Tabla2[CODIGO],Tabla2[MATERIAL],"N/A",0)</f>
        <v>Luminaria Ret. 150w</v>
      </c>
      <c r="D372">
        <v>1</v>
      </c>
      <c r="E372" t="s">
        <v>42</v>
      </c>
      <c r="F372" t="s">
        <v>61</v>
      </c>
      <c r="G372" s="1">
        <v>46200</v>
      </c>
      <c r="I372" s="2"/>
      <c r="J372" t="s">
        <v>166</v>
      </c>
      <c r="K372">
        <v>9961</v>
      </c>
      <c r="L372" t="s">
        <v>165</v>
      </c>
      <c r="M372">
        <v>2258935</v>
      </c>
      <c r="N372">
        <v>21</v>
      </c>
      <c r="O372" t="s">
        <v>10</v>
      </c>
    </row>
    <row r="373" spans="2:15" x14ac:dyDescent="0.25">
      <c r="B373" t="s">
        <v>235</v>
      </c>
      <c r="C373" t="str">
        <f>_xlfn.XLOOKUP(B373,Tabla2[CODIGO],Tabla2[MATERIAL],"N/A",0)</f>
        <v>Luminaria Ret. 150w</v>
      </c>
      <c r="D373">
        <v>1</v>
      </c>
      <c r="E373" t="s">
        <v>42</v>
      </c>
      <c r="F373" t="s">
        <v>61</v>
      </c>
      <c r="G373" s="1">
        <v>46200</v>
      </c>
      <c r="I373" s="2"/>
      <c r="J373" t="s">
        <v>166</v>
      </c>
      <c r="K373">
        <v>9961</v>
      </c>
      <c r="L373" t="s">
        <v>165</v>
      </c>
      <c r="M373">
        <v>2258935</v>
      </c>
      <c r="N373">
        <v>22</v>
      </c>
      <c r="O373" t="s">
        <v>10</v>
      </c>
    </row>
    <row r="374" spans="2:15" x14ac:dyDescent="0.25">
      <c r="B374" t="s">
        <v>235</v>
      </c>
      <c r="C374" t="str">
        <f>_xlfn.XLOOKUP(B374,Tabla2[CODIGO],Tabla2[MATERIAL],"N/A",0)</f>
        <v>Luminaria Ret. 150w</v>
      </c>
      <c r="D374">
        <v>1</v>
      </c>
      <c r="E374" t="s">
        <v>42</v>
      </c>
      <c r="F374" t="s">
        <v>61</v>
      </c>
      <c r="G374" s="1">
        <v>46200</v>
      </c>
      <c r="I374" s="2"/>
      <c r="J374" t="s">
        <v>166</v>
      </c>
      <c r="K374">
        <v>9961</v>
      </c>
      <c r="L374" t="s">
        <v>165</v>
      </c>
      <c r="M374">
        <v>6532225</v>
      </c>
      <c r="N374">
        <v>23</v>
      </c>
      <c r="O374" t="s">
        <v>10</v>
      </c>
    </row>
    <row r="375" spans="2:15" x14ac:dyDescent="0.25">
      <c r="B375" t="s">
        <v>235</v>
      </c>
      <c r="C375" t="str">
        <f>_xlfn.XLOOKUP(B375,Tabla2[CODIGO],Tabla2[MATERIAL],"N/A",0)</f>
        <v>Luminaria Ret. 150w</v>
      </c>
      <c r="D375">
        <v>1</v>
      </c>
      <c r="E375" t="s">
        <v>42</v>
      </c>
      <c r="F375" t="s">
        <v>61</v>
      </c>
      <c r="G375" s="1">
        <v>46200</v>
      </c>
      <c r="I375" s="2"/>
      <c r="J375" t="s">
        <v>166</v>
      </c>
      <c r="K375">
        <v>9961</v>
      </c>
      <c r="L375" t="s">
        <v>165</v>
      </c>
      <c r="M375">
        <v>1588320</v>
      </c>
      <c r="N375">
        <v>24</v>
      </c>
      <c r="O375" t="s">
        <v>10</v>
      </c>
    </row>
    <row r="376" spans="2:15" x14ac:dyDescent="0.25">
      <c r="B376" t="s">
        <v>235</v>
      </c>
      <c r="C376" t="str">
        <f>_xlfn.XLOOKUP(B376,Tabla2[CODIGO],Tabla2[MATERIAL],"N/A",0)</f>
        <v>Luminaria Ret. 150w</v>
      </c>
      <c r="D376">
        <v>1</v>
      </c>
      <c r="E376" t="s">
        <v>42</v>
      </c>
      <c r="F376" t="s">
        <v>61</v>
      </c>
      <c r="G376" s="1">
        <v>46200</v>
      </c>
      <c r="I376" s="2"/>
      <c r="J376" t="s">
        <v>166</v>
      </c>
      <c r="K376">
        <v>9961</v>
      </c>
      <c r="L376" t="s">
        <v>165</v>
      </c>
      <c r="M376">
        <v>1588371</v>
      </c>
      <c r="N376">
        <v>25</v>
      </c>
      <c r="O376" t="s">
        <v>10</v>
      </c>
    </row>
    <row r="377" spans="2:15" hidden="1" x14ac:dyDescent="0.25">
      <c r="B377" t="s">
        <v>36</v>
      </c>
      <c r="C377" t="str">
        <f>_xlfn.XLOOKUP(B377,Tabla2[CODIGO],Tabla2[MATERIAL],"N/A",0)</f>
        <v>Cinta Bandit 1/2"</v>
      </c>
      <c r="D377">
        <v>27</v>
      </c>
      <c r="E377" t="s">
        <v>42</v>
      </c>
      <c r="F377" t="s">
        <v>16</v>
      </c>
      <c r="G377" s="1">
        <v>46204</v>
      </c>
      <c r="I377" s="2"/>
      <c r="J377" t="s">
        <v>166</v>
      </c>
      <c r="K377">
        <v>9961</v>
      </c>
      <c r="L377" t="s">
        <v>165</v>
      </c>
    </row>
    <row r="378" spans="2:15" hidden="1" x14ac:dyDescent="0.25">
      <c r="B378" t="s">
        <v>76</v>
      </c>
      <c r="C378" t="str">
        <f>_xlfn.XLOOKUP(B378,Tabla2[CODIGO],Tabla2[MATERIAL],"N/A",0)</f>
        <v>Empalme gel ppal 8-4/0 a der 14-2/0 awg (grande)</v>
      </c>
      <c r="D378">
        <v>48</v>
      </c>
      <c r="E378" t="s">
        <v>42</v>
      </c>
      <c r="F378" t="s">
        <v>16</v>
      </c>
      <c r="G378" s="1">
        <v>46204</v>
      </c>
      <c r="I378" s="2"/>
      <c r="J378" t="s">
        <v>166</v>
      </c>
      <c r="K378">
        <v>9961</v>
      </c>
      <c r="L378" t="s">
        <v>165</v>
      </c>
    </row>
    <row r="379" spans="2:15" hidden="1" x14ac:dyDescent="0.25">
      <c r="B379" t="s">
        <v>37</v>
      </c>
      <c r="C379" t="str">
        <f>_xlfn.XLOOKUP(B379,Tabla2[CODIGO],Tabla2[MATERIAL],"N/A",0)</f>
        <v>Hebilla para cinta bandit 1/2"</v>
      </c>
      <c r="D379">
        <v>22</v>
      </c>
      <c r="E379" t="s">
        <v>42</v>
      </c>
      <c r="F379" t="s">
        <v>16</v>
      </c>
      <c r="G379" s="1">
        <v>46204</v>
      </c>
      <c r="I379" s="2"/>
      <c r="J379" t="s">
        <v>166</v>
      </c>
      <c r="K379">
        <v>9961</v>
      </c>
      <c r="L379" t="s">
        <v>165</v>
      </c>
    </row>
    <row r="380" spans="2:15" hidden="1" x14ac:dyDescent="0.25">
      <c r="B380" t="s">
        <v>237</v>
      </c>
      <c r="C380" t="str">
        <f>_xlfn.XLOOKUP(B380,Tabla2[CODIGO],Tabla2[MATERIAL],"N/A",0)</f>
        <v>coraza ame metalica 3-4"</v>
      </c>
      <c r="D380">
        <v>10</v>
      </c>
      <c r="E380" t="s">
        <v>42</v>
      </c>
      <c r="F380" t="s">
        <v>16</v>
      </c>
      <c r="G380" s="1">
        <v>46204</v>
      </c>
      <c r="I380" s="2"/>
      <c r="J380" t="s">
        <v>166</v>
      </c>
      <c r="K380">
        <v>9961</v>
      </c>
      <c r="L380" t="s">
        <v>165</v>
      </c>
    </row>
    <row r="381" spans="2:15" hidden="1" x14ac:dyDescent="0.25">
      <c r="B381" t="s">
        <v>239</v>
      </c>
      <c r="C381" t="str">
        <f>_xlfn.XLOOKUP(B381,Tabla2[CODIGO],Tabla2[MATERIAL],"N/A",0)</f>
        <v>Tubo Conduit imc 3/4"</v>
      </c>
      <c r="D381">
        <v>40</v>
      </c>
      <c r="E381" t="s">
        <v>42</v>
      </c>
      <c r="F381" t="s">
        <v>16</v>
      </c>
      <c r="G381" s="1">
        <v>46204</v>
      </c>
      <c r="I381" s="2"/>
      <c r="J381" t="s">
        <v>166</v>
      </c>
      <c r="K381">
        <v>9958</v>
      </c>
      <c r="L381" t="s">
        <v>258</v>
      </c>
    </row>
    <row r="382" spans="2:15" hidden="1" x14ac:dyDescent="0.25">
      <c r="B382" t="s">
        <v>241</v>
      </c>
      <c r="C382" t="str">
        <f>_xlfn.XLOOKUP(B382,Tabla2[CODIGO],Tabla2[MATERIAL],"N/A",0)</f>
        <v>capacete tuberia imc 3/4"</v>
      </c>
      <c r="D382">
        <v>20</v>
      </c>
      <c r="E382" t="s">
        <v>42</v>
      </c>
      <c r="F382" t="s">
        <v>16</v>
      </c>
      <c r="G382" s="1">
        <v>46204</v>
      </c>
      <c r="I382" s="2"/>
      <c r="J382" t="s">
        <v>166</v>
      </c>
      <c r="K382">
        <v>9958</v>
      </c>
      <c r="L382" t="s">
        <v>258</v>
      </c>
    </row>
    <row r="383" spans="2:15" hidden="1" x14ac:dyDescent="0.25">
      <c r="B383" t="s">
        <v>47</v>
      </c>
      <c r="C383" t="str">
        <f>_xlfn.XLOOKUP(B383,Tabla2[CODIGO],Tabla2[MATERIAL],"N/A",0)</f>
        <v>Luminaria 75w</v>
      </c>
      <c r="D383">
        <v>1</v>
      </c>
      <c r="E383" t="s">
        <v>42</v>
      </c>
      <c r="F383" t="s">
        <v>62</v>
      </c>
      <c r="G383" s="1">
        <v>46204</v>
      </c>
      <c r="H383" t="s">
        <v>64</v>
      </c>
      <c r="I383" s="2" t="s">
        <v>180</v>
      </c>
      <c r="J383" t="s">
        <v>166</v>
      </c>
      <c r="K383">
        <v>9963</v>
      </c>
      <c r="L383" t="s">
        <v>247</v>
      </c>
      <c r="M383">
        <v>6529607</v>
      </c>
      <c r="N383">
        <v>1</v>
      </c>
    </row>
    <row r="384" spans="2:15" hidden="1" x14ac:dyDescent="0.25">
      <c r="B384" t="s">
        <v>47</v>
      </c>
      <c r="C384" t="str">
        <f>_xlfn.XLOOKUP(B384,Tabla2[CODIGO],Tabla2[MATERIAL],"N/A",0)</f>
        <v>Luminaria 75w</v>
      </c>
      <c r="D384">
        <v>1</v>
      </c>
      <c r="E384" t="s">
        <v>42</v>
      </c>
      <c r="F384" t="s">
        <v>62</v>
      </c>
      <c r="G384" s="1">
        <v>46204</v>
      </c>
      <c r="H384" t="s">
        <v>64</v>
      </c>
      <c r="I384" s="2" t="s">
        <v>182</v>
      </c>
      <c r="J384" t="s">
        <v>166</v>
      </c>
      <c r="K384">
        <v>9963</v>
      </c>
      <c r="L384" t="s">
        <v>247</v>
      </c>
      <c r="M384">
        <v>6529607</v>
      </c>
      <c r="N384">
        <v>2</v>
      </c>
    </row>
    <row r="385" spans="2:14" hidden="1" x14ac:dyDescent="0.25">
      <c r="B385" t="s">
        <v>47</v>
      </c>
      <c r="C385" t="str">
        <f>_xlfn.XLOOKUP(B385,Tabla2[CODIGO],Tabla2[MATERIAL],"N/A",0)</f>
        <v>Luminaria 75w</v>
      </c>
      <c r="D385">
        <v>1</v>
      </c>
      <c r="E385" t="s">
        <v>42</v>
      </c>
      <c r="F385" t="s">
        <v>62</v>
      </c>
      <c r="G385" s="1">
        <v>46204</v>
      </c>
      <c r="H385" t="s">
        <v>64</v>
      </c>
      <c r="I385" s="2" t="s">
        <v>179</v>
      </c>
      <c r="J385" t="s">
        <v>166</v>
      </c>
      <c r="K385">
        <v>9963</v>
      </c>
      <c r="L385" t="s">
        <v>247</v>
      </c>
      <c r="M385">
        <v>2147696</v>
      </c>
      <c r="N385">
        <v>3</v>
      </c>
    </row>
    <row r="386" spans="2:14" hidden="1" x14ac:dyDescent="0.25">
      <c r="B386" t="s">
        <v>47</v>
      </c>
      <c r="C386" t="str">
        <f>_xlfn.XLOOKUP(B386,Tabla2[CODIGO],Tabla2[MATERIAL],"N/A",0)</f>
        <v>Luminaria 75w</v>
      </c>
      <c r="D386">
        <v>1</v>
      </c>
      <c r="E386" t="s">
        <v>42</v>
      </c>
      <c r="F386" t="s">
        <v>62</v>
      </c>
      <c r="G386" s="1">
        <v>46204</v>
      </c>
      <c r="H386" t="s">
        <v>64</v>
      </c>
      <c r="I386" s="2" t="s">
        <v>181</v>
      </c>
      <c r="J386" t="s">
        <v>166</v>
      </c>
      <c r="K386">
        <v>9963</v>
      </c>
      <c r="L386" t="s">
        <v>247</v>
      </c>
      <c r="M386">
        <v>2147696</v>
      </c>
      <c r="N386">
        <v>4</v>
      </c>
    </row>
    <row r="387" spans="2:14" hidden="1" x14ac:dyDescent="0.25">
      <c r="B387" t="s">
        <v>82</v>
      </c>
      <c r="C387" t="str">
        <f>_xlfn.XLOOKUP(B387,Tabla2[CODIGO],Tabla2[MATERIAL],"N/A",0)</f>
        <v>proyector 190w</v>
      </c>
      <c r="D387">
        <v>1</v>
      </c>
      <c r="E387" t="s">
        <v>42</v>
      </c>
      <c r="F387" t="s">
        <v>62</v>
      </c>
      <c r="H387" t="s">
        <v>64</v>
      </c>
      <c r="I387" s="2" t="s">
        <v>105</v>
      </c>
      <c r="J387" t="s">
        <v>166</v>
      </c>
      <c r="K387">
        <v>9959</v>
      </c>
      <c r="N387">
        <v>8</v>
      </c>
    </row>
    <row r="388" spans="2:14" hidden="1" x14ac:dyDescent="0.25">
      <c r="B388" t="s">
        <v>82</v>
      </c>
      <c r="C388" t="str">
        <f>_xlfn.XLOOKUP(B388,Tabla2[CODIGO],Tabla2[MATERIAL],"N/A",0)</f>
        <v>proyector 190w</v>
      </c>
      <c r="D388">
        <v>1</v>
      </c>
      <c r="E388" t="s">
        <v>42</v>
      </c>
      <c r="F388" t="s">
        <v>16</v>
      </c>
      <c r="G388" s="1">
        <v>46198</v>
      </c>
      <c r="H388" t="s">
        <v>64</v>
      </c>
      <c r="I388" s="2" t="s">
        <v>105</v>
      </c>
      <c r="J388" t="s">
        <v>166</v>
      </c>
      <c r="K388">
        <v>9959</v>
      </c>
      <c r="L388" t="s">
        <v>100</v>
      </c>
    </row>
    <row r="389" spans="2:14" hidden="1" x14ac:dyDescent="0.25">
      <c r="B389" t="s">
        <v>82</v>
      </c>
      <c r="C389" t="str">
        <f>_xlfn.XLOOKUP(B389,Tabla2[CODIGO],Tabla2[MATERIAL],"N/A",0)</f>
        <v>proyector 190w</v>
      </c>
      <c r="D389">
        <v>1</v>
      </c>
      <c r="E389" t="s">
        <v>42</v>
      </c>
      <c r="F389" t="s">
        <v>62</v>
      </c>
      <c r="H389" t="s">
        <v>64</v>
      </c>
      <c r="I389" s="2" t="s">
        <v>106</v>
      </c>
      <c r="J389" t="s">
        <v>166</v>
      </c>
      <c r="K389">
        <v>9959</v>
      </c>
      <c r="N389">
        <v>14</v>
      </c>
    </row>
    <row r="390" spans="2:14" hidden="1" x14ac:dyDescent="0.25">
      <c r="B390" t="s">
        <v>82</v>
      </c>
      <c r="C390" t="str">
        <f>_xlfn.XLOOKUP(B390,Tabla2[CODIGO],Tabla2[MATERIAL],"N/A",0)</f>
        <v>proyector 190w</v>
      </c>
      <c r="D390">
        <v>1</v>
      </c>
      <c r="E390" t="s">
        <v>42</v>
      </c>
      <c r="F390" t="s">
        <v>16</v>
      </c>
      <c r="G390" s="1">
        <v>46198</v>
      </c>
      <c r="H390" t="s">
        <v>64</v>
      </c>
      <c r="I390" s="2" t="s">
        <v>106</v>
      </c>
      <c r="J390" t="s">
        <v>166</v>
      </c>
      <c r="K390">
        <v>9959</v>
      </c>
      <c r="L390" t="s">
        <v>100</v>
      </c>
    </row>
    <row r="391" spans="2:14" hidden="1" x14ac:dyDescent="0.25">
      <c r="B391" t="s">
        <v>82</v>
      </c>
      <c r="C391" t="str">
        <f>_xlfn.XLOOKUP(B391,Tabla2[CODIGO],Tabla2[MATERIAL],"N/A",0)</f>
        <v>proyector 190w</v>
      </c>
      <c r="D391">
        <v>1</v>
      </c>
      <c r="E391" t="s">
        <v>42</v>
      </c>
      <c r="F391" t="s">
        <v>62</v>
      </c>
      <c r="H391" t="s">
        <v>64</v>
      </c>
      <c r="I391" s="2" t="s">
        <v>107</v>
      </c>
      <c r="J391" t="s">
        <v>166</v>
      </c>
      <c r="K391">
        <v>9959</v>
      </c>
      <c r="N391">
        <v>16</v>
      </c>
    </row>
    <row r="392" spans="2:14" hidden="1" x14ac:dyDescent="0.25">
      <c r="B392" t="s">
        <v>82</v>
      </c>
      <c r="C392" t="str">
        <f>_xlfn.XLOOKUP(B392,Tabla2[CODIGO],Tabla2[MATERIAL],"N/A",0)</f>
        <v>proyector 190w</v>
      </c>
      <c r="D392">
        <v>1</v>
      </c>
      <c r="E392" t="s">
        <v>42</v>
      </c>
      <c r="F392" t="s">
        <v>16</v>
      </c>
      <c r="G392" s="1">
        <v>46198</v>
      </c>
      <c r="H392" t="s">
        <v>64</v>
      </c>
      <c r="I392" s="2" t="s">
        <v>107</v>
      </c>
      <c r="J392" t="s">
        <v>166</v>
      </c>
      <c r="K392">
        <v>9959</v>
      </c>
      <c r="L392" t="s">
        <v>100</v>
      </c>
    </row>
    <row r="393" spans="2:14" hidden="1" x14ac:dyDescent="0.25">
      <c r="B393" t="s">
        <v>221</v>
      </c>
      <c r="C393" t="str">
        <f>_xlfn.XLOOKUP(B393,Tabla2[CODIGO],Tabla2[MATERIAL],"N/A",0)</f>
        <v>Grillete galvanizado 1,1/2</v>
      </c>
      <c r="D393">
        <v>2</v>
      </c>
      <c r="E393" t="s">
        <v>42</v>
      </c>
      <c r="F393" t="s">
        <v>62</v>
      </c>
      <c r="G393" s="1">
        <v>46204</v>
      </c>
      <c r="I393" s="2"/>
      <c r="J393" t="s">
        <v>166</v>
      </c>
      <c r="K393">
        <v>9963</v>
      </c>
      <c r="L393" t="s">
        <v>247</v>
      </c>
      <c r="M393">
        <v>6529607</v>
      </c>
      <c r="N393">
        <v>2</v>
      </c>
    </row>
    <row r="394" spans="2:14" hidden="1" x14ac:dyDescent="0.25">
      <c r="B394" t="s">
        <v>221</v>
      </c>
      <c r="C394" t="str">
        <f>_xlfn.XLOOKUP(B394,Tabla2[CODIGO],Tabla2[MATERIAL],"N/A",0)</f>
        <v>Grillete galvanizado 1,1/2</v>
      </c>
      <c r="D394">
        <v>2</v>
      </c>
      <c r="E394" t="s">
        <v>42</v>
      </c>
      <c r="F394" t="s">
        <v>62</v>
      </c>
      <c r="G394" s="1">
        <v>46204</v>
      </c>
      <c r="I394" s="2"/>
      <c r="J394" t="s">
        <v>166</v>
      </c>
      <c r="K394">
        <v>9963</v>
      </c>
      <c r="L394" t="s">
        <v>247</v>
      </c>
      <c r="M394">
        <v>2147696</v>
      </c>
      <c r="N394">
        <v>4</v>
      </c>
    </row>
    <row r="395" spans="2:14" hidden="1" x14ac:dyDescent="0.25">
      <c r="B395" t="s">
        <v>222</v>
      </c>
      <c r="C395" t="str">
        <f>_xlfn.XLOOKUP(B395,Tabla2[CODIGO],Tabla2[MATERIAL],"N/A",0)</f>
        <v>Conector de Perforacion ais kz-ep (EP95) pequeño</v>
      </c>
      <c r="D395">
        <v>3</v>
      </c>
      <c r="E395" t="s">
        <v>42</v>
      </c>
      <c r="F395" t="s">
        <v>62</v>
      </c>
      <c r="G395" s="1">
        <v>46204</v>
      </c>
      <c r="I395" s="2"/>
      <c r="J395" t="s">
        <v>166</v>
      </c>
      <c r="K395">
        <v>9963</v>
      </c>
      <c r="L395" t="s">
        <v>247</v>
      </c>
      <c r="M395">
        <v>6529607</v>
      </c>
      <c r="N395">
        <v>1</v>
      </c>
    </row>
    <row r="396" spans="2:14" hidden="1" x14ac:dyDescent="0.25">
      <c r="B396" t="s">
        <v>222</v>
      </c>
      <c r="C396" t="str">
        <f>_xlfn.XLOOKUP(B396,Tabla2[CODIGO],Tabla2[MATERIAL],"N/A",0)</f>
        <v>Conector de Perforacion ais kz-ep (EP95) pequeño</v>
      </c>
      <c r="D396">
        <v>4</v>
      </c>
      <c r="E396" t="s">
        <v>42</v>
      </c>
      <c r="F396" t="s">
        <v>62</v>
      </c>
      <c r="G396" s="1">
        <v>46204</v>
      </c>
      <c r="I396" s="2"/>
      <c r="J396" t="s">
        <v>166</v>
      </c>
      <c r="K396">
        <v>9963</v>
      </c>
      <c r="L396" t="s">
        <v>247</v>
      </c>
      <c r="M396">
        <v>2147696</v>
      </c>
      <c r="N396">
        <v>3</v>
      </c>
    </row>
    <row r="397" spans="2:14" hidden="1" x14ac:dyDescent="0.25">
      <c r="B397" t="s">
        <v>222</v>
      </c>
      <c r="C397" t="str">
        <f>_xlfn.XLOOKUP(B397,Tabla2[CODIGO],Tabla2[MATERIAL],"N/A",0)</f>
        <v>Conector de Perforacion ais kz-ep (EP95) pequeño</v>
      </c>
      <c r="D397">
        <v>3</v>
      </c>
      <c r="E397" t="s">
        <v>42</v>
      </c>
      <c r="F397" t="s">
        <v>62</v>
      </c>
      <c r="G397" s="1">
        <v>46204</v>
      </c>
      <c r="I397" s="2"/>
      <c r="J397" t="s">
        <v>166</v>
      </c>
      <c r="K397">
        <v>9963</v>
      </c>
      <c r="L397" t="s">
        <v>247</v>
      </c>
      <c r="M397">
        <v>2295580</v>
      </c>
      <c r="N397">
        <v>5</v>
      </c>
    </row>
    <row r="398" spans="2:14" hidden="1" x14ac:dyDescent="0.25">
      <c r="B398" t="s">
        <v>222</v>
      </c>
      <c r="C398" t="str">
        <f>_xlfn.XLOOKUP(B398,Tabla2[CODIGO],Tabla2[MATERIAL],"N/A",0)</f>
        <v>Conector de Perforacion ais kz-ep (EP95) pequeño</v>
      </c>
      <c r="D398">
        <v>5</v>
      </c>
      <c r="E398" t="s">
        <v>42</v>
      </c>
      <c r="F398" t="s">
        <v>62</v>
      </c>
      <c r="G398" s="1">
        <v>46204</v>
      </c>
      <c r="I398" s="2"/>
      <c r="J398" t="s">
        <v>166</v>
      </c>
      <c r="K398">
        <v>9963</v>
      </c>
      <c r="L398" t="s">
        <v>247</v>
      </c>
      <c r="M398">
        <v>2295628</v>
      </c>
      <c r="N398">
        <v>8</v>
      </c>
    </row>
    <row r="399" spans="2:14" hidden="1" x14ac:dyDescent="0.25">
      <c r="B399" t="s">
        <v>223</v>
      </c>
      <c r="C399" t="str">
        <f>_xlfn.XLOOKUP(B399,Tabla2[CODIGO],Tabla2[MATERIAL],"N/A",0)</f>
        <v>Conector resorte 18-8</v>
      </c>
      <c r="D399">
        <v>3</v>
      </c>
      <c r="E399" t="s">
        <v>42</v>
      </c>
      <c r="F399" t="s">
        <v>62</v>
      </c>
      <c r="G399" s="1">
        <v>46204</v>
      </c>
      <c r="I399" s="2"/>
      <c r="J399" t="s">
        <v>166</v>
      </c>
      <c r="K399">
        <v>9963</v>
      </c>
      <c r="L399" t="s">
        <v>247</v>
      </c>
      <c r="M399">
        <v>2295580</v>
      </c>
      <c r="N399">
        <v>5</v>
      </c>
    </row>
    <row r="400" spans="2:14" hidden="1" x14ac:dyDescent="0.25">
      <c r="B400" t="s">
        <v>223</v>
      </c>
      <c r="C400" t="str">
        <f>_xlfn.XLOOKUP(B400,Tabla2[CODIGO],Tabla2[MATERIAL],"N/A",0)</f>
        <v>Conector resorte 18-8</v>
      </c>
      <c r="D400">
        <v>3</v>
      </c>
      <c r="E400" t="s">
        <v>42</v>
      </c>
      <c r="F400" t="s">
        <v>62</v>
      </c>
      <c r="G400" s="1">
        <v>46204</v>
      </c>
      <c r="I400" s="2"/>
      <c r="J400" t="s">
        <v>166</v>
      </c>
      <c r="K400">
        <v>9963</v>
      </c>
      <c r="L400" t="s">
        <v>247</v>
      </c>
      <c r="M400">
        <v>2295628</v>
      </c>
      <c r="N400">
        <v>8</v>
      </c>
    </row>
    <row r="401" spans="2:14" hidden="1" x14ac:dyDescent="0.25">
      <c r="B401" t="s">
        <v>225</v>
      </c>
      <c r="C401" t="str">
        <f>_xlfn.XLOOKUP(B401,Tabla2[CODIGO],Tabla2[MATERIAL],"N/A",0)</f>
        <v>Abrazadera una salida 6"</v>
      </c>
      <c r="D401">
        <v>1</v>
      </c>
      <c r="E401" t="s">
        <v>42</v>
      </c>
      <c r="F401" t="s">
        <v>62</v>
      </c>
      <c r="G401" s="1">
        <v>46204</v>
      </c>
      <c r="I401" s="2"/>
      <c r="J401" t="s">
        <v>166</v>
      </c>
      <c r="K401">
        <v>9963</v>
      </c>
      <c r="L401" t="s">
        <v>247</v>
      </c>
      <c r="M401">
        <v>2295580</v>
      </c>
      <c r="N401">
        <v>5</v>
      </c>
    </row>
    <row r="402" spans="2:14" hidden="1" x14ac:dyDescent="0.25">
      <c r="B402" t="s">
        <v>225</v>
      </c>
      <c r="C402" t="str">
        <f>_xlfn.XLOOKUP(B402,Tabla2[CODIGO],Tabla2[MATERIAL],"N/A",0)</f>
        <v>Abrazadera una salida 6"</v>
      </c>
      <c r="D402">
        <v>1</v>
      </c>
      <c r="E402" t="s">
        <v>42</v>
      </c>
      <c r="F402" t="s">
        <v>62</v>
      </c>
      <c r="G402" s="1">
        <v>46204</v>
      </c>
      <c r="I402" s="2"/>
      <c r="J402" t="s">
        <v>166</v>
      </c>
      <c r="K402">
        <v>9963</v>
      </c>
      <c r="L402" t="s">
        <v>247</v>
      </c>
      <c r="M402">
        <v>2295628</v>
      </c>
      <c r="N402">
        <v>9</v>
      </c>
    </row>
    <row r="403" spans="2:14" hidden="1" x14ac:dyDescent="0.25">
      <c r="B403" t="s">
        <v>190</v>
      </c>
      <c r="C403" t="str">
        <f>_xlfn.XLOOKUP(B403,Tabla2[CODIGO],Tabla2[MATERIAL],"N/A",0)</f>
        <v>Abrazadera una salida 5"</v>
      </c>
      <c r="D403">
        <v>1</v>
      </c>
      <c r="E403" t="s">
        <v>42</v>
      </c>
      <c r="F403" t="s">
        <v>62</v>
      </c>
      <c r="G403" s="1">
        <v>46204</v>
      </c>
      <c r="I403" s="2"/>
      <c r="J403" t="s">
        <v>166</v>
      </c>
      <c r="K403">
        <v>9963</v>
      </c>
      <c r="L403" t="s">
        <v>247</v>
      </c>
      <c r="M403">
        <v>2295628</v>
      </c>
      <c r="N403">
        <v>8</v>
      </c>
    </row>
    <row r="404" spans="2:14" hidden="1" x14ac:dyDescent="0.25">
      <c r="B404" t="s">
        <v>194</v>
      </c>
      <c r="C404" t="str">
        <f>_xlfn.XLOOKUP(B404,Tabla2[CODIGO],Tabla2[MATERIAL],"N/A",0)</f>
        <v>Cable TPX 2x4 1x4 awg</v>
      </c>
      <c r="D404">
        <v>80</v>
      </c>
      <c r="E404" t="s">
        <v>43</v>
      </c>
      <c r="F404" t="s">
        <v>62</v>
      </c>
      <c r="G404" s="1">
        <v>46204</v>
      </c>
      <c r="I404" s="2"/>
      <c r="J404" t="s">
        <v>166</v>
      </c>
      <c r="K404">
        <v>9963</v>
      </c>
      <c r="L404" t="s">
        <v>247</v>
      </c>
      <c r="M404">
        <v>6529607</v>
      </c>
      <c r="N404">
        <v>1</v>
      </c>
    </row>
    <row r="405" spans="2:14" hidden="1" x14ac:dyDescent="0.25">
      <c r="B405" t="s">
        <v>21</v>
      </c>
      <c r="C405" t="str">
        <f>_xlfn.XLOOKUP(B405,Tabla2[CODIGO],Tabla2[MATERIAL],"N/A",0)</f>
        <v>Cable Encauchetado 3x14 pvc</v>
      </c>
      <c r="D405">
        <v>5</v>
      </c>
      <c r="E405" t="s">
        <v>43</v>
      </c>
      <c r="F405" t="s">
        <v>62</v>
      </c>
      <c r="G405" s="1">
        <v>46204</v>
      </c>
      <c r="I405" s="2"/>
      <c r="J405" t="s">
        <v>166</v>
      </c>
      <c r="K405">
        <v>9963</v>
      </c>
      <c r="L405" t="s">
        <v>247</v>
      </c>
      <c r="M405">
        <v>2295580</v>
      </c>
      <c r="N405">
        <v>5</v>
      </c>
    </row>
    <row r="406" spans="2:14" hidden="1" x14ac:dyDescent="0.25">
      <c r="B406" t="s">
        <v>21</v>
      </c>
      <c r="C406" t="str">
        <f>_xlfn.XLOOKUP(B406,Tabla2[CODIGO],Tabla2[MATERIAL],"N/A",0)</f>
        <v>Cable Encauchetado 3x14 pvc</v>
      </c>
      <c r="D406">
        <v>5</v>
      </c>
      <c r="E406" t="s">
        <v>43</v>
      </c>
      <c r="F406" t="s">
        <v>62</v>
      </c>
      <c r="G406" s="1">
        <v>46204</v>
      </c>
      <c r="I406" s="2"/>
      <c r="J406" t="s">
        <v>166</v>
      </c>
      <c r="K406">
        <v>9963</v>
      </c>
      <c r="L406" t="s">
        <v>247</v>
      </c>
      <c r="M406">
        <v>2295628</v>
      </c>
      <c r="N406">
        <v>8</v>
      </c>
    </row>
    <row r="407" spans="2:14" hidden="1" x14ac:dyDescent="0.25">
      <c r="B407" t="s">
        <v>30</v>
      </c>
      <c r="C407" t="str">
        <f>_xlfn.XLOOKUP(B407,Tabla2[CODIGO],Tabla2[MATERIAL],"N/A",0)</f>
        <v>Kit puesta tierra acero inoxidable</v>
      </c>
      <c r="D407">
        <v>1</v>
      </c>
      <c r="E407" t="s">
        <v>42</v>
      </c>
      <c r="F407" t="s">
        <v>62</v>
      </c>
      <c r="G407" s="1">
        <v>46204</v>
      </c>
      <c r="I407" s="2"/>
      <c r="J407" t="s">
        <v>166</v>
      </c>
      <c r="K407">
        <v>9963</v>
      </c>
      <c r="L407" t="s">
        <v>247</v>
      </c>
      <c r="M407">
        <v>2295580</v>
      </c>
      <c r="N407">
        <v>5</v>
      </c>
    </row>
    <row r="408" spans="2:14" hidden="1" x14ac:dyDescent="0.25">
      <c r="B408" t="s">
        <v>30</v>
      </c>
      <c r="C408" t="str">
        <f>_xlfn.XLOOKUP(B408,Tabla2[CODIGO],Tabla2[MATERIAL],"N/A",0)</f>
        <v>Kit puesta tierra acero inoxidable</v>
      </c>
      <c r="D408">
        <v>1</v>
      </c>
      <c r="E408" t="s">
        <v>42</v>
      </c>
      <c r="F408" t="s">
        <v>62</v>
      </c>
      <c r="G408" s="1">
        <v>46204</v>
      </c>
      <c r="I408" s="2"/>
      <c r="J408" t="s">
        <v>166</v>
      </c>
      <c r="K408">
        <v>9963</v>
      </c>
      <c r="L408" t="s">
        <v>247</v>
      </c>
      <c r="M408">
        <v>2295628</v>
      </c>
      <c r="N408">
        <v>8</v>
      </c>
    </row>
    <row r="409" spans="2:14" hidden="1" x14ac:dyDescent="0.25">
      <c r="B409" t="s">
        <v>50</v>
      </c>
      <c r="C409" t="str">
        <f>_xlfn.XLOOKUP(B409,Tabla2[CODIGO],Tabla2[MATERIAL],"N/A",0)</f>
        <v>Percha galv 1 puesto</v>
      </c>
      <c r="D409">
        <v>1</v>
      </c>
      <c r="E409" t="s">
        <v>42</v>
      </c>
      <c r="F409" t="s">
        <v>62</v>
      </c>
      <c r="G409" s="1">
        <v>46204</v>
      </c>
      <c r="I409" s="2"/>
      <c r="J409" t="s">
        <v>166</v>
      </c>
      <c r="K409">
        <v>9963</v>
      </c>
      <c r="L409" t="s">
        <v>247</v>
      </c>
      <c r="M409">
        <v>2147696</v>
      </c>
      <c r="N409">
        <v>3</v>
      </c>
    </row>
    <row r="410" spans="2:14" hidden="1" x14ac:dyDescent="0.25">
      <c r="B410" t="s">
        <v>50</v>
      </c>
      <c r="C410" t="str">
        <f>_xlfn.XLOOKUP(B410,Tabla2[CODIGO],Tabla2[MATERIAL],"N/A",0)</f>
        <v>Percha galv 1 puesto</v>
      </c>
      <c r="D410">
        <v>1</v>
      </c>
      <c r="E410" t="s">
        <v>42</v>
      </c>
      <c r="F410" t="s">
        <v>62</v>
      </c>
      <c r="G410" s="1">
        <v>46204</v>
      </c>
      <c r="I410" s="2"/>
      <c r="J410" t="s">
        <v>166</v>
      </c>
      <c r="K410">
        <v>9963</v>
      </c>
      <c r="L410" t="s">
        <v>247</v>
      </c>
      <c r="M410">
        <v>2295580</v>
      </c>
      <c r="N410">
        <v>5</v>
      </c>
    </row>
    <row r="411" spans="2:14" hidden="1" x14ac:dyDescent="0.25">
      <c r="B411" t="s">
        <v>50</v>
      </c>
      <c r="C411" t="str">
        <f>_xlfn.XLOOKUP(B411,Tabla2[CODIGO],Tabla2[MATERIAL],"N/A",0)</f>
        <v>Percha galv 1 puesto</v>
      </c>
      <c r="D411">
        <v>1</v>
      </c>
      <c r="E411" t="s">
        <v>42</v>
      </c>
      <c r="F411" t="s">
        <v>62</v>
      </c>
      <c r="G411" s="1">
        <v>46204</v>
      </c>
      <c r="I411" s="2"/>
      <c r="J411" t="s">
        <v>166</v>
      </c>
      <c r="K411">
        <v>9963</v>
      </c>
      <c r="L411" t="s">
        <v>247</v>
      </c>
      <c r="M411">
        <v>2295628</v>
      </c>
      <c r="N411">
        <v>9</v>
      </c>
    </row>
    <row r="412" spans="2:14" hidden="1" x14ac:dyDescent="0.25">
      <c r="B412" t="s">
        <v>56</v>
      </c>
      <c r="C412" t="str">
        <f>_xlfn.XLOOKUP(B412,Tabla2[CODIGO],Tabla2[MATERIAL],"N/A",0)</f>
        <v>Aislador Carrreto</v>
      </c>
      <c r="D412">
        <v>1</v>
      </c>
      <c r="E412" t="s">
        <v>42</v>
      </c>
      <c r="F412" t="s">
        <v>62</v>
      </c>
      <c r="G412" s="1">
        <v>46204</v>
      </c>
      <c r="I412" s="2"/>
      <c r="J412" t="s">
        <v>166</v>
      </c>
      <c r="K412">
        <v>9963</v>
      </c>
      <c r="L412" t="s">
        <v>247</v>
      </c>
      <c r="M412">
        <v>2147696</v>
      </c>
      <c r="N412">
        <v>3</v>
      </c>
    </row>
    <row r="413" spans="2:14" hidden="1" x14ac:dyDescent="0.25">
      <c r="B413" t="s">
        <v>56</v>
      </c>
      <c r="C413" t="str">
        <f>_xlfn.XLOOKUP(B413,Tabla2[CODIGO],Tabla2[MATERIAL],"N/A",0)</f>
        <v>Aislador Carrreto</v>
      </c>
      <c r="D413">
        <v>1</v>
      </c>
      <c r="E413" t="s">
        <v>42</v>
      </c>
      <c r="F413" t="s">
        <v>62</v>
      </c>
      <c r="G413" s="1">
        <v>46204</v>
      </c>
      <c r="I413" s="2"/>
      <c r="J413" t="s">
        <v>166</v>
      </c>
      <c r="K413">
        <v>9963</v>
      </c>
      <c r="L413" t="s">
        <v>247</v>
      </c>
      <c r="M413">
        <v>2295580</v>
      </c>
      <c r="N413">
        <v>5</v>
      </c>
    </row>
    <row r="414" spans="2:14" hidden="1" x14ac:dyDescent="0.25">
      <c r="B414" t="s">
        <v>56</v>
      </c>
      <c r="C414" t="str">
        <f>_xlfn.XLOOKUP(B414,Tabla2[CODIGO],Tabla2[MATERIAL],"N/A",0)</f>
        <v>Aislador Carrreto</v>
      </c>
      <c r="D414">
        <v>1</v>
      </c>
      <c r="E414" t="s">
        <v>42</v>
      </c>
      <c r="F414" t="s">
        <v>62</v>
      </c>
      <c r="G414" s="1">
        <v>46204</v>
      </c>
      <c r="I414" s="2"/>
      <c r="J414" t="s">
        <v>166</v>
      </c>
      <c r="K414">
        <v>9963</v>
      </c>
      <c r="L414" t="s">
        <v>247</v>
      </c>
      <c r="M414">
        <v>2295628</v>
      </c>
      <c r="N414">
        <v>9</v>
      </c>
    </row>
    <row r="415" spans="2:14" hidden="1" x14ac:dyDescent="0.25">
      <c r="B415" t="s">
        <v>250</v>
      </c>
      <c r="C415" t="str">
        <f>_xlfn.XLOOKUP(B415,Tabla2[CODIGO],Tabla2[MATERIAL],"N/A",0)</f>
        <v>Cruceta Metalica 3*3x 1/4</v>
      </c>
      <c r="D415">
        <v>1</v>
      </c>
      <c r="E415" t="s">
        <v>42</v>
      </c>
      <c r="F415" t="s">
        <v>62</v>
      </c>
      <c r="G415" s="1">
        <v>46204</v>
      </c>
      <c r="I415" s="2"/>
      <c r="J415" t="s">
        <v>166</v>
      </c>
      <c r="K415">
        <v>9963</v>
      </c>
      <c r="L415" t="s">
        <v>247</v>
      </c>
      <c r="M415">
        <v>2295580</v>
      </c>
      <c r="N415">
        <v>5</v>
      </c>
    </row>
    <row r="416" spans="2:14" hidden="1" x14ac:dyDescent="0.25">
      <c r="B416" t="s">
        <v>250</v>
      </c>
      <c r="C416" t="str">
        <f>_xlfn.XLOOKUP(B416,Tabla2[CODIGO],Tabla2[MATERIAL],"N/A",0)</f>
        <v>Cruceta Metalica 3*3x 1/4</v>
      </c>
      <c r="D416">
        <v>1</v>
      </c>
      <c r="E416" t="s">
        <v>42</v>
      </c>
      <c r="F416" t="s">
        <v>62</v>
      </c>
      <c r="G416" s="1">
        <v>46204</v>
      </c>
      <c r="I416" s="2"/>
      <c r="J416" t="s">
        <v>166</v>
      </c>
      <c r="K416">
        <v>9963</v>
      </c>
      <c r="L416" t="s">
        <v>247</v>
      </c>
      <c r="M416">
        <v>2295628</v>
      </c>
      <c r="N416">
        <v>8</v>
      </c>
    </row>
    <row r="417" spans="2:15" hidden="1" x14ac:dyDescent="0.25">
      <c r="B417" t="s">
        <v>229</v>
      </c>
      <c r="C417" t="str">
        <f>_xlfn.XLOOKUP(B417,Tabla2[CODIGO],Tabla2[MATERIAL],"N/A",0)</f>
        <v>angular V</v>
      </c>
      <c r="D417">
        <v>1</v>
      </c>
      <c r="E417" t="s">
        <v>42</v>
      </c>
      <c r="F417" t="s">
        <v>62</v>
      </c>
      <c r="G417" s="1">
        <v>46204</v>
      </c>
      <c r="I417" s="2"/>
      <c r="J417" t="s">
        <v>166</v>
      </c>
      <c r="K417">
        <v>9963</v>
      </c>
      <c r="L417" t="s">
        <v>247</v>
      </c>
      <c r="M417">
        <v>2295580</v>
      </c>
      <c r="N417">
        <v>5</v>
      </c>
    </row>
    <row r="418" spans="2:15" hidden="1" x14ac:dyDescent="0.25">
      <c r="B418" t="s">
        <v>229</v>
      </c>
      <c r="C418" t="str">
        <f>_xlfn.XLOOKUP(B418,Tabla2[CODIGO],Tabla2[MATERIAL],"N/A",0)</f>
        <v>angular V</v>
      </c>
      <c r="D418">
        <v>1</v>
      </c>
      <c r="E418" t="s">
        <v>42</v>
      </c>
      <c r="F418" t="s">
        <v>62</v>
      </c>
      <c r="G418" s="1">
        <v>46204</v>
      </c>
      <c r="I418" s="2"/>
      <c r="J418" t="s">
        <v>166</v>
      </c>
      <c r="K418">
        <v>9963</v>
      </c>
      <c r="L418" t="s">
        <v>247</v>
      </c>
      <c r="M418">
        <v>2295628</v>
      </c>
      <c r="N418">
        <v>8</v>
      </c>
    </row>
    <row r="419" spans="2:15" x14ac:dyDescent="0.25">
      <c r="B419" t="s">
        <v>235</v>
      </c>
      <c r="C419" t="str">
        <f>_xlfn.XLOOKUP(B419,Tabla2[CODIGO],Tabla2[MATERIAL],"N/A",0)</f>
        <v>Luminaria Ret. 150w</v>
      </c>
      <c r="D419">
        <v>1</v>
      </c>
      <c r="E419" t="s">
        <v>42</v>
      </c>
      <c r="F419" t="s">
        <v>61</v>
      </c>
      <c r="G419" s="1">
        <v>46204</v>
      </c>
      <c r="I419" s="2"/>
      <c r="J419" t="s">
        <v>166</v>
      </c>
      <c r="K419">
        <v>9963</v>
      </c>
      <c r="L419" t="s">
        <v>247</v>
      </c>
      <c r="M419">
        <v>6529607</v>
      </c>
      <c r="N419">
        <v>1</v>
      </c>
      <c r="O419" t="s">
        <v>10</v>
      </c>
    </row>
    <row r="420" spans="2:15" x14ac:dyDescent="0.25">
      <c r="B420" t="s">
        <v>235</v>
      </c>
      <c r="C420" t="str">
        <f>_xlfn.XLOOKUP(B420,Tabla2[CODIGO],Tabla2[MATERIAL],"N/A",0)</f>
        <v>Luminaria Ret. 150w</v>
      </c>
      <c r="D420">
        <v>1</v>
      </c>
      <c r="E420" t="s">
        <v>42</v>
      </c>
      <c r="F420" t="s">
        <v>61</v>
      </c>
      <c r="G420" s="1">
        <v>46204</v>
      </c>
      <c r="I420" s="2"/>
      <c r="J420" t="s">
        <v>166</v>
      </c>
      <c r="K420">
        <v>9963</v>
      </c>
      <c r="L420" t="s">
        <v>247</v>
      </c>
      <c r="M420">
        <v>6529607</v>
      </c>
      <c r="N420">
        <v>2</v>
      </c>
      <c r="O420" t="s">
        <v>10</v>
      </c>
    </row>
    <row r="421" spans="2:15" x14ac:dyDescent="0.25">
      <c r="B421" t="s">
        <v>235</v>
      </c>
      <c r="C421" t="str">
        <f>_xlfn.XLOOKUP(B421,Tabla2[CODIGO],Tabla2[MATERIAL],"N/A",0)</f>
        <v>Luminaria Ret. 150w</v>
      </c>
      <c r="D421">
        <v>1</v>
      </c>
      <c r="E421" t="s">
        <v>42</v>
      </c>
      <c r="F421" t="s">
        <v>61</v>
      </c>
      <c r="G421" s="1">
        <v>46204</v>
      </c>
      <c r="I421" s="2"/>
      <c r="J421" t="s">
        <v>166</v>
      </c>
      <c r="K421">
        <v>9963</v>
      </c>
      <c r="L421" t="s">
        <v>247</v>
      </c>
      <c r="M421">
        <v>2147696</v>
      </c>
      <c r="N421">
        <v>3</v>
      </c>
      <c r="O421" t="s">
        <v>10</v>
      </c>
    </row>
    <row r="422" spans="2:15" x14ac:dyDescent="0.25">
      <c r="B422" t="s">
        <v>235</v>
      </c>
      <c r="C422" t="str">
        <f>_xlfn.XLOOKUP(B422,Tabla2[CODIGO],Tabla2[MATERIAL],"N/A",0)</f>
        <v>Luminaria Ret. 150w</v>
      </c>
      <c r="D422">
        <v>1</v>
      </c>
      <c r="E422" t="s">
        <v>42</v>
      </c>
      <c r="F422" t="s">
        <v>61</v>
      </c>
      <c r="G422" s="1">
        <v>46204</v>
      </c>
      <c r="I422" s="2"/>
      <c r="J422" t="s">
        <v>166</v>
      </c>
      <c r="K422">
        <v>9963</v>
      </c>
      <c r="L422" t="s">
        <v>247</v>
      </c>
      <c r="M422">
        <v>2147696</v>
      </c>
      <c r="N422">
        <v>4</v>
      </c>
      <c r="O422" t="s">
        <v>10</v>
      </c>
    </row>
    <row r="423" spans="2:15" x14ac:dyDescent="0.25">
      <c r="B423" t="s">
        <v>232</v>
      </c>
      <c r="C423" t="str">
        <f>_xlfn.XLOOKUP(B423,Tabla2[CODIGO],Tabla2[MATERIAL],"N/A",0)</f>
        <v>Proyector Ret. 250w</v>
      </c>
      <c r="D423">
        <v>1</v>
      </c>
      <c r="E423" t="s">
        <v>42</v>
      </c>
      <c r="F423" t="s">
        <v>61</v>
      </c>
      <c r="G423" s="1">
        <v>46204</v>
      </c>
      <c r="I423" s="2"/>
      <c r="J423" t="s">
        <v>166</v>
      </c>
      <c r="K423">
        <v>9963</v>
      </c>
      <c r="L423" t="s">
        <v>247</v>
      </c>
      <c r="M423">
        <v>2295580</v>
      </c>
      <c r="N423">
        <v>5</v>
      </c>
      <c r="O423" t="s">
        <v>10</v>
      </c>
    </row>
    <row r="424" spans="2:15" x14ac:dyDescent="0.25">
      <c r="B424" t="s">
        <v>232</v>
      </c>
      <c r="C424" t="str">
        <f>_xlfn.XLOOKUP(B424,Tabla2[CODIGO],Tabla2[MATERIAL],"N/A",0)</f>
        <v>Proyector Ret. 250w</v>
      </c>
      <c r="D424">
        <v>1</v>
      </c>
      <c r="E424" t="s">
        <v>42</v>
      </c>
      <c r="F424" t="s">
        <v>61</v>
      </c>
      <c r="G424" s="1">
        <v>46204</v>
      </c>
      <c r="I424" s="2"/>
      <c r="J424" t="s">
        <v>166</v>
      </c>
      <c r="K424">
        <v>9963</v>
      </c>
      <c r="L424" t="s">
        <v>247</v>
      </c>
      <c r="M424">
        <v>2295580</v>
      </c>
      <c r="N424">
        <v>6</v>
      </c>
      <c r="O424" t="s">
        <v>10</v>
      </c>
    </row>
    <row r="425" spans="2:15" x14ac:dyDescent="0.25">
      <c r="B425" t="s">
        <v>232</v>
      </c>
      <c r="C425" t="str">
        <f>_xlfn.XLOOKUP(B425,Tabla2[CODIGO],Tabla2[MATERIAL],"N/A",0)</f>
        <v>Proyector Ret. 250w</v>
      </c>
      <c r="D425">
        <v>1</v>
      </c>
      <c r="E425" t="s">
        <v>42</v>
      </c>
      <c r="F425" t="s">
        <v>61</v>
      </c>
      <c r="G425" s="1">
        <v>46204</v>
      </c>
      <c r="I425" s="2"/>
      <c r="J425" t="s">
        <v>166</v>
      </c>
      <c r="K425">
        <v>9963</v>
      </c>
      <c r="L425" t="s">
        <v>247</v>
      </c>
      <c r="M425">
        <v>2295580</v>
      </c>
      <c r="N425">
        <v>7</v>
      </c>
      <c r="O425" t="s">
        <v>10</v>
      </c>
    </row>
    <row r="426" spans="2:15" x14ac:dyDescent="0.25">
      <c r="B426" t="s">
        <v>232</v>
      </c>
      <c r="C426" t="str">
        <f>_xlfn.XLOOKUP(B426,Tabla2[CODIGO],Tabla2[MATERIAL],"N/A",0)</f>
        <v>Proyector Ret. 250w</v>
      </c>
      <c r="D426">
        <v>1</v>
      </c>
      <c r="E426" t="s">
        <v>42</v>
      </c>
      <c r="F426" t="s">
        <v>61</v>
      </c>
      <c r="G426" s="1">
        <v>46204</v>
      </c>
      <c r="I426" s="2"/>
      <c r="J426" t="s">
        <v>166</v>
      </c>
      <c r="K426">
        <v>9963</v>
      </c>
      <c r="L426" t="s">
        <v>247</v>
      </c>
      <c r="M426">
        <v>2295628</v>
      </c>
      <c r="N426">
        <v>8</v>
      </c>
      <c r="O426" t="s">
        <v>10</v>
      </c>
    </row>
    <row r="427" spans="2:15" x14ac:dyDescent="0.25">
      <c r="B427" t="s">
        <v>232</v>
      </c>
      <c r="C427" t="str">
        <f>_xlfn.XLOOKUP(B427,Tabla2[CODIGO],Tabla2[MATERIAL],"N/A",0)</f>
        <v>Proyector Ret. 250w</v>
      </c>
      <c r="D427">
        <v>1</v>
      </c>
      <c r="E427" t="s">
        <v>42</v>
      </c>
      <c r="F427" t="s">
        <v>61</v>
      </c>
      <c r="G427" s="1">
        <v>46204</v>
      </c>
      <c r="I427" s="2"/>
      <c r="J427" t="s">
        <v>166</v>
      </c>
      <c r="K427">
        <v>9963</v>
      </c>
      <c r="L427" t="s">
        <v>247</v>
      </c>
      <c r="M427">
        <v>2295628</v>
      </c>
      <c r="N427">
        <v>9</v>
      </c>
      <c r="O427" t="s">
        <v>10</v>
      </c>
    </row>
    <row r="428" spans="2:15" x14ac:dyDescent="0.25">
      <c r="B428" t="s">
        <v>232</v>
      </c>
      <c r="C428" t="str">
        <f>_xlfn.XLOOKUP(B428,Tabla2[CODIGO],Tabla2[MATERIAL],"N/A",0)</f>
        <v>Proyector Ret. 250w</v>
      </c>
      <c r="D428">
        <v>1</v>
      </c>
      <c r="E428" t="s">
        <v>42</v>
      </c>
      <c r="F428" t="s">
        <v>61</v>
      </c>
      <c r="G428" s="1">
        <v>46204</v>
      </c>
      <c r="I428" s="2"/>
      <c r="J428" t="s">
        <v>166</v>
      </c>
      <c r="K428">
        <v>9963</v>
      </c>
      <c r="L428" t="s">
        <v>247</v>
      </c>
      <c r="M428">
        <v>2295628</v>
      </c>
      <c r="N428">
        <v>10</v>
      </c>
      <c r="O428" t="s">
        <v>10</v>
      </c>
    </row>
    <row r="429" spans="2:15" x14ac:dyDescent="0.25">
      <c r="B429" t="s">
        <v>216</v>
      </c>
      <c r="C429" t="str">
        <f>_xlfn.XLOOKUP(B429,Tabla2[CODIGO],Tabla2[MATERIAL],"N/A",0)</f>
        <v>Brazo Galvanizado 2" x 2m</v>
      </c>
      <c r="D429">
        <v>1</v>
      </c>
      <c r="E429" t="s">
        <v>42</v>
      </c>
      <c r="F429" t="s">
        <v>61</v>
      </c>
      <c r="G429" s="1">
        <v>46204</v>
      </c>
      <c r="I429" s="2"/>
      <c r="J429" t="s">
        <v>166</v>
      </c>
      <c r="K429">
        <v>9963</v>
      </c>
      <c r="L429" t="s">
        <v>247</v>
      </c>
      <c r="M429">
        <v>6529607</v>
      </c>
      <c r="N429">
        <v>1</v>
      </c>
      <c r="O429" t="s">
        <v>10</v>
      </c>
    </row>
    <row r="430" spans="2:15" x14ac:dyDescent="0.25">
      <c r="B430" t="s">
        <v>216</v>
      </c>
      <c r="C430" t="str">
        <f>_xlfn.XLOOKUP(B430,Tabla2[CODIGO],Tabla2[MATERIAL],"N/A",0)</f>
        <v>Brazo Galvanizado 2" x 2m</v>
      </c>
      <c r="D430">
        <v>1</v>
      </c>
      <c r="E430" t="s">
        <v>42</v>
      </c>
      <c r="F430" t="s">
        <v>61</v>
      </c>
      <c r="G430" s="1">
        <v>46204</v>
      </c>
      <c r="I430" s="2"/>
      <c r="J430" t="s">
        <v>166</v>
      </c>
      <c r="K430">
        <v>9963</v>
      </c>
      <c r="L430" t="s">
        <v>247</v>
      </c>
      <c r="M430">
        <v>6529607</v>
      </c>
      <c r="N430">
        <v>2</v>
      </c>
      <c r="O430" t="s">
        <v>10</v>
      </c>
    </row>
    <row r="431" spans="2:15" x14ac:dyDescent="0.25">
      <c r="B431" t="s">
        <v>216</v>
      </c>
      <c r="C431" t="str">
        <f>_xlfn.XLOOKUP(B431,Tabla2[CODIGO],Tabla2[MATERIAL],"N/A",0)</f>
        <v>Brazo Galvanizado 2" x 2m</v>
      </c>
      <c r="D431">
        <v>1</v>
      </c>
      <c r="E431" t="s">
        <v>42</v>
      </c>
      <c r="F431" t="s">
        <v>61</v>
      </c>
      <c r="G431" s="1">
        <v>46204</v>
      </c>
      <c r="I431" s="2"/>
      <c r="J431" t="s">
        <v>166</v>
      </c>
      <c r="K431">
        <v>9963</v>
      </c>
      <c r="L431" t="s">
        <v>247</v>
      </c>
      <c r="M431">
        <v>2147696</v>
      </c>
      <c r="N431">
        <v>3</v>
      </c>
      <c r="O431" t="s">
        <v>10</v>
      </c>
    </row>
    <row r="432" spans="2:15" x14ac:dyDescent="0.25">
      <c r="B432" t="s">
        <v>216</v>
      </c>
      <c r="C432" t="str">
        <f>_xlfn.XLOOKUP(B432,Tabla2[CODIGO],Tabla2[MATERIAL],"N/A",0)</f>
        <v>Brazo Galvanizado 2" x 2m</v>
      </c>
      <c r="D432">
        <v>1</v>
      </c>
      <c r="E432" t="s">
        <v>42</v>
      </c>
      <c r="F432" t="s">
        <v>61</v>
      </c>
      <c r="G432" s="1">
        <v>46204</v>
      </c>
      <c r="I432" s="2"/>
      <c r="J432" t="s">
        <v>166</v>
      </c>
      <c r="K432">
        <v>9963</v>
      </c>
      <c r="L432" t="s">
        <v>247</v>
      </c>
      <c r="M432">
        <v>2147696</v>
      </c>
      <c r="N432">
        <v>4</v>
      </c>
      <c r="O432" t="s">
        <v>10</v>
      </c>
    </row>
    <row r="433" spans="2:15" x14ac:dyDescent="0.25">
      <c r="B433" t="s">
        <v>60</v>
      </c>
      <c r="C433" t="str">
        <f>_xlfn.XLOOKUP(B433,Tabla2[CODIGO],Tabla2[MATERIAL],"N/A",0)</f>
        <v>Fotocelda</v>
      </c>
      <c r="D433">
        <v>1</v>
      </c>
      <c r="E433" t="s">
        <v>42</v>
      </c>
      <c r="F433" t="s">
        <v>61</v>
      </c>
      <c r="G433" s="1">
        <v>46204</v>
      </c>
      <c r="I433" s="2"/>
      <c r="J433" t="s">
        <v>166</v>
      </c>
      <c r="K433">
        <v>9963</v>
      </c>
      <c r="L433" t="s">
        <v>247</v>
      </c>
      <c r="M433">
        <v>6529607</v>
      </c>
      <c r="N433">
        <v>1</v>
      </c>
      <c r="O433" t="s">
        <v>10</v>
      </c>
    </row>
    <row r="434" spans="2:15" x14ac:dyDescent="0.25">
      <c r="B434" t="s">
        <v>60</v>
      </c>
      <c r="C434" t="str">
        <f>_xlfn.XLOOKUP(B434,Tabla2[CODIGO],Tabla2[MATERIAL],"N/A",0)</f>
        <v>Fotocelda</v>
      </c>
      <c r="D434">
        <v>1</v>
      </c>
      <c r="E434" t="s">
        <v>42</v>
      </c>
      <c r="F434" t="s">
        <v>61</v>
      </c>
      <c r="G434" s="1">
        <v>46204</v>
      </c>
      <c r="I434" s="2"/>
      <c r="J434" t="s">
        <v>166</v>
      </c>
      <c r="K434">
        <v>9963</v>
      </c>
      <c r="L434" t="s">
        <v>247</v>
      </c>
      <c r="M434">
        <v>6529607</v>
      </c>
      <c r="N434">
        <v>2</v>
      </c>
      <c r="O434" t="s">
        <v>10</v>
      </c>
    </row>
    <row r="435" spans="2:15" x14ac:dyDescent="0.25">
      <c r="B435" t="s">
        <v>60</v>
      </c>
      <c r="C435" t="str">
        <f>_xlfn.XLOOKUP(B435,Tabla2[CODIGO],Tabla2[MATERIAL],"N/A",0)</f>
        <v>Fotocelda</v>
      </c>
      <c r="D435">
        <v>1</v>
      </c>
      <c r="E435" t="s">
        <v>42</v>
      </c>
      <c r="F435" t="s">
        <v>61</v>
      </c>
      <c r="G435" s="1">
        <v>46204</v>
      </c>
      <c r="I435" s="2"/>
      <c r="J435" t="s">
        <v>166</v>
      </c>
      <c r="K435">
        <v>9963</v>
      </c>
      <c r="L435" t="s">
        <v>247</v>
      </c>
      <c r="M435">
        <v>2147696</v>
      </c>
      <c r="N435">
        <v>3</v>
      </c>
      <c r="O435" t="s">
        <v>10</v>
      </c>
    </row>
    <row r="436" spans="2:15" x14ac:dyDescent="0.25">
      <c r="B436" t="s">
        <v>60</v>
      </c>
      <c r="C436" t="str">
        <f>_xlfn.XLOOKUP(B436,Tabla2[CODIGO],Tabla2[MATERIAL],"N/A",0)</f>
        <v>Fotocelda</v>
      </c>
      <c r="D436">
        <v>1</v>
      </c>
      <c r="E436" t="s">
        <v>42</v>
      </c>
      <c r="F436" t="s">
        <v>61</v>
      </c>
      <c r="G436" s="1">
        <v>46204</v>
      </c>
      <c r="I436" s="2"/>
      <c r="J436" t="s">
        <v>166</v>
      </c>
      <c r="K436">
        <v>9963</v>
      </c>
      <c r="L436" t="s">
        <v>247</v>
      </c>
      <c r="M436">
        <v>2147696</v>
      </c>
      <c r="N436">
        <v>4</v>
      </c>
      <c r="O436" t="s">
        <v>10</v>
      </c>
    </row>
    <row r="437" spans="2:15" x14ac:dyDescent="0.25">
      <c r="B437" t="s">
        <v>60</v>
      </c>
      <c r="C437" t="str">
        <f>_xlfn.XLOOKUP(B437,Tabla2[CODIGO],Tabla2[MATERIAL],"N/A",0)</f>
        <v>Fotocelda</v>
      </c>
      <c r="D437">
        <v>1</v>
      </c>
      <c r="E437" t="s">
        <v>42</v>
      </c>
      <c r="F437" t="s">
        <v>61</v>
      </c>
      <c r="G437" s="1">
        <v>46204</v>
      </c>
      <c r="I437" s="2"/>
      <c r="J437" t="s">
        <v>166</v>
      </c>
      <c r="K437">
        <v>9963</v>
      </c>
      <c r="L437" t="s">
        <v>247</v>
      </c>
      <c r="M437">
        <v>2295580</v>
      </c>
      <c r="N437">
        <v>5</v>
      </c>
      <c r="O437" t="s">
        <v>10</v>
      </c>
    </row>
    <row r="438" spans="2:15" x14ac:dyDescent="0.25">
      <c r="B438" t="s">
        <v>60</v>
      </c>
      <c r="C438" t="str">
        <f>_xlfn.XLOOKUP(B438,Tabla2[CODIGO],Tabla2[MATERIAL],"N/A",0)</f>
        <v>Fotocelda</v>
      </c>
      <c r="D438">
        <v>1</v>
      </c>
      <c r="E438" t="s">
        <v>42</v>
      </c>
      <c r="F438" t="s">
        <v>61</v>
      </c>
      <c r="G438" s="1">
        <v>46204</v>
      </c>
      <c r="I438" s="2"/>
      <c r="J438" t="s">
        <v>166</v>
      </c>
      <c r="K438">
        <v>9963</v>
      </c>
      <c r="L438" t="s">
        <v>247</v>
      </c>
      <c r="M438">
        <v>2295580</v>
      </c>
      <c r="N438">
        <v>6</v>
      </c>
      <c r="O438" t="s">
        <v>10</v>
      </c>
    </row>
    <row r="439" spans="2:15" x14ac:dyDescent="0.25">
      <c r="B439" t="s">
        <v>60</v>
      </c>
      <c r="C439" t="str">
        <f>_xlfn.XLOOKUP(B439,Tabla2[CODIGO],Tabla2[MATERIAL],"N/A",0)</f>
        <v>Fotocelda</v>
      </c>
      <c r="D439">
        <v>1</v>
      </c>
      <c r="E439" t="s">
        <v>42</v>
      </c>
      <c r="F439" t="s">
        <v>61</v>
      </c>
      <c r="G439" s="1">
        <v>46204</v>
      </c>
      <c r="I439" s="2"/>
      <c r="J439" t="s">
        <v>166</v>
      </c>
      <c r="K439">
        <v>9963</v>
      </c>
      <c r="L439" t="s">
        <v>247</v>
      </c>
      <c r="M439">
        <v>2295580</v>
      </c>
      <c r="N439">
        <v>7</v>
      </c>
      <c r="O439" t="s">
        <v>10</v>
      </c>
    </row>
    <row r="440" spans="2:15" x14ac:dyDescent="0.25">
      <c r="B440" t="s">
        <v>60</v>
      </c>
      <c r="C440" t="str">
        <f>_xlfn.XLOOKUP(B440,Tabla2[CODIGO],Tabla2[MATERIAL],"N/A",0)</f>
        <v>Fotocelda</v>
      </c>
      <c r="D440">
        <v>1</v>
      </c>
      <c r="E440" t="s">
        <v>42</v>
      </c>
      <c r="F440" t="s">
        <v>61</v>
      </c>
      <c r="G440" s="1">
        <v>46204</v>
      </c>
      <c r="I440" s="2"/>
      <c r="J440" t="s">
        <v>166</v>
      </c>
      <c r="K440">
        <v>9963</v>
      </c>
      <c r="L440" t="s">
        <v>247</v>
      </c>
      <c r="M440">
        <v>2295628</v>
      </c>
      <c r="N440">
        <v>8</v>
      </c>
      <c r="O440" t="s">
        <v>10</v>
      </c>
    </row>
    <row r="441" spans="2:15" x14ac:dyDescent="0.25">
      <c r="B441" t="s">
        <v>60</v>
      </c>
      <c r="C441" t="str">
        <f>_xlfn.XLOOKUP(B441,Tabla2[CODIGO],Tabla2[MATERIAL],"N/A",0)</f>
        <v>Fotocelda</v>
      </c>
      <c r="D441">
        <v>1</v>
      </c>
      <c r="E441" t="s">
        <v>42</v>
      </c>
      <c r="F441" t="s">
        <v>61</v>
      </c>
      <c r="G441" s="1">
        <v>46204</v>
      </c>
      <c r="I441" s="2"/>
      <c r="J441" t="s">
        <v>166</v>
      </c>
      <c r="K441">
        <v>9963</v>
      </c>
      <c r="L441" t="s">
        <v>247</v>
      </c>
      <c r="M441">
        <v>2295628</v>
      </c>
      <c r="N441">
        <v>9</v>
      </c>
      <c r="O441" t="s">
        <v>10</v>
      </c>
    </row>
    <row r="442" spans="2:15" x14ac:dyDescent="0.25">
      <c r="B442" t="s">
        <v>60</v>
      </c>
      <c r="C442" t="str">
        <f>_xlfn.XLOOKUP(B442,Tabla2[CODIGO],Tabla2[MATERIAL],"N/A",0)</f>
        <v>Fotocelda</v>
      </c>
      <c r="D442">
        <v>1</v>
      </c>
      <c r="E442" t="s">
        <v>42</v>
      </c>
      <c r="F442" t="s">
        <v>61</v>
      </c>
      <c r="G442" s="1">
        <v>46204</v>
      </c>
      <c r="I442" s="2"/>
      <c r="J442" t="s">
        <v>166</v>
      </c>
      <c r="K442">
        <v>9963</v>
      </c>
      <c r="L442" t="s">
        <v>247</v>
      </c>
      <c r="M442">
        <v>2295628</v>
      </c>
      <c r="N442">
        <v>10</v>
      </c>
      <c r="O442" t="s">
        <v>10</v>
      </c>
    </row>
    <row r="443" spans="2:15" x14ac:dyDescent="0.25">
      <c r="B443" t="s">
        <v>212</v>
      </c>
      <c r="C443" t="str">
        <f>_xlfn.XLOOKUP(B443,Tabla2[CODIGO],Tabla2[MATERIAL],"N/A",0)</f>
        <v>Grillete galvanizado 1,1/2</v>
      </c>
      <c r="D443">
        <v>2</v>
      </c>
      <c r="E443" t="s">
        <v>42</v>
      </c>
      <c r="F443" t="s">
        <v>61</v>
      </c>
      <c r="G443" s="1">
        <v>46204</v>
      </c>
      <c r="I443" s="2"/>
      <c r="J443" t="s">
        <v>166</v>
      </c>
      <c r="K443">
        <v>9963</v>
      </c>
      <c r="L443" t="s">
        <v>247</v>
      </c>
      <c r="M443">
        <v>6529607</v>
      </c>
      <c r="N443">
        <v>1</v>
      </c>
      <c r="O443" t="s">
        <v>10</v>
      </c>
    </row>
    <row r="444" spans="2:15" x14ac:dyDescent="0.25">
      <c r="B444" t="s">
        <v>212</v>
      </c>
      <c r="C444" t="str">
        <f>_xlfn.XLOOKUP(B444,Tabla2[CODIGO],Tabla2[MATERIAL],"N/A",0)</f>
        <v>Grillete galvanizado 1,1/2</v>
      </c>
      <c r="D444">
        <v>2</v>
      </c>
      <c r="E444" t="s">
        <v>42</v>
      </c>
      <c r="F444" t="s">
        <v>61</v>
      </c>
      <c r="G444" s="1">
        <v>46204</v>
      </c>
      <c r="I444" s="2"/>
      <c r="J444" t="s">
        <v>166</v>
      </c>
      <c r="K444">
        <v>9963</v>
      </c>
      <c r="L444" t="s">
        <v>247</v>
      </c>
      <c r="M444">
        <v>6529607</v>
      </c>
      <c r="N444">
        <v>2</v>
      </c>
      <c r="O444" t="s">
        <v>10</v>
      </c>
    </row>
    <row r="445" spans="2:15" x14ac:dyDescent="0.25">
      <c r="B445" t="s">
        <v>212</v>
      </c>
      <c r="C445" t="str">
        <f>_xlfn.XLOOKUP(B445,Tabla2[CODIGO],Tabla2[MATERIAL],"N/A",0)</f>
        <v>Grillete galvanizado 1,1/2</v>
      </c>
      <c r="D445">
        <v>2</v>
      </c>
      <c r="E445" t="s">
        <v>42</v>
      </c>
      <c r="F445" t="s">
        <v>61</v>
      </c>
      <c r="G445" s="1">
        <v>46204</v>
      </c>
      <c r="I445" s="2"/>
      <c r="J445" t="s">
        <v>166</v>
      </c>
      <c r="K445">
        <v>9963</v>
      </c>
      <c r="L445" t="s">
        <v>247</v>
      </c>
      <c r="M445">
        <v>2147696</v>
      </c>
      <c r="N445">
        <v>3</v>
      </c>
      <c r="O445" t="s">
        <v>10</v>
      </c>
    </row>
    <row r="446" spans="2:15" x14ac:dyDescent="0.25">
      <c r="B446" t="s">
        <v>212</v>
      </c>
      <c r="C446" t="str">
        <f>_xlfn.XLOOKUP(B446,Tabla2[CODIGO],Tabla2[MATERIAL],"N/A",0)</f>
        <v>Grillete galvanizado 1,1/2</v>
      </c>
      <c r="D446">
        <v>2</v>
      </c>
      <c r="E446" t="s">
        <v>42</v>
      </c>
      <c r="F446" t="s">
        <v>61</v>
      </c>
      <c r="G446" s="1">
        <v>46204</v>
      </c>
      <c r="I446" s="2"/>
      <c r="J446" t="s">
        <v>166</v>
      </c>
      <c r="K446">
        <v>9963</v>
      </c>
      <c r="L446" t="s">
        <v>247</v>
      </c>
      <c r="M446">
        <v>2147696</v>
      </c>
      <c r="N446">
        <v>4</v>
      </c>
      <c r="O446" t="s">
        <v>10</v>
      </c>
    </row>
    <row r="447" spans="2:15" x14ac:dyDescent="0.25">
      <c r="B447" t="s">
        <v>226</v>
      </c>
      <c r="C447" t="str">
        <f>_xlfn.XLOOKUP(B447,Tabla2[CODIGO],Tabla2[MATERIAL],"N/A",0)</f>
        <v>Abrazadera una salida 6"</v>
      </c>
      <c r="D447">
        <v>1</v>
      </c>
      <c r="E447" t="s">
        <v>42</v>
      </c>
      <c r="F447" t="s">
        <v>61</v>
      </c>
      <c r="G447" s="1">
        <v>46204</v>
      </c>
      <c r="I447" s="2"/>
      <c r="J447" t="s">
        <v>166</v>
      </c>
      <c r="K447">
        <v>9963</v>
      </c>
      <c r="L447" t="s">
        <v>247</v>
      </c>
      <c r="M447">
        <v>6529607</v>
      </c>
      <c r="N447">
        <v>1</v>
      </c>
      <c r="O447" t="s">
        <v>10</v>
      </c>
    </row>
    <row r="448" spans="2:15" x14ac:dyDescent="0.25">
      <c r="B448" t="s">
        <v>226</v>
      </c>
      <c r="C448" t="str">
        <f>_xlfn.XLOOKUP(B448,Tabla2[CODIGO],Tabla2[MATERIAL],"N/A",0)</f>
        <v>Abrazadera una salida 6"</v>
      </c>
      <c r="D448">
        <v>1</v>
      </c>
      <c r="E448" t="s">
        <v>42</v>
      </c>
      <c r="F448" t="s">
        <v>61</v>
      </c>
      <c r="G448" s="1">
        <v>46204</v>
      </c>
      <c r="I448" s="2"/>
      <c r="J448" t="s">
        <v>166</v>
      </c>
      <c r="K448">
        <v>9963</v>
      </c>
      <c r="L448" t="s">
        <v>247</v>
      </c>
      <c r="M448">
        <v>2147696</v>
      </c>
      <c r="N448">
        <v>3</v>
      </c>
      <c r="O448" t="s">
        <v>10</v>
      </c>
    </row>
    <row r="449" spans="2:15" x14ac:dyDescent="0.25">
      <c r="B449" t="s">
        <v>226</v>
      </c>
      <c r="C449" t="str">
        <f>_xlfn.XLOOKUP(B449,Tabla2[CODIGO],Tabla2[MATERIAL],"N/A",0)</f>
        <v>Abrazadera una salida 6"</v>
      </c>
      <c r="D449">
        <v>1</v>
      </c>
      <c r="E449" t="s">
        <v>42</v>
      </c>
      <c r="F449" t="s">
        <v>61</v>
      </c>
      <c r="G449" s="1">
        <v>46204</v>
      </c>
      <c r="I449" s="2"/>
      <c r="J449" t="s">
        <v>166</v>
      </c>
      <c r="K449">
        <v>9963</v>
      </c>
      <c r="L449" t="s">
        <v>247</v>
      </c>
      <c r="M449">
        <v>2295580</v>
      </c>
      <c r="N449">
        <v>5</v>
      </c>
      <c r="O449" t="s">
        <v>10</v>
      </c>
    </row>
    <row r="450" spans="2:15" x14ac:dyDescent="0.25">
      <c r="B450" t="s">
        <v>226</v>
      </c>
      <c r="C450" t="str">
        <f>_xlfn.XLOOKUP(B450,Tabla2[CODIGO],Tabla2[MATERIAL],"N/A",0)</f>
        <v>Abrazadera una salida 6"</v>
      </c>
      <c r="D450">
        <v>1</v>
      </c>
      <c r="E450" t="s">
        <v>42</v>
      </c>
      <c r="F450" t="s">
        <v>61</v>
      </c>
      <c r="G450" s="1">
        <v>46204</v>
      </c>
      <c r="I450" s="2"/>
      <c r="J450" t="s">
        <v>166</v>
      </c>
      <c r="K450">
        <v>9963</v>
      </c>
      <c r="L450" t="s">
        <v>247</v>
      </c>
      <c r="M450">
        <v>2295628</v>
      </c>
      <c r="N450">
        <v>8</v>
      </c>
      <c r="O450" t="s">
        <v>10</v>
      </c>
    </row>
    <row r="451" spans="2:15" x14ac:dyDescent="0.25">
      <c r="B451" t="s">
        <v>50</v>
      </c>
      <c r="C451" t="str">
        <f>_xlfn.XLOOKUP(B451,Tabla2[CODIGO],Tabla2[MATERIAL],"N/A",0)</f>
        <v>Percha galv 1 puesto</v>
      </c>
      <c r="D451">
        <v>1</v>
      </c>
      <c r="E451" t="s">
        <v>42</v>
      </c>
      <c r="F451" t="s">
        <v>61</v>
      </c>
      <c r="G451" s="1">
        <v>46204</v>
      </c>
      <c r="I451" s="2"/>
      <c r="J451" t="s">
        <v>166</v>
      </c>
      <c r="K451">
        <v>9963</v>
      </c>
      <c r="L451" t="s">
        <v>247</v>
      </c>
      <c r="M451">
        <v>6529607</v>
      </c>
      <c r="N451">
        <v>1</v>
      </c>
      <c r="O451" t="s">
        <v>10</v>
      </c>
    </row>
    <row r="452" spans="2:15" x14ac:dyDescent="0.25">
      <c r="B452" t="s">
        <v>50</v>
      </c>
      <c r="C452" t="str">
        <f>_xlfn.XLOOKUP(B452,Tabla2[CODIGO],Tabla2[MATERIAL],"N/A",0)</f>
        <v>Percha galv 1 puesto</v>
      </c>
      <c r="D452">
        <v>1</v>
      </c>
      <c r="E452" t="s">
        <v>42</v>
      </c>
      <c r="F452" t="s">
        <v>61</v>
      </c>
      <c r="G452" s="1">
        <v>46204</v>
      </c>
      <c r="I452" s="2"/>
      <c r="J452" t="s">
        <v>166</v>
      </c>
      <c r="K452">
        <v>9963</v>
      </c>
      <c r="L452" t="s">
        <v>247</v>
      </c>
      <c r="M452">
        <v>2147696</v>
      </c>
      <c r="N452">
        <v>3</v>
      </c>
      <c r="O452" t="s">
        <v>10</v>
      </c>
    </row>
    <row r="453" spans="2:15" x14ac:dyDescent="0.25">
      <c r="B453" t="s">
        <v>50</v>
      </c>
      <c r="C453" t="str">
        <f>_xlfn.XLOOKUP(B453,Tabla2[CODIGO],Tabla2[MATERIAL],"N/A",0)</f>
        <v>Percha galv 1 puesto</v>
      </c>
      <c r="D453">
        <v>1</v>
      </c>
      <c r="E453" t="s">
        <v>42</v>
      </c>
      <c r="F453" t="s">
        <v>61</v>
      </c>
      <c r="G453" s="1">
        <v>46204</v>
      </c>
      <c r="I453" s="2"/>
      <c r="J453" t="s">
        <v>166</v>
      </c>
      <c r="K453">
        <v>9963</v>
      </c>
      <c r="L453" t="s">
        <v>247</v>
      </c>
      <c r="M453">
        <v>2295580</v>
      </c>
      <c r="N453">
        <v>5</v>
      </c>
      <c r="O453" t="s">
        <v>10</v>
      </c>
    </row>
    <row r="454" spans="2:15" x14ac:dyDescent="0.25">
      <c r="B454" t="s">
        <v>50</v>
      </c>
      <c r="C454" t="str">
        <f>_xlfn.XLOOKUP(B454,Tabla2[CODIGO],Tabla2[MATERIAL],"N/A",0)</f>
        <v>Percha galv 1 puesto</v>
      </c>
      <c r="D454">
        <v>1</v>
      </c>
      <c r="E454" t="s">
        <v>42</v>
      </c>
      <c r="F454" t="s">
        <v>61</v>
      </c>
      <c r="G454" s="1">
        <v>46204</v>
      </c>
      <c r="I454" s="2"/>
      <c r="J454" t="s">
        <v>166</v>
      </c>
      <c r="K454">
        <v>9963</v>
      </c>
      <c r="L454" t="s">
        <v>247</v>
      </c>
      <c r="M454">
        <v>2295628</v>
      </c>
      <c r="N454">
        <v>8</v>
      </c>
      <c r="O454" t="s">
        <v>10</v>
      </c>
    </row>
    <row r="455" spans="2:15" x14ac:dyDescent="0.25">
      <c r="B455" t="s">
        <v>56</v>
      </c>
      <c r="C455" t="str">
        <f>_xlfn.XLOOKUP(B455,Tabla2[CODIGO],Tabla2[MATERIAL],"N/A",0)</f>
        <v>Aislador Carrreto</v>
      </c>
      <c r="D455">
        <v>1</v>
      </c>
      <c r="E455" t="s">
        <v>42</v>
      </c>
      <c r="F455" t="s">
        <v>61</v>
      </c>
      <c r="G455" s="1">
        <v>46204</v>
      </c>
      <c r="I455" s="2"/>
      <c r="J455" t="s">
        <v>166</v>
      </c>
      <c r="K455">
        <v>9963</v>
      </c>
      <c r="L455" t="s">
        <v>247</v>
      </c>
      <c r="M455">
        <v>6529607</v>
      </c>
      <c r="N455">
        <v>1</v>
      </c>
      <c r="O455" t="s">
        <v>10</v>
      </c>
    </row>
    <row r="456" spans="2:15" x14ac:dyDescent="0.25">
      <c r="B456" t="s">
        <v>56</v>
      </c>
      <c r="C456" t="str">
        <f>_xlfn.XLOOKUP(B456,Tabla2[CODIGO],Tabla2[MATERIAL],"N/A",0)</f>
        <v>Aislador Carrreto</v>
      </c>
      <c r="D456">
        <v>1</v>
      </c>
      <c r="E456" t="s">
        <v>42</v>
      </c>
      <c r="F456" t="s">
        <v>61</v>
      </c>
      <c r="G456" s="1">
        <v>46204</v>
      </c>
      <c r="I456" s="2"/>
      <c r="J456" t="s">
        <v>166</v>
      </c>
      <c r="K456">
        <v>9963</v>
      </c>
      <c r="L456" t="s">
        <v>247</v>
      </c>
      <c r="M456">
        <v>2147696</v>
      </c>
      <c r="N456">
        <v>3</v>
      </c>
      <c r="O456" t="s">
        <v>10</v>
      </c>
    </row>
    <row r="457" spans="2:15" x14ac:dyDescent="0.25">
      <c r="B457" t="s">
        <v>56</v>
      </c>
      <c r="C457" t="str">
        <f>_xlfn.XLOOKUP(B457,Tabla2[CODIGO],Tabla2[MATERIAL],"N/A",0)</f>
        <v>Aislador Carrreto</v>
      </c>
      <c r="D457">
        <v>1</v>
      </c>
      <c r="E457" t="s">
        <v>42</v>
      </c>
      <c r="F457" t="s">
        <v>61</v>
      </c>
      <c r="G457" s="1">
        <v>46204</v>
      </c>
      <c r="I457" s="2"/>
      <c r="J457" t="s">
        <v>166</v>
      </c>
      <c r="K457">
        <v>9963</v>
      </c>
      <c r="L457" t="s">
        <v>247</v>
      </c>
      <c r="M457">
        <v>2295580</v>
      </c>
      <c r="N457">
        <v>5</v>
      </c>
      <c r="O457" t="s">
        <v>10</v>
      </c>
    </row>
    <row r="458" spans="2:15" x14ac:dyDescent="0.25">
      <c r="B458" t="s">
        <v>56</v>
      </c>
      <c r="C458" t="str">
        <f>_xlfn.XLOOKUP(B458,Tabla2[CODIGO],Tabla2[MATERIAL],"N/A",0)</f>
        <v>Aislador Carrreto</v>
      </c>
      <c r="D458">
        <v>1</v>
      </c>
      <c r="E458" t="s">
        <v>42</v>
      </c>
      <c r="F458" t="s">
        <v>61</v>
      </c>
      <c r="G458" s="1">
        <v>46204</v>
      </c>
      <c r="I458" s="2"/>
      <c r="J458" t="s">
        <v>166</v>
      </c>
      <c r="K458">
        <v>9963</v>
      </c>
      <c r="L458" t="s">
        <v>247</v>
      </c>
      <c r="M458">
        <v>2295628</v>
      </c>
      <c r="N458">
        <v>8</v>
      </c>
      <c r="O458" t="s">
        <v>10</v>
      </c>
    </row>
    <row r="459" spans="2:15" x14ac:dyDescent="0.25">
      <c r="B459" t="s">
        <v>194</v>
      </c>
      <c r="C459" t="str">
        <f>_xlfn.XLOOKUP(B459,Tabla2[CODIGO],Tabla2[MATERIAL],"N/A",0)</f>
        <v>Cable TPX 2x4 1x4 awg</v>
      </c>
      <c r="D459">
        <v>160</v>
      </c>
      <c r="E459" t="s">
        <v>43</v>
      </c>
      <c r="F459" t="s">
        <v>61</v>
      </c>
      <c r="G459" s="1">
        <v>46204</v>
      </c>
      <c r="I459" s="2"/>
      <c r="J459" t="s">
        <v>166</v>
      </c>
      <c r="K459">
        <v>9963</v>
      </c>
      <c r="L459" t="s">
        <v>247</v>
      </c>
      <c r="O459" t="s">
        <v>10</v>
      </c>
    </row>
    <row r="460" spans="2:15" hidden="1" x14ac:dyDescent="0.25">
      <c r="B460" t="s">
        <v>449</v>
      </c>
      <c r="C460" t="str">
        <f>_xlfn.XLOOKUP(B460,Tabla2[CODIGO],Tabla2[MATERIAL],"N/A",0)</f>
        <v>Abrazadera una salida 7"</v>
      </c>
      <c r="D460">
        <v>2</v>
      </c>
      <c r="E460" t="s">
        <v>42</v>
      </c>
      <c r="F460" t="s">
        <v>62</v>
      </c>
      <c r="G460" s="1">
        <v>46199</v>
      </c>
      <c r="I460" s="2"/>
      <c r="J460" t="s">
        <v>166</v>
      </c>
      <c r="K460">
        <v>9958</v>
      </c>
      <c r="M460">
        <v>2277638</v>
      </c>
      <c r="N460">
        <v>3</v>
      </c>
    </row>
    <row r="461" spans="2:15" hidden="1" x14ac:dyDescent="0.25">
      <c r="B461" t="s">
        <v>449</v>
      </c>
      <c r="C461" t="str">
        <f>_xlfn.XLOOKUP(B461,Tabla2[CODIGO],Tabla2[MATERIAL],"N/A",0)</f>
        <v>Abrazadera una salida 7"</v>
      </c>
      <c r="D461">
        <v>2</v>
      </c>
      <c r="E461" t="s">
        <v>42</v>
      </c>
      <c r="F461" t="s">
        <v>62</v>
      </c>
      <c r="G461" s="1">
        <v>46199</v>
      </c>
      <c r="I461" s="2"/>
      <c r="J461" t="s">
        <v>166</v>
      </c>
      <c r="K461">
        <v>9958</v>
      </c>
      <c r="M461">
        <v>2277689</v>
      </c>
      <c r="N461">
        <v>7</v>
      </c>
    </row>
    <row r="462" spans="2:15" hidden="1" x14ac:dyDescent="0.25">
      <c r="B462" t="s">
        <v>449</v>
      </c>
      <c r="C462" t="str">
        <f>_xlfn.XLOOKUP(B462,Tabla2[CODIGO],Tabla2[MATERIAL],"N/A",0)</f>
        <v>Abrazadera una salida 7"</v>
      </c>
      <c r="D462">
        <v>2</v>
      </c>
      <c r="E462" t="s">
        <v>42</v>
      </c>
      <c r="F462" t="s">
        <v>62</v>
      </c>
      <c r="G462" s="1">
        <v>46199</v>
      </c>
      <c r="I462" s="2"/>
      <c r="J462" t="s">
        <v>166</v>
      </c>
      <c r="K462">
        <v>9958</v>
      </c>
      <c r="M462">
        <v>2277689</v>
      </c>
      <c r="N462">
        <v>9</v>
      </c>
    </row>
    <row r="463" spans="2:15" hidden="1" x14ac:dyDescent="0.25">
      <c r="B463" t="s">
        <v>449</v>
      </c>
      <c r="C463" t="str">
        <f>_xlfn.XLOOKUP(B463,Tabla2[CODIGO],Tabla2[MATERIAL],"N/A",0)</f>
        <v>Abrazadera una salida 7"</v>
      </c>
      <c r="D463">
        <v>2</v>
      </c>
      <c r="E463" t="s">
        <v>42</v>
      </c>
      <c r="F463" t="s">
        <v>62</v>
      </c>
      <c r="G463" s="1">
        <v>46199</v>
      </c>
      <c r="I463" s="2"/>
      <c r="J463" t="s">
        <v>166</v>
      </c>
      <c r="K463">
        <v>9958</v>
      </c>
      <c r="M463">
        <v>2277689</v>
      </c>
      <c r="N463">
        <v>11</v>
      </c>
    </row>
    <row r="464" spans="2:15" hidden="1" x14ac:dyDescent="0.25">
      <c r="B464" t="s">
        <v>449</v>
      </c>
      <c r="C464" t="str">
        <f>_xlfn.XLOOKUP(B464,Tabla2[CODIGO],Tabla2[MATERIAL],"N/A",0)</f>
        <v>Abrazadera una salida 7"</v>
      </c>
      <c r="D464">
        <v>2</v>
      </c>
      <c r="E464" t="s">
        <v>42</v>
      </c>
      <c r="F464" t="s">
        <v>62</v>
      </c>
      <c r="G464" s="1">
        <v>46199</v>
      </c>
      <c r="I464" s="2"/>
      <c r="J464" t="s">
        <v>166</v>
      </c>
      <c r="K464">
        <v>9958</v>
      </c>
      <c r="M464">
        <v>2277689</v>
      </c>
      <c r="N464">
        <v>13</v>
      </c>
    </row>
    <row r="465" spans="2:14" hidden="1" x14ac:dyDescent="0.25">
      <c r="B465" t="s">
        <v>449</v>
      </c>
      <c r="C465" t="str">
        <f>_xlfn.XLOOKUP(B465,Tabla2[CODIGO],Tabla2[MATERIAL],"N/A",0)</f>
        <v>Abrazadera una salida 7"</v>
      </c>
      <c r="D465">
        <v>2</v>
      </c>
      <c r="E465" t="s">
        <v>42</v>
      </c>
      <c r="F465" t="s">
        <v>62</v>
      </c>
      <c r="G465" s="1">
        <v>46199</v>
      </c>
      <c r="I465" s="2"/>
      <c r="J465" t="s">
        <v>166</v>
      </c>
      <c r="K465">
        <v>9958</v>
      </c>
      <c r="M465">
        <v>2277689</v>
      </c>
      <c r="N465">
        <v>15</v>
      </c>
    </row>
    <row r="466" spans="2:14" hidden="1" x14ac:dyDescent="0.25">
      <c r="B466" t="s">
        <v>56</v>
      </c>
      <c r="C466" t="str">
        <f>_xlfn.XLOOKUP(B466,Tabla2[CODIGO],Tabla2[MATERIAL],"N/A",0)</f>
        <v>Aislador Carrreto</v>
      </c>
      <c r="D466">
        <v>1</v>
      </c>
      <c r="E466" t="s">
        <v>42</v>
      </c>
      <c r="F466" t="s">
        <v>62</v>
      </c>
      <c r="G466" s="1">
        <v>46199</v>
      </c>
      <c r="I466" s="2"/>
      <c r="J466" t="s">
        <v>166</v>
      </c>
      <c r="K466">
        <v>9958</v>
      </c>
      <c r="M466">
        <v>2277638</v>
      </c>
      <c r="N466">
        <v>5</v>
      </c>
    </row>
    <row r="467" spans="2:14" hidden="1" x14ac:dyDescent="0.25">
      <c r="B467" t="s">
        <v>319</v>
      </c>
      <c r="C467" t="str">
        <f>_xlfn.XLOOKUP(B467,Tabla2[CODIGO],Tabla2[MATERIAL],"N/A",0)</f>
        <v>alambre Cu thhn 14 verde</v>
      </c>
      <c r="D467">
        <v>16</v>
      </c>
      <c r="E467" t="s">
        <v>43</v>
      </c>
      <c r="F467" t="s">
        <v>62</v>
      </c>
      <c r="G467" s="1">
        <v>46199</v>
      </c>
      <c r="I467" s="2"/>
      <c r="J467" t="s">
        <v>166</v>
      </c>
      <c r="K467">
        <v>9958</v>
      </c>
      <c r="M467">
        <v>2277638</v>
      </c>
      <c r="N467">
        <v>9</v>
      </c>
    </row>
    <row r="468" spans="2:14" hidden="1" x14ac:dyDescent="0.25">
      <c r="B468" t="s">
        <v>319</v>
      </c>
      <c r="C468" t="str">
        <f>_xlfn.XLOOKUP(B468,Tabla2[CODIGO],Tabla2[MATERIAL],"N/A",0)</f>
        <v>alambre Cu thhn 14 verde</v>
      </c>
      <c r="D468">
        <v>1</v>
      </c>
      <c r="E468" t="s">
        <v>43</v>
      </c>
      <c r="F468" t="s">
        <v>62</v>
      </c>
      <c r="G468" s="1">
        <v>46199</v>
      </c>
      <c r="I468" s="2"/>
      <c r="J468" t="s">
        <v>166</v>
      </c>
      <c r="K468">
        <v>9958</v>
      </c>
      <c r="M468">
        <v>2277689</v>
      </c>
      <c r="N468">
        <v>10</v>
      </c>
    </row>
    <row r="469" spans="2:14" hidden="1" x14ac:dyDescent="0.25">
      <c r="B469" t="s">
        <v>319</v>
      </c>
      <c r="C469" t="str">
        <f>_xlfn.XLOOKUP(B469,Tabla2[CODIGO],Tabla2[MATERIAL],"N/A",0)</f>
        <v>alambre Cu thhn 14 verde</v>
      </c>
      <c r="D469">
        <v>14</v>
      </c>
      <c r="E469" t="s">
        <v>43</v>
      </c>
      <c r="F469" t="s">
        <v>62</v>
      </c>
      <c r="G469" s="1">
        <v>46199</v>
      </c>
      <c r="I469" s="2"/>
      <c r="J469" t="s">
        <v>166</v>
      </c>
      <c r="K469">
        <v>9958</v>
      </c>
      <c r="M469">
        <v>2277689</v>
      </c>
      <c r="N469">
        <v>13</v>
      </c>
    </row>
    <row r="470" spans="2:14" hidden="1" x14ac:dyDescent="0.25">
      <c r="B470" t="s">
        <v>192</v>
      </c>
      <c r="C470" t="str">
        <f>_xlfn.XLOOKUP(B470,Tabla2[CODIGO],Tabla2[MATERIAL],"N/A",0)</f>
        <v>angular V</v>
      </c>
      <c r="D470">
        <v>2</v>
      </c>
      <c r="E470" t="s">
        <v>42</v>
      </c>
      <c r="F470" t="s">
        <v>62</v>
      </c>
      <c r="G470" s="1">
        <v>46199</v>
      </c>
      <c r="I470" s="2"/>
      <c r="J470" t="s">
        <v>166</v>
      </c>
      <c r="K470">
        <v>9958</v>
      </c>
      <c r="M470">
        <v>2277638</v>
      </c>
      <c r="N470">
        <v>2</v>
      </c>
    </row>
    <row r="471" spans="2:14" hidden="1" x14ac:dyDescent="0.25">
      <c r="B471" t="s">
        <v>192</v>
      </c>
      <c r="C471" t="str">
        <f>_xlfn.XLOOKUP(B471,Tabla2[CODIGO],Tabla2[MATERIAL],"N/A",0)</f>
        <v>angular V</v>
      </c>
      <c r="D471">
        <v>2</v>
      </c>
      <c r="E471" t="s">
        <v>42</v>
      </c>
      <c r="F471" t="s">
        <v>62</v>
      </c>
      <c r="G471" s="1">
        <v>46199</v>
      </c>
      <c r="I471" s="2"/>
      <c r="J471" t="s">
        <v>166</v>
      </c>
      <c r="K471">
        <v>9958</v>
      </c>
      <c r="M471">
        <v>2277689</v>
      </c>
      <c r="N471">
        <v>8</v>
      </c>
    </row>
    <row r="472" spans="2:14" hidden="1" x14ac:dyDescent="0.25">
      <c r="B472" t="s">
        <v>318</v>
      </c>
      <c r="C472" t="str">
        <f>_xlfn.XLOOKUP(B472,Tabla2[CODIGO],Tabla2[MATERIAL],"N/A",0)</f>
        <v>Cable AL aa-8000 4 awg</v>
      </c>
      <c r="D472">
        <v>38</v>
      </c>
      <c r="E472" t="s">
        <v>42</v>
      </c>
      <c r="F472" t="s">
        <v>62</v>
      </c>
      <c r="G472" s="1">
        <v>46199</v>
      </c>
      <c r="I472" s="2"/>
      <c r="J472" t="s">
        <v>166</v>
      </c>
      <c r="K472">
        <v>9958</v>
      </c>
      <c r="M472">
        <v>2277638</v>
      </c>
      <c r="N472">
        <v>8</v>
      </c>
    </row>
    <row r="473" spans="2:14" hidden="1" x14ac:dyDescent="0.25">
      <c r="B473" t="s">
        <v>318</v>
      </c>
      <c r="C473" t="str">
        <f>_xlfn.XLOOKUP(B473,Tabla2[CODIGO],Tabla2[MATERIAL],"N/A",0)</f>
        <v>Cable AL aa-8000 4 awg</v>
      </c>
      <c r="D473">
        <v>32</v>
      </c>
      <c r="E473" t="s">
        <v>42</v>
      </c>
      <c r="F473" t="s">
        <v>62</v>
      </c>
      <c r="G473" s="1">
        <v>46199</v>
      </c>
      <c r="I473" s="2"/>
      <c r="J473" t="s">
        <v>166</v>
      </c>
      <c r="K473">
        <v>9958</v>
      </c>
      <c r="M473">
        <v>2277638</v>
      </c>
      <c r="N473">
        <v>9</v>
      </c>
    </row>
    <row r="474" spans="2:14" hidden="1" x14ac:dyDescent="0.25">
      <c r="B474" t="s">
        <v>318</v>
      </c>
      <c r="C474" t="str">
        <f>_xlfn.XLOOKUP(B474,Tabla2[CODIGO],Tabla2[MATERIAL],"N/A",0)</f>
        <v>Cable AL aa-8000 4 awg</v>
      </c>
      <c r="D474">
        <v>54</v>
      </c>
      <c r="E474" t="s">
        <v>42</v>
      </c>
      <c r="F474" t="s">
        <v>62</v>
      </c>
      <c r="G474" s="1">
        <v>46199</v>
      </c>
      <c r="I474" s="2"/>
      <c r="J474" t="s">
        <v>166</v>
      </c>
      <c r="K474">
        <v>9958</v>
      </c>
      <c r="M474">
        <v>2277689</v>
      </c>
      <c r="N474">
        <v>14</v>
      </c>
    </row>
    <row r="475" spans="2:14" hidden="1" x14ac:dyDescent="0.25">
      <c r="B475" t="s">
        <v>21</v>
      </c>
      <c r="C475" t="str">
        <f>_xlfn.XLOOKUP(B475,Tabla2[CODIGO],Tabla2[MATERIAL],"N/A",0)</f>
        <v>Cable Encauchetado 3x14 pvc</v>
      </c>
      <c r="D475">
        <v>10</v>
      </c>
      <c r="E475" t="s">
        <v>43</v>
      </c>
      <c r="F475" t="s">
        <v>62</v>
      </c>
      <c r="G475" s="1">
        <v>46199</v>
      </c>
      <c r="I475" s="2"/>
      <c r="J475" t="s">
        <v>166</v>
      </c>
      <c r="K475">
        <v>9958</v>
      </c>
      <c r="M475">
        <v>2277689</v>
      </c>
      <c r="N475">
        <v>11</v>
      </c>
    </row>
    <row r="476" spans="2:14" hidden="1" x14ac:dyDescent="0.25">
      <c r="B476" t="s">
        <v>21</v>
      </c>
      <c r="C476" t="str">
        <f>_xlfn.XLOOKUP(B476,Tabla2[CODIGO],Tabla2[MATERIAL],"N/A",0)</f>
        <v>Cable Encauchetado 3x14 pvc</v>
      </c>
      <c r="D476">
        <v>10</v>
      </c>
      <c r="E476" t="s">
        <v>43</v>
      </c>
      <c r="F476" t="s">
        <v>62</v>
      </c>
      <c r="G476" s="1">
        <v>46199</v>
      </c>
      <c r="I476" s="2"/>
      <c r="J476" t="s">
        <v>166</v>
      </c>
      <c r="K476">
        <v>9958</v>
      </c>
      <c r="M476">
        <v>2277689</v>
      </c>
      <c r="N476">
        <v>13</v>
      </c>
    </row>
    <row r="477" spans="2:14" hidden="1" x14ac:dyDescent="0.25">
      <c r="B477" t="s">
        <v>21</v>
      </c>
      <c r="C477" t="str">
        <f>_xlfn.XLOOKUP(B477,Tabla2[CODIGO],Tabla2[MATERIAL],"N/A",0)</f>
        <v>Cable Encauchetado 3x14 pvc</v>
      </c>
      <c r="D477">
        <v>10</v>
      </c>
      <c r="E477" t="s">
        <v>42</v>
      </c>
      <c r="F477" t="s">
        <v>62</v>
      </c>
      <c r="G477" s="1">
        <v>46199</v>
      </c>
      <c r="I477" s="2"/>
      <c r="J477" t="s">
        <v>166</v>
      </c>
      <c r="K477">
        <v>9958</v>
      </c>
      <c r="M477">
        <v>2277689</v>
      </c>
      <c r="N477">
        <v>15</v>
      </c>
    </row>
    <row r="478" spans="2:14" hidden="1" x14ac:dyDescent="0.25">
      <c r="B478" t="s">
        <v>36</v>
      </c>
      <c r="C478" t="str">
        <f>_xlfn.XLOOKUP(B478,Tabla2[CODIGO],Tabla2[MATERIAL],"N/A",0)</f>
        <v>Cinta Bandit 1/2"</v>
      </c>
      <c r="D478">
        <v>3</v>
      </c>
      <c r="E478" t="s">
        <v>42</v>
      </c>
      <c r="F478" t="s">
        <v>62</v>
      </c>
      <c r="G478" s="1">
        <v>46199</v>
      </c>
      <c r="I478" s="2"/>
      <c r="J478" t="s">
        <v>166</v>
      </c>
      <c r="K478">
        <v>9958</v>
      </c>
      <c r="M478">
        <v>2277638</v>
      </c>
      <c r="N478">
        <v>7</v>
      </c>
    </row>
    <row r="479" spans="2:14" hidden="1" x14ac:dyDescent="0.25">
      <c r="B479" t="s">
        <v>36</v>
      </c>
      <c r="C479" t="str">
        <f>_xlfn.XLOOKUP(B479,Tabla2[CODIGO],Tabla2[MATERIAL],"N/A",0)</f>
        <v>Cinta Bandit 1/2"</v>
      </c>
      <c r="D479">
        <v>3</v>
      </c>
      <c r="E479" t="s">
        <v>42</v>
      </c>
      <c r="F479" t="s">
        <v>62</v>
      </c>
      <c r="G479" s="1">
        <v>46199</v>
      </c>
      <c r="I479" s="2"/>
      <c r="J479" t="s">
        <v>166</v>
      </c>
      <c r="K479">
        <v>9958</v>
      </c>
      <c r="M479">
        <v>2277638</v>
      </c>
      <c r="N479">
        <v>9</v>
      </c>
    </row>
    <row r="480" spans="2:14" hidden="1" x14ac:dyDescent="0.25">
      <c r="B480" t="s">
        <v>53</v>
      </c>
      <c r="C480" t="str">
        <f>_xlfn.XLOOKUP(B480,Tabla2[CODIGO],Tabla2[MATERIAL],"N/A",0)</f>
        <v>Conector de Perforacion ais kz-ep (EP95) pequeño</v>
      </c>
      <c r="D480">
        <v>8</v>
      </c>
      <c r="E480" t="s">
        <v>42</v>
      </c>
      <c r="F480" t="s">
        <v>62</v>
      </c>
      <c r="G480" s="1">
        <v>46199</v>
      </c>
      <c r="I480" s="2"/>
      <c r="J480" t="s">
        <v>166</v>
      </c>
      <c r="K480">
        <v>9958</v>
      </c>
      <c r="M480">
        <v>2277638</v>
      </c>
      <c r="N480">
        <v>7</v>
      </c>
    </row>
    <row r="481" spans="2:15" hidden="1" x14ac:dyDescent="0.25">
      <c r="B481" t="s">
        <v>53</v>
      </c>
      <c r="C481" t="str">
        <f>_xlfn.XLOOKUP(B481,Tabla2[CODIGO],Tabla2[MATERIAL],"N/A",0)</f>
        <v>Conector de Perforacion ais kz-ep (EP95) pequeño</v>
      </c>
      <c r="D481">
        <v>6</v>
      </c>
      <c r="E481" t="s">
        <v>42</v>
      </c>
      <c r="F481" t="s">
        <v>62</v>
      </c>
      <c r="G481" s="1">
        <v>46199</v>
      </c>
      <c r="I481" s="2"/>
      <c r="J481" t="s">
        <v>166</v>
      </c>
      <c r="K481">
        <v>9958</v>
      </c>
      <c r="M481">
        <v>2277689</v>
      </c>
      <c r="N481">
        <v>10</v>
      </c>
    </row>
    <row r="482" spans="2:15" hidden="1" x14ac:dyDescent="0.25">
      <c r="B482" t="s">
        <v>53</v>
      </c>
      <c r="C482" t="str">
        <f>_xlfn.XLOOKUP(B482,Tabla2[CODIGO],Tabla2[MATERIAL],"N/A",0)</f>
        <v>Conector de Perforacion ais kz-ep (EP95) pequeño</v>
      </c>
      <c r="D482">
        <v>2</v>
      </c>
      <c r="E482" t="s">
        <v>42</v>
      </c>
      <c r="F482" t="s">
        <v>62</v>
      </c>
      <c r="G482" s="1">
        <v>46199</v>
      </c>
      <c r="I482" s="2"/>
      <c r="J482" t="s">
        <v>166</v>
      </c>
      <c r="K482">
        <v>9958</v>
      </c>
      <c r="M482">
        <v>2277689</v>
      </c>
      <c r="N482">
        <v>11</v>
      </c>
    </row>
    <row r="483" spans="2:15" hidden="1" x14ac:dyDescent="0.25">
      <c r="B483" t="s">
        <v>53</v>
      </c>
      <c r="C483" t="str">
        <f>_xlfn.XLOOKUP(B483,Tabla2[CODIGO],Tabla2[MATERIAL],"N/A",0)</f>
        <v>Conector de Perforacion ais kz-ep (EP95) pequeño</v>
      </c>
      <c r="D483">
        <v>2</v>
      </c>
      <c r="E483" t="s">
        <v>42</v>
      </c>
      <c r="F483" t="s">
        <v>62</v>
      </c>
      <c r="G483" s="1">
        <v>46199</v>
      </c>
      <c r="I483" s="2"/>
      <c r="J483" t="s">
        <v>166</v>
      </c>
      <c r="K483">
        <v>9958</v>
      </c>
      <c r="M483">
        <v>2277689</v>
      </c>
      <c r="N483">
        <v>13</v>
      </c>
    </row>
    <row r="484" spans="2:15" hidden="1" x14ac:dyDescent="0.25">
      <c r="B484" t="s">
        <v>53</v>
      </c>
      <c r="C484" t="str">
        <f>_xlfn.XLOOKUP(B484,Tabla2[CODIGO],Tabla2[MATERIAL],"N/A",0)</f>
        <v>Conector de Perforacion ais kz-ep (EP95) pequeño</v>
      </c>
      <c r="D484">
        <v>3</v>
      </c>
      <c r="E484" t="s">
        <v>42</v>
      </c>
      <c r="F484" t="s">
        <v>62</v>
      </c>
      <c r="G484" s="1">
        <v>46199</v>
      </c>
      <c r="I484" s="2"/>
      <c r="J484" t="s">
        <v>166</v>
      </c>
      <c r="K484">
        <v>9958</v>
      </c>
      <c r="M484">
        <v>2277689</v>
      </c>
      <c r="N484">
        <v>15</v>
      </c>
    </row>
    <row r="485" spans="2:15" hidden="1" x14ac:dyDescent="0.25">
      <c r="B485" t="s">
        <v>223</v>
      </c>
      <c r="C485" t="str">
        <f>_xlfn.XLOOKUP(B485,Tabla2[CODIGO],Tabla2[MATERIAL],"N/A",0)</f>
        <v>Conector resorte 18-8</v>
      </c>
      <c r="D485">
        <v>2</v>
      </c>
      <c r="E485" t="s">
        <v>42</v>
      </c>
      <c r="F485" t="s">
        <v>62</v>
      </c>
      <c r="G485" s="1">
        <v>46199</v>
      </c>
      <c r="I485" s="2"/>
      <c r="J485" t="s">
        <v>166</v>
      </c>
      <c r="K485">
        <v>9958</v>
      </c>
      <c r="M485">
        <v>2277638</v>
      </c>
      <c r="N485">
        <v>7</v>
      </c>
    </row>
    <row r="486" spans="2:15" hidden="1" x14ac:dyDescent="0.25">
      <c r="B486" t="s">
        <v>223</v>
      </c>
      <c r="C486" t="str">
        <f>_xlfn.XLOOKUP(B486,Tabla2[CODIGO],Tabla2[MATERIAL],"N/A",0)</f>
        <v>Conector resorte 18-8</v>
      </c>
      <c r="D486">
        <v>3</v>
      </c>
      <c r="E486" t="s">
        <v>42</v>
      </c>
      <c r="F486" t="s">
        <v>62</v>
      </c>
      <c r="G486" s="1">
        <v>46199</v>
      </c>
      <c r="I486" s="2"/>
      <c r="J486" t="s">
        <v>166</v>
      </c>
      <c r="K486">
        <v>9958</v>
      </c>
      <c r="M486">
        <v>2277689</v>
      </c>
      <c r="N486">
        <v>9</v>
      </c>
    </row>
    <row r="487" spans="2:15" hidden="1" x14ac:dyDescent="0.25">
      <c r="B487" t="s">
        <v>54</v>
      </c>
      <c r="C487" t="str">
        <f>_xlfn.XLOOKUP(B487,Tabla2[CODIGO],Tabla2[MATERIAL],"N/A",0)</f>
        <v>Conector resorte 18-8</v>
      </c>
      <c r="D487">
        <v>3</v>
      </c>
      <c r="E487" t="s">
        <v>42</v>
      </c>
      <c r="F487" t="s">
        <v>62</v>
      </c>
      <c r="G487" s="1">
        <v>46199</v>
      </c>
      <c r="I487" s="2"/>
      <c r="J487" t="s">
        <v>166</v>
      </c>
      <c r="K487">
        <v>9958</v>
      </c>
      <c r="M487">
        <v>2277689</v>
      </c>
      <c r="N487">
        <v>10</v>
      </c>
    </row>
    <row r="488" spans="2:15" hidden="1" x14ac:dyDescent="0.25">
      <c r="B488" t="s">
        <v>54</v>
      </c>
      <c r="C488" t="str">
        <f>_xlfn.XLOOKUP(B488,Tabla2[CODIGO],Tabla2[MATERIAL],"N/A",0)</f>
        <v>Conector resorte 18-8</v>
      </c>
      <c r="D488">
        <v>3</v>
      </c>
      <c r="E488" t="s">
        <v>42</v>
      </c>
      <c r="F488" t="s">
        <v>62</v>
      </c>
      <c r="G488" s="1">
        <v>46199</v>
      </c>
      <c r="I488" s="2"/>
      <c r="J488" t="s">
        <v>166</v>
      </c>
      <c r="K488">
        <v>9958</v>
      </c>
      <c r="M488">
        <v>2277689</v>
      </c>
      <c r="N488">
        <v>11</v>
      </c>
    </row>
    <row r="489" spans="2:15" hidden="1" x14ac:dyDescent="0.25">
      <c r="B489" t="s">
        <v>248</v>
      </c>
      <c r="C489" t="str">
        <f>_xlfn.XLOOKUP(B489,Tabla2[CODIGO],Tabla2[MATERIAL],"N/A",0)</f>
        <v>Conector Varilla cooperw.</v>
      </c>
      <c r="D489">
        <v>1</v>
      </c>
      <c r="E489" t="s">
        <v>42</v>
      </c>
      <c r="F489" t="s">
        <v>62</v>
      </c>
      <c r="G489" s="1">
        <v>46199</v>
      </c>
      <c r="I489" s="2"/>
      <c r="J489" t="s">
        <v>166</v>
      </c>
      <c r="K489">
        <v>9958</v>
      </c>
      <c r="M489">
        <v>2277638</v>
      </c>
      <c r="N489">
        <v>1</v>
      </c>
    </row>
    <row r="490" spans="2:15" hidden="1" x14ac:dyDescent="0.25">
      <c r="B490" t="s">
        <v>248</v>
      </c>
      <c r="C490" t="str">
        <f>_xlfn.XLOOKUP(B490,Tabla2[CODIGO],Tabla2[MATERIAL],"N/A",0)</f>
        <v>Conector Varilla cooperw.</v>
      </c>
      <c r="D490">
        <v>1</v>
      </c>
      <c r="E490" t="s">
        <v>42</v>
      </c>
      <c r="F490" t="s">
        <v>62</v>
      </c>
      <c r="G490" s="1">
        <v>46199</v>
      </c>
      <c r="I490" s="2"/>
      <c r="J490" t="s">
        <v>166</v>
      </c>
      <c r="K490">
        <v>9958</v>
      </c>
      <c r="M490">
        <v>2277689</v>
      </c>
      <c r="N490">
        <v>7</v>
      </c>
    </row>
    <row r="491" spans="2:15" hidden="1" x14ac:dyDescent="0.25">
      <c r="B491" t="s">
        <v>250</v>
      </c>
      <c r="C491" t="str">
        <f>_xlfn.XLOOKUP(B491,Tabla2[CODIGO],Tabla2[MATERIAL],"N/A",0)</f>
        <v>Cruceta Metalica 3*3x 1/4</v>
      </c>
      <c r="D491">
        <v>2</v>
      </c>
      <c r="E491" t="s">
        <v>42</v>
      </c>
      <c r="F491" t="s">
        <v>62</v>
      </c>
      <c r="G491" s="1">
        <v>46199</v>
      </c>
      <c r="I491" s="2"/>
      <c r="J491" t="s">
        <v>166</v>
      </c>
      <c r="K491">
        <v>9958</v>
      </c>
      <c r="M491">
        <v>2277638</v>
      </c>
      <c r="N491">
        <v>2</v>
      </c>
    </row>
    <row r="492" spans="2:15" hidden="1" x14ac:dyDescent="0.25">
      <c r="B492" t="s">
        <v>250</v>
      </c>
      <c r="C492" t="str">
        <f>_xlfn.XLOOKUP(B492,Tabla2[CODIGO],Tabla2[MATERIAL],"N/A",0)</f>
        <v>Cruceta Metalica 3*3x 1/4</v>
      </c>
      <c r="D492">
        <v>2</v>
      </c>
      <c r="E492" t="s">
        <v>42</v>
      </c>
      <c r="F492" t="s">
        <v>62</v>
      </c>
      <c r="G492" s="1">
        <v>46199</v>
      </c>
      <c r="I492" s="2"/>
      <c r="J492" t="s">
        <v>166</v>
      </c>
      <c r="K492">
        <v>9958</v>
      </c>
      <c r="M492">
        <v>2277689</v>
      </c>
      <c r="N492">
        <v>10</v>
      </c>
    </row>
    <row r="493" spans="2:15" hidden="1" x14ac:dyDescent="0.25">
      <c r="B493" t="s">
        <v>224</v>
      </c>
      <c r="C493" t="str">
        <f>_xlfn.XLOOKUP(B493,Tabla2[CODIGO],Tabla2[MATERIAL],"N/A",0)</f>
        <v>Empalme gel ppal 8-4/0 a der 14-2/0 awg (grande)</v>
      </c>
      <c r="D493">
        <v>4</v>
      </c>
      <c r="E493" t="s">
        <v>42</v>
      </c>
      <c r="F493" t="s">
        <v>62</v>
      </c>
      <c r="G493" s="1">
        <v>46199</v>
      </c>
      <c r="I493" s="2"/>
      <c r="J493" t="s">
        <v>166</v>
      </c>
      <c r="K493">
        <v>9958</v>
      </c>
      <c r="M493">
        <v>2277638</v>
      </c>
      <c r="N493">
        <v>1</v>
      </c>
    </row>
    <row r="494" spans="2:15" hidden="1" x14ac:dyDescent="0.25">
      <c r="B494" t="s">
        <v>224</v>
      </c>
      <c r="C494" t="str">
        <f>_xlfn.XLOOKUP(B494,Tabla2[CODIGO],Tabla2[MATERIAL],"N/A",0)</f>
        <v>Empalme gel ppal 8-4/0 a der 14-2/0 awg (grande)</v>
      </c>
      <c r="D494">
        <v>2</v>
      </c>
      <c r="E494" t="s">
        <v>42</v>
      </c>
      <c r="F494" t="s">
        <v>62</v>
      </c>
      <c r="G494" s="1">
        <v>46199</v>
      </c>
      <c r="I494" s="2"/>
      <c r="J494" t="s">
        <v>166</v>
      </c>
      <c r="K494">
        <v>9958</v>
      </c>
      <c r="M494">
        <v>2277689</v>
      </c>
      <c r="N494">
        <v>7</v>
      </c>
    </row>
    <row r="495" spans="2:15" x14ac:dyDescent="0.25">
      <c r="B495" t="s">
        <v>252</v>
      </c>
      <c r="C495" t="str">
        <f>_xlfn.XLOOKUP(B495,Tabla2[CODIGO],Tabla2[MATERIAL],"N/A",0)</f>
        <v>Luminaria Ret. 150w</v>
      </c>
      <c r="D495">
        <v>1</v>
      </c>
      <c r="E495" t="s">
        <v>42</v>
      </c>
      <c r="F495" t="s">
        <v>61</v>
      </c>
      <c r="G495" s="1">
        <v>46199</v>
      </c>
      <c r="I495" s="2"/>
      <c r="J495" t="s">
        <v>166</v>
      </c>
      <c r="K495">
        <v>9958</v>
      </c>
      <c r="M495">
        <v>2277638</v>
      </c>
      <c r="N495">
        <v>1</v>
      </c>
      <c r="O495" t="s">
        <v>10</v>
      </c>
    </row>
    <row r="496" spans="2:15" x14ac:dyDescent="0.25">
      <c r="B496" t="s">
        <v>252</v>
      </c>
      <c r="C496" t="str">
        <f>_xlfn.XLOOKUP(B496,Tabla2[CODIGO],Tabla2[MATERIAL],"N/A",0)</f>
        <v>Luminaria Ret. 150w</v>
      </c>
      <c r="D496">
        <v>1</v>
      </c>
      <c r="E496" t="s">
        <v>42</v>
      </c>
      <c r="F496" t="s">
        <v>61</v>
      </c>
      <c r="G496" s="1">
        <v>46199</v>
      </c>
      <c r="I496" s="2"/>
      <c r="J496" t="s">
        <v>166</v>
      </c>
      <c r="K496">
        <v>9958</v>
      </c>
      <c r="M496">
        <v>2277689</v>
      </c>
      <c r="N496">
        <v>7</v>
      </c>
      <c r="O496" t="s">
        <v>10</v>
      </c>
    </row>
    <row r="497" spans="2:15" x14ac:dyDescent="0.25">
      <c r="B497" t="s">
        <v>254</v>
      </c>
      <c r="C497" t="str">
        <f>_xlfn.XLOOKUP(B497,Tabla2[CODIGO],Tabla2[MATERIAL],"N/A",0)</f>
        <v>Proyector ret. 400w</v>
      </c>
      <c r="D497">
        <v>1</v>
      </c>
      <c r="E497" t="s">
        <v>42</v>
      </c>
      <c r="F497" t="s">
        <v>61</v>
      </c>
      <c r="G497" s="1">
        <v>46199</v>
      </c>
      <c r="I497" s="2"/>
      <c r="J497" t="s">
        <v>166</v>
      </c>
      <c r="K497">
        <v>9958</v>
      </c>
      <c r="M497">
        <v>2277638</v>
      </c>
      <c r="N497">
        <v>2</v>
      </c>
      <c r="O497" t="s">
        <v>10</v>
      </c>
    </row>
    <row r="498" spans="2:15" x14ac:dyDescent="0.25">
      <c r="B498" t="s">
        <v>254</v>
      </c>
      <c r="C498" t="str">
        <f>_xlfn.XLOOKUP(B498,Tabla2[CODIGO],Tabla2[MATERIAL],"N/A",0)</f>
        <v>Proyector ret. 400w</v>
      </c>
      <c r="D498">
        <v>1</v>
      </c>
      <c r="E498" t="s">
        <v>42</v>
      </c>
      <c r="F498" t="s">
        <v>61</v>
      </c>
      <c r="G498" s="1">
        <v>46199</v>
      </c>
      <c r="I498" s="2"/>
      <c r="J498" t="s">
        <v>166</v>
      </c>
      <c r="K498">
        <v>9958</v>
      </c>
      <c r="M498">
        <v>2277638</v>
      </c>
      <c r="N498">
        <v>3</v>
      </c>
      <c r="O498" t="s">
        <v>10</v>
      </c>
    </row>
    <row r="499" spans="2:15" x14ac:dyDescent="0.25">
      <c r="B499" t="s">
        <v>254</v>
      </c>
      <c r="C499" t="str">
        <f>_xlfn.XLOOKUP(B499,Tabla2[CODIGO],Tabla2[MATERIAL],"N/A",0)</f>
        <v>Proyector ret. 400w</v>
      </c>
      <c r="D499">
        <v>1</v>
      </c>
      <c r="E499" t="s">
        <v>42</v>
      </c>
      <c r="F499" t="s">
        <v>61</v>
      </c>
      <c r="G499" s="1">
        <v>46199</v>
      </c>
      <c r="I499" s="2"/>
      <c r="J499" t="s">
        <v>166</v>
      </c>
      <c r="K499">
        <v>9958</v>
      </c>
      <c r="M499">
        <v>2277638</v>
      </c>
      <c r="N499">
        <v>4</v>
      </c>
      <c r="O499" t="s">
        <v>10</v>
      </c>
    </row>
    <row r="500" spans="2:15" x14ac:dyDescent="0.25">
      <c r="B500" t="s">
        <v>254</v>
      </c>
      <c r="C500" t="str">
        <f>_xlfn.XLOOKUP(B500,Tabla2[CODIGO],Tabla2[MATERIAL],"N/A",0)</f>
        <v>Proyector ret. 400w</v>
      </c>
      <c r="D500">
        <v>1</v>
      </c>
      <c r="E500" t="s">
        <v>42</v>
      </c>
      <c r="F500" t="s">
        <v>61</v>
      </c>
      <c r="G500" s="1">
        <v>46199</v>
      </c>
      <c r="I500" s="2"/>
      <c r="J500" t="s">
        <v>166</v>
      </c>
      <c r="K500">
        <v>9958</v>
      </c>
      <c r="M500">
        <v>2277638</v>
      </c>
      <c r="N500">
        <v>5</v>
      </c>
      <c r="O500" t="s">
        <v>10</v>
      </c>
    </row>
    <row r="501" spans="2:15" x14ac:dyDescent="0.25">
      <c r="B501" t="s">
        <v>254</v>
      </c>
      <c r="C501" t="str">
        <f>_xlfn.XLOOKUP(B501,Tabla2[CODIGO],Tabla2[MATERIAL],"N/A",0)</f>
        <v>Proyector ret. 400w</v>
      </c>
      <c r="D501">
        <v>1</v>
      </c>
      <c r="E501" t="s">
        <v>42</v>
      </c>
      <c r="F501" t="s">
        <v>61</v>
      </c>
      <c r="G501" s="1">
        <v>46199</v>
      </c>
      <c r="I501" s="2"/>
      <c r="J501" t="s">
        <v>166</v>
      </c>
      <c r="K501">
        <v>9958</v>
      </c>
      <c r="M501">
        <v>2277638</v>
      </c>
      <c r="N501">
        <v>6</v>
      </c>
      <c r="O501" t="s">
        <v>10</v>
      </c>
    </row>
    <row r="502" spans="2:15" x14ac:dyDescent="0.25">
      <c r="B502" t="s">
        <v>254</v>
      </c>
      <c r="C502" t="str">
        <f>_xlfn.XLOOKUP(B502,Tabla2[CODIGO],Tabla2[MATERIAL],"N/A",0)</f>
        <v>Proyector ret. 400w</v>
      </c>
      <c r="D502">
        <v>1</v>
      </c>
      <c r="E502" t="s">
        <v>42</v>
      </c>
      <c r="F502" t="s">
        <v>61</v>
      </c>
      <c r="G502" s="1">
        <v>46199</v>
      </c>
      <c r="I502" s="2"/>
      <c r="J502" t="s">
        <v>166</v>
      </c>
      <c r="K502">
        <v>9958</v>
      </c>
      <c r="M502">
        <v>2277689</v>
      </c>
      <c r="N502">
        <v>8</v>
      </c>
      <c r="O502" t="s">
        <v>10</v>
      </c>
    </row>
    <row r="503" spans="2:15" x14ac:dyDescent="0.25">
      <c r="B503" t="s">
        <v>254</v>
      </c>
      <c r="C503" t="str">
        <f>_xlfn.XLOOKUP(B503,Tabla2[CODIGO],Tabla2[MATERIAL],"N/A",0)</f>
        <v>Proyector ret. 400w</v>
      </c>
      <c r="D503">
        <v>1</v>
      </c>
      <c r="E503" t="s">
        <v>42</v>
      </c>
      <c r="F503" t="s">
        <v>61</v>
      </c>
      <c r="G503" s="1">
        <v>46199</v>
      </c>
      <c r="I503" s="2"/>
      <c r="J503" t="s">
        <v>166</v>
      </c>
      <c r="K503">
        <v>9958</v>
      </c>
      <c r="M503">
        <v>2277689</v>
      </c>
      <c r="N503">
        <v>9</v>
      </c>
      <c r="O503" t="s">
        <v>10</v>
      </c>
    </row>
    <row r="504" spans="2:15" x14ac:dyDescent="0.25">
      <c r="B504" t="s">
        <v>254</v>
      </c>
      <c r="C504" t="str">
        <f>_xlfn.XLOOKUP(B504,Tabla2[CODIGO],Tabla2[MATERIAL],"N/A",0)</f>
        <v>Proyector ret. 400w</v>
      </c>
      <c r="D504">
        <v>1</v>
      </c>
      <c r="E504" t="s">
        <v>42</v>
      </c>
      <c r="F504" t="s">
        <v>61</v>
      </c>
      <c r="G504" s="1">
        <v>46199</v>
      </c>
      <c r="I504" s="2"/>
      <c r="J504" t="s">
        <v>166</v>
      </c>
      <c r="K504">
        <v>9958</v>
      </c>
      <c r="M504">
        <v>2277689</v>
      </c>
      <c r="N504">
        <v>10</v>
      </c>
      <c r="O504" t="s">
        <v>10</v>
      </c>
    </row>
    <row r="505" spans="2:15" x14ac:dyDescent="0.25">
      <c r="B505" t="s">
        <v>254</v>
      </c>
      <c r="C505" t="str">
        <f>_xlfn.XLOOKUP(B505,Tabla2[CODIGO],Tabla2[MATERIAL],"N/A",0)</f>
        <v>Proyector ret. 400w</v>
      </c>
      <c r="D505">
        <v>1</v>
      </c>
      <c r="E505" t="s">
        <v>42</v>
      </c>
      <c r="F505" t="s">
        <v>61</v>
      </c>
      <c r="G505" s="1">
        <v>46199</v>
      </c>
      <c r="I505" s="2"/>
      <c r="J505" t="s">
        <v>166</v>
      </c>
      <c r="K505">
        <v>9958</v>
      </c>
      <c r="M505">
        <v>2277689</v>
      </c>
      <c r="N505">
        <v>11</v>
      </c>
      <c r="O505" t="s">
        <v>10</v>
      </c>
    </row>
    <row r="506" spans="2:15" x14ac:dyDescent="0.25">
      <c r="B506" t="s">
        <v>254</v>
      </c>
      <c r="C506" t="str">
        <f>_xlfn.XLOOKUP(B506,Tabla2[CODIGO],Tabla2[MATERIAL],"N/A",0)</f>
        <v>Proyector ret. 400w</v>
      </c>
      <c r="D506">
        <v>1</v>
      </c>
      <c r="E506" t="s">
        <v>42</v>
      </c>
      <c r="F506" t="s">
        <v>61</v>
      </c>
      <c r="G506" s="1">
        <v>46199</v>
      </c>
      <c r="I506" s="2"/>
      <c r="J506" t="s">
        <v>166</v>
      </c>
      <c r="K506">
        <v>9958</v>
      </c>
      <c r="M506">
        <v>2277689</v>
      </c>
      <c r="N506">
        <v>12</v>
      </c>
      <c r="O506" t="s">
        <v>10</v>
      </c>
    </row>
    <row r="507" spans="2:15" x14ac:dyDescent="0.25">
      <c r="B507" t="s">
        <v>60</v>
      </c>
      <c r="C507" t="str">
        <f>_xlfn.XLOOKUP(B507,Tabla2[CODIGO],Tabla2[MATERIAL],"N/A",0)</f>
        <v>Fotocelda</v>
      </c>
      <c r="D507">
        <v>1</v>
      </c>
      <c r="E507" t="s">
        <v>42</v>
      </c>
      <c r="F507" t="s">
        <v>61</v>
      </c>
      <c r="G507" s="1">
        <v>46199</v>
      </c>
      <c r="I507" s="2"/>
      <c r="J507" t="s">
        <v>166</v>
      </c>
      <c r="K507">
        <v>9958</v>
      </c>
      <c r="M507">
        <v>2277638</v>
      </c>
      <c r="N507">
        <v>1</v>
      </c>
      <c r="O507" t="s">
        <v>10</v>
      </c>
    </row>
    <row r="508" spans="2:15" x14ac:dyDescent="0.25">
      <c r="B508" t="s">
        <v>60</v>
      </c>
      <c r="C508" t="str">
        <f>_xlfn.XLOOKUP(B508,Tabla2[CODIGO],Tabla2[MATERIAL],"N/A",0)</f>
        <v>Fotocelda</v>
      </c>
      <c r="D508">
        <v>1</v>
      </c>
      <c r="E508" t="s">
        <v>42</v>
      </c>
      <c r="F508" t="s">
        <v>61</v>
      </c>
      <c r="G508" s="1">
        <v>46199</v>
      </c>
      <c r="I508" s="2"/>
      <c r="J508" t="s">
        <v>166</v>
      </c>
      <c r="K508">
        <v>9958</v>
      </c>
      <c r="M508">
        <v>2277689</v>
      </c>
      <c r="N508">
        <v>7</v>
      </c>
      <c r="O508" t="s">
        <v>10</v>
      </c>
    </row>
    <row r="509" spans="2:15" x14ac:dyDescent="0.25">
      <c r="B509" t="s">
        <v>60</v>
      </c>
      <c r="C509" t="str">
        <f>_xlfn.XLOOKUP(B509,Tabla2[CODIGO],Tabla2[MATERIAL],"N/A",0)</f>
        <v>Fotocelda</v>
      </c>
      <c r="D509">
        <v>1</v>
      </c>
      <c r="E509" t="s">
        <v>42</v>
      </c>
      <c r="F509" t="s">
        <v>61</v>
      </c>
      <c r="G509" s="1">
        <v>46199</v>
      </c>
      <c r="I509" s="2"/>
      <c r="J509" t="s">
        <v>166</v>
      </c>
      <c r="K509">
        <v>9958</v>
      </c>
      <c r="M509">
        <v>2277638</v>
      </c>
      <c r="N509">
        <v>2</v>
      </c>
      <c r="O509" t="s">
        <v>10</v>
      </c>
    </row>
    <row r="510" spans="2:15" x14ac:dyDescent="0.25">
      <c r="B510" t="s">
        <v>60</v>
      </c>
      <c r="C510" t="str">
        <f>_xlfn.XLOOKUP(B510,Tabla2[CODIGO],Tabla2[MATERIAL],"N/A",0)</f>
        <v>Fotocelda</v>
      </c>
      <c r="D510">
        <v>1</v>
      </c>
      <c r="E510" t="s">
        <v>42</v>
      </c>
      <c r="F510" t="s">
        <v>61</v>
      </c>
      <c r="G510" s="1">
        <v>46199</v>
      </c>
      <c r="I510" s="2"/>
      <c r="J510" t="s">
        <v>166</v>
      </c>
      <c r="K510">
        <v>9958</v>
      </c>
      <c r="M510">
        <v>2277638</v>
      </c>
      <c r="N510">
        <v>3</v>
      </c>
      <c r="O510" t="s">
        <v>10</v>
      </c>
    </row>
    <row r="511" spans="2:15" x14ac:dyDescent="0.25">
      <c r="B511" t="s">
        <v>60</v>
      </c>
      <c r="C511" t="str">
        <f>_xlfn.XLOOKUP(B511,Tabla2[CODIGO],Tabla2[MATERIAL],"N/A",0)</f>
        <v>Fotocelda</v>
      </c>
      <c r="D511">
        <v>1</v>
      </c>
      <c r="E511" t="s">
        <v>42</v>
      </c>
      <c r="F511" t="s">
        <v>61</v>
      </c>
      <c r="G511" s="1">
        <v>46199</v>
      </c>
      <c r="I511" s="2"/>
      <c r="J511" t="s">
        <v>166</v>
      </c>
      <c r="K511">
        <v>9958</v>
      </c>
      <c r="M511">
        <v>2277638</v>
      </c>
      <c r="N511">
        <v>4</v>
      </c>
      <c r="O511" t="s">
        <v>10</v>
      </c>
    </row>
    <row r="512" spans="2:15" x14ac:dyDescent="0.25">
      <c r="B512" t="s">
        <v>60</v>
      </c>
      <c r="C512" t="str">
        <f>_xlfn.XLOOKUP(B512,Tabla2[CODIGO],Tabla2[MATERIAL],"N/A",0)</f>
        <v>Fotocelda</v>
      </c>
      <c r="D512">
        <v>1</v>
      </c>
      <c r="E512" t="s">
        <v>42</v>
      </c>
      <c r="F512" t="s">
        <v>61</v>
      </c>
      <c r="G512" s="1">
        <v>46199</v>
      </c>
      <c r="I512" s="2"/>
      <c r="J512" t="s">
        <v>166</v>
      </c>
      <c r="K512">
        <v>9958</v>
      </c>
      <c r="M512">
        <v>2277638</v>
      </c>
      <c r="N512">
        <v>5</v>
      </c>
      <c r="O512" t="s">
        <v>10</v>
      </c>
    </row>
    <row r="513" spans="2:15" x14ac:dyDescent="0.25">
      <c r="B513" t="s">
        <v>60</v>
      </c>
      <c r="C513" t="str">
        <f>_xlfn.XLOOKUP(B513,Tabla2[CODIGO],Tabla2[MATERIAL],"N/A",0)</f>
        <v>Fotocelda</v>
      </c>
      <c r="D513">
        <v>1</v>
      </c>
      <c r="E513" t="s">
        <v>42</v>
      </c>
      <c r="F513" t="s">
        <v>61</v>
      </c>
      <c r="G513" s="1">
        <v>46199</v>
      </c>
      <c r="I513" s="2"/>
      <c r="J513" t="s">
        <v>166</v>
      </c>
      <c r="K513">
        <v>9958</v>
      </c>
      <c r="M513">
        <v>2277638</v>
      </c>
      <c r="N513">
        <v>6</v>
      </c>
      <c r="O513" t="s">
        <v>10</v>
      </c>
    </row>
    <row r="514" spans="2:15" x14ac:dyDescent="0.25">
      <c r="B514" t="s">
        <v>60</v>
      </c>
      <c r="C514" t="str">
        <f>_xlfn.XLOOKUP(B514,Tabla2[CODIGO],Tabla2[MATERIAL],"N/A",0)</f>
        <v>Fotocelda</v>
      </c>
      <c r="D514">
        <v>1</v>
      </c>
      <c r="E514" t="s">
        <v>42</v>
      </c>
      <c r="F514" t="s">
        <v>61</v>
      </c>
      <c r="G514" s="1">
        <v>46199</v>
      </c>
      <c r="I514" s="2"/>
      <c r="J514" t="s">
        <v>166</v>
      </c>
      <c r="K514">
        <v>9958</v>
      </c>
      <c r="M514">
        <v>2277689</v>
      </c>
      <c r="N514">
        <v>8</v>
      </c>
      <c r="O514" t="s">
        <v>10</v>
      </c>
    </row>
    <row r="515" spans="2:15" x14ac:dyDescent="0.25">
      <c r="B515" t="s">
        <v>60</v>
      </c>
      <c r="C515" t="str">
        <f>_xlfn.XLOOKUP(B515,Tabla2[CODIGO],Tabla2[MATERIAL],"N/A",0)</f>
        <v>Fotocelda</v>
      </c>
      <c r="D515">
        <v>1</v>
      </c>
      <c r="E515" t="s">
        <v>42</v>
      </c>
      <c r="F515" t="s">
        <v>61</v>
      </c>
      <c r="G515" s="1">
        <v>46199</v>
      </c>
      <c r="I515" s="2"/>
      <c r="J515" t="s">
        <v>166</v>
      </c>
      <c r="K515">
        <v>9958</v>
      </c>
      <c r="M515">
        <v>2277689</v>
      </c>
      <c r="N515">
        <v>9</v>
      </c>
      <c r="O515" t="s">
        <v>10</v>
      </c>
    </row>
    <row r="516" spans="2:15" x14ac:dyDescent="0.25">
      <c r="B516" t="s">
        <v>60</v>
      </c>
      <c r="C516" t="str">
        <f>_xlfn.XLOOKUP(B516,Tabla2[CODIGO],Tabla2[MATERIAL],"N/A",0)</f>
        <v>Fotocelda</v>
      </c>
      <c r="D516">
        <v>1</v>
      </c>
      <c r="E516" t="s">
        <v>42</v>
      </c>
      <c r="F516" t="s">
        <v>61</v>
      </c>
      <c r="G516" s="1">
        <v>46199</v>
      </c>
      <c r="I516" s="2"/>
      <c r="J516" t="s">
        <v>166</v>
      </c>
      <c r="K516">
        <v>9958</v>
      </c>
      <c r="M516">
        <v>2277689</v>
      </c>
      <c r="N516">
        <v>10</v>
      </c>
      <c r="O516" t="s">
        <v>10</v>
      </c>
    </row>
    <row r="517" spans="2:15" x14ac:dyDescent="0.25">
      <c r="B517" t="s">
        <v>60</v>
      </c>
      <c r="C517" t="str">
        <f>_xlfn.XLOOKUP(B517,Tabla2[CODIGO],Tabla2[MATERIAL],"N/A",0)</f>
        <v>Fotocelda</v>
      </c>
      <c r="D517">
        <v>1</v>
      </c>
      <c r="E517" t="s">
        <v>42</v>
      </c>
      <c r="F517" t="s">
        <v>61</v>
      </c>
      <c r="G517" s="1">
        <v>46199</v>
      </c>
      <c r="I517" s="2"/>
      <c r="J517" t="s">
        <v>166</v>
      </c>
      <c r="K517">
        <v>9958</v>
      </c>
      <c r="M517">
        <v>2277689</v>
      </c>
      <c r="N517">
        <v>11</v>
      </c>
      <c r="O517" t="s">
        <v>10</v>
      </c>
    </row>
    <row r="518" spans="2:15" x14ac:dyDescent="0.25">
      <c r="B518" t="s">
        <v>60</v>
      </c>
      <c r="C518" t="str">
        <f>_xlfn.XLOOKUP(B518,Tabla2[CODIGO],Tabla2[MATERIAL],"N/A",0)</f>
        <v>Fotocelda</v>
      </c>
      <c r="D518">
        <v>1</v>
      </c>
      <c r="E518" t="s">
        <v>42</v>
      </c>
      <c r="F518" t="s">
        <v>61</v>
      </c>
      <c r="G518" s="1">
        <v>46199</v>
      </c>
      <c r="I518" s="2"/>
      <c r="J518" t="s">
        <v>166</v>
      </c>
      <c r="K518">
        <v>9958</v>
      </c>
      <c r="M518">
        <v>2277689</v>
      </c>
      <c r="N518">
        <v>12</v>
      </c>
      <c r="O518" t="s">
        <v>10</v>
      </c>
    </row>
    <row r="519" spans="2:15" x14ac:dyDescent="0.25">
      <c r="B519" t="s">
        <v>212</v>
      </c>
      <c r="C519" t="str">
        <f>_xlfn.XLOOKUP(B519,Tabla2[CODIGO],Tabla2[MATERIAL],"N/A",0)</f>
        <v>Grillete galvanizado 1,1/2</v>
      </c>
      <c r="D519">
        <v>2</v>
      </c>
      <c r="E519" t="s">
        <v>42</v>
      </c>
      <c r="F519" t="s">
        <v>61</v>
      </c>
      <c r="G519" s="1">
        <v>46199</v>
      </c>
      <c r="I519" s="2"/>
      <c r="J519" t="s">
        <v>166</v>
      </c>
      <c r="K519">
        <v>9958</v>
      </c>
      <c r="M519">
        <v>2277638</v>
      </c>
      <c r="N519">
        <v>1</v>
      </c>
      <c r="O519" t="s">
        <v>10</v>
      </c>
    </row>
    <row r="520" spans="2:15" x14ac:dyDescent="0.25">
      <c r="B520" t="s">
        <v>212</v>
      </c>
      <c r="C520" t="str">
        <f>_xlfn.XLOOKUP(B520,Tabla2[CODIGO],Tabla2[MATERIAL],"N/A",0)</f>
        <v>Grillete galvanizado 1,1/2</v>
      </c>
      <c r="D520">
        <v>2</v>
      </c>
      <c r="E520" t="s">
        <v>42</v>
      </c>
      <c r="F520" t="s">
        <v>61</v>
      </c>
      <c r="G520" s="1">
        <v>46199</v>
      </c>
      <c r="I520" s="2"/>
      <c r="J520" t="s">
        <v>166</v>
      </c>
      <c r="K520">
        <v>9958</v>
      </c>
      <c r="M520">
        <v>2277689</v>
      </c>
      <c r="N520">
        <v>7</v>
      </c>
      <c r="O520" t="s">
        <v>10</v>
      </c>
    </row>
    <row r="521" spans="2:15" x14ac:dyDescent="0.25">
      <c r="B521" t="s">
        <v>216</v>
      </c>
      <c r="C521" t="str">
        <f>_xlfn.XLOOKUP(B521,Tabla2[CODIGO],Tabla2[MATERIAL],"N/A",0)</f>
        <v>Brazo Galvanizado 2" x 2m</v>
      </c>
      <c r="D521">
        <v>1</v>
      </c>
      <c r="E521" t="s">
        <v>42</v>
      </c>
      <c r="F521" t="s">
        <v>61</v>
      </c>
      <c r="G521" s="1">
        <v>46199</v>
      </c>
      <c r="I521" s="2"/>
      <c r="J521" t="s">
        <v>166</v>
      </c>
      <c r="K521">
        <v>9958</v>
      </c>
      <c r="M521">
        <v>2277638</v>
      </c>
      <c r="N521">
        <v>1</v>
      </c>
      <c r="O521" t="s">
        <v>10</v>
      </c>
    </row>
    <row r="522" spans="2:15" x14ac:dyDescent="0.25">
      <c r="B522" t="s">
        <v>216</v>
      </c>
      <c r="C522" t="str">
        <f>_xlfn.XLOOKUP(B522,Tabla2[CODIGO],Tabla2[MATERIAL],"N/A",0)</f>
        <v>Brazo Galvanizado 2" x 2m</v>
      </c>
      <c r="D522">
        <v>1</v>
      </c>
      <c r="E522" t="s">
        <v>42</v>
      </c>
      <c r="F522" t="s">
        <v>61</v>
      </c>
      <c r="G522" s="1">
        <v>46199</v>
      </c>
      <c r="I522" s="2"/>
      <c r="J522" t="s">
        <v>166</v>
      </c>
      <c r="K522">
        <v>9958</v>
      </c>
      <c r="M522">
        <v>2277689</v>
      </c>
      <c r="N522">
        <v>7</v>
      </c>
      <c r="O522" t="s">
        <v>10</v>
      </c>
    </row>
    <row r="523" spans="2:15" hidden="1" x14ac:dyDescent="0.25">
      <c r="B523" t="s">
        <v>212</v>
      </c>
      <c r="C523" t="str">
        <f>_xlfn.XLOOKUP(B523,Tabla2[CODIGO],Tabla2[MATERIAL],"N/A",0)</f>
        <v>Grillete galvanizado 1,1/2</v>
      </c>
      <c r="D523">
        <v>24</v>
      </c>
      <c r="E523" t="s">
        <v>42</v>
      </c>
      <c r="F523" t="s">
        <v>16</v>
      </c>
      <c r="G523" s="1">
        <v>46211</v>
      </c>
      <c r="I523" s="2"/>
      <c r="J523" s="3" t="s">
        <v>166</v>
      </c>
      <c r="K523">
        <v>9962</v>
      </c>
      <c r="L523" t="s">
        <v>255</v>
      </c>
    </row>
    <row r="524" spans="2:15" hidden="1" x14ac:dyDescent="0.25">
      <c r="B524" t="s">
        <v>256</v>
      </c>
      <c r="C524" t="str">
        <f>_xlfn.XLOOKUP(B524,Tabla2[CODIGO],Tabla2[MATERIAL],"N/A",0)</f>
        <v>Poste fibra 10m x 510kg</v>
      </c>
      <c r="D524">
        <v>12</v>
      </c>
      <c r="E524" t="s">
        <v>42</v>
      </c>
      <c r="F524" t="s">
        <v>16</v>
      </c>
      <c r="G524" s="1">
        <v>46209</v>
      </c>
      <c r="I524" s="2"/>
      <c r="J524" s="3" t="s">
        <v>166</v>
      </c>
      <c r="K524">
        <v>9962</v>
      </c>
      <c r="L524" t="s">
        <v>255</v>
      </c>
    </row>
    <row r="525" spans="2:15" hidden="1" x14ac:dyDescent="0.25">
      <c r="B525" t="s">
        <v>261</v>
      </c>
      <c r="C525" t="str">
        <f>_xlfn.XLOOKUP(B525,Tabla2[CODIGO],Tabla2[MATERIAL],"N/A",0)</f>
        <v>Abrazadera sin salida 6"</v>
      </c>
      <c r="D525">
        <v>13</v>
      </c>
      <c r="E525" t="s">
        <v>42</v>
      </c>
      <c r="F525" t="s">
        <v>16</v>
      </c>
      <c r="G525" s="1">
        <v>46197</v>
      </c>
      <c r="I525" s="2"/>
      <c r="J525" s="3" t="s">
        <v>166</v>
      </c>
      <c r="K525">
        <v>9962</v>
      </c>
      <c r="L525" t="s">
        <v>255</v>
      </c>
    </row>
    <row r="526" spans="2:15" hidden="1" x14ac:dyDescent="0.25">
      <c r="B526" t="s">
        <v>226</v>
      </c>
      <c r="C526" t="str">
        <f>_xlfn.XLOOKUP(B526,Tabla2[CODIGO],Tabla2[MATERIAL],"N/A",0)</f>
        <v>Abrazadera una salida 6"</v>
      </c>
      <c r="D526">
        <v>13</v>
      </c>
      <c r="E526" t="s">
        <v>42</v>
      </c>
      <c r="F526" t="s">
        <v>16</v>
      </c>
      <c r="G526" s="1">
        <v>46197</v>
      </c>
      <c r="I526" s="2"/>
      <c r="J526" s="3" t="s">
        <v>166</v>
      </c>
      <c r="K526">
        <v>9962</v>
      </c>
      <c r="L526" t="s">
        <v>255</v>
      </c>
    </row>
    <row r="527" spans="2:15" hidden="1" x14ac:dyDescent="0.25">
      <c r="B527" t="s">
        <v>56</v>
      </c>
      <c r="C527" t="str">
        <f>_xlfn.XLOOKUP(B527,Tabla2[CODIGO],Tabla2[MATERIAL],"N/A",0)</f>
        <v>Aislador Carrreto</v>
      </c>
      <c r="D527">
        <v>14</v>
      </c>
      <c r="E527" t="s">
        <v>42</v>
      </c>
      <c r="F527" t="s">
        <v>16</v>
      </c>
      <c r="G527" s="1">
        <v>46197</v>
      </c>
      <c r="I527" s="2"/>
      <c r="J527" s="3" t="s">
        <v>166</v>
      </c>
      <c r="K527">
        <v>9962</v>
      </c>
      <c r="L527" t="s">
        <v>255</v>
      </c>
    </row>
    <row r="528" spans="2:15" hidden="1" x14ac:dyDescent="0.25">
      <c r="B528" t="s">
        <v>194</v>
      </c>
      <c r="C528" t="str">
        <f>_xlfn.XLOOKUP(B528,Tabla2[CODIGO],Tabla2[MATERIAL],"N/A",0)</f>
        <v>Cable TPX 2x4 1x4 awg</v>
      </c>
      <c r="D528">
        <v>276</v>
      </c>
      <c r="E528" t="s">
        <v>43</v>
      </c>
      <c r="F528" t="s">
        <v>16</v>
      </c>
      <c r="G528" s="1">
        <v>46197</v>
      </c>
      <c r="I528" s="2"/>
      <c r="J528" s="3" t="s">
        <v>166</v>
      </c>
      <c r="K528">
        <v>9962</v>
      </c>
      <c r="L528" t="s">
        <v>255</v>
      </c>
    </row>
    <row r="529" spans="2:12" hidden="1" x14ac:dyDescent="0.25">
      <c r="B529" t="s">
        <v>21</v>
      </c>
      <c r="C529" t="str">
        <f>_xlfn.XLOOKUP(B529,Tabla2[CODIGO],Tabla2[MATERIAL],"N/A",0)</f>
        <v>Cable Encauchetado 3x14 pvc</v>
      </c>
      <c r="D529">
        <v>48</v>
      </c>
      <c r="E529" t="s">
        <v>43</v>
      </c>
      <c r="F529" t="s">
        <v>16</v>
      </c>
      <c r="G529" s="1">
        <v>46197</v>
      </c>
      <c r="I529" s="2"/>
      <c r="J529" s="3" t="s">
        <v>166</v>
      </c>
      <c r="K529">
        <v>9962</v>
      </c>
      <c r="L529" t="s">
        <v>255</v>
      </c>
    </row>
    <row r="530" spans="2:12" hidden="1" x14ac:dyDescent="0.25">
      <c r="B530" t="s">
        <v>265</v>
      </c>
      <c r="C530" t="str">
        <f>_xlfn.XLOOKUP(B530,Tabla2[CODIGO],Tabla2[MATERIAL],"N/A",0)</f>
        <v>Cinta Aislante</v>
      </c>
      <c r="D530">
        <v>1</v>
      </c>
      <c r="E530" t="s">
        <v>42</v>
      </c>
      <c r="F530" t="s">
        <v>16</v>
      </c>
      <c r="G530" s="1">
        <v>46197</v>
      </c>
      <c r="I530" s="2"/>
      <c r="J530" s="3" t="s">
        <v>166</v>
      </c>
      <c r="K530">
        <v>9962</v>
      </c>
      <c r="L530" t="s">
        <v>255</v>
      </c>
    </row>
    <row r="531" spans="2:12" hidden="1" x14ac:dyDescent="0.25">
      <c r="B531" t="s">
        <v>53</v>
      </c>
      <c r="C531" t="str">
        <f>_xlfn.XLOOKUP(B531,Tabla2[CODIGO],Tabla2[MATERIAL],"N/A",0)</f>
        <v>Conector de Perforacion ais kz-ep (EP95) pequeño</v>
      </c>
      <c r="D531">
        <v>39</v>
      </c>
      <c r="E531" t="s">
        <v>42</v>
      </c>
      <c r="F531" t="s">
        <v>16</v>
      </c>
      <c r="G531" s="1">
        <v>46197</v>
      </c>
      <c r="I531" s="2"/>
      <c r="J531" s="3" t="s">
        <v>166</v>
      </c>
      <c r="K531">
        <v>9962</v>
      </c>
      <c r="L531" t="s">
        <v>255</v>
      </c>
    </row>
    <row r="532" spans="2:12" hidden="1" x14ac:dyDescent="0.25">
      <c r="B532" t="s">
        <v>212</v>
      </c>
      <c r="C532" t="str">
        <f>_xlfn.XLOOKUP(B532,Tabla2[CODIGO],Tabla2[MATERIAL],"N/A",0)</f>
        <v>Grillete galvanizado 1,1/2</v>
      </c>
      <c r="D532">
        <v>26</v>
      </c>
      <c r="E532" t="s">
        <v>42</v>
      </c>
      <c r="F532" t="s">
        <v>16</v>
      </c>
      <c r="G532" s="1">
        <v>46197</v>
      </c>
      <c r="I532" s="2"/>
      <c r="J532" s="3" t="s">
        <v>166</v>
      </c>
      <c r="K532">
        <v>9962</v>
      </c>
      <c r="L532" t="s">
        <v>255</v>
      </c>
    </row>
    <row r="533" spans="2:12" hidden="1" x14ac:dyDescent="0.25">
      <c r="B533" t="s">
        <v>30</v>
      </c>
      <c r="C533" t="str">
        <f>_xlfn.XLOOKUP(B533,Tabla2[CODIGO],Tabla2[MATERIAL],"N/A",0)</f>
        <v>Kit puesta tierra acero inoxidable</v>
      </c>
      <c r="D533">
        <v>4</v>
      </c>
      <c r="E533" t="s">
        <v>42</v>
      </c>
      <c r="F533" t="s">
        <v>16</v>
      </c>
      <c r="G533" s="1">
        <v>46197</v>
      </c>
      <c r="I533" s="2"/>
      <c r="J533" s="3" t="s">
        <v>166</v>
      </c>
      <c r="K533">
        <v>9962</v>
      </c>
      <c r="L533" t="s">
        <v>255</v>
      </c>
    </row>
    <row r="534" spans="2:12" hidden="1" x14ac:dyDescent="0.25">
      <c r="B534" t="s">
        <v>50</v>
      </c>
      <c r="C534" t="str">
        <f>_xlfn.XLOOKUP(B534,Tabla2[CODIGO],Tabla2[MATERIAL],"N/A",0)</f>
        <v>Percha galv 1 puesto</v>
      </c>
      <c r="D534">
        <v>14</v>
      </c>
      <c r="E534" t="s">
        <v>42</v>
      </c>
      <c r="F534" t="s">
        <v>16</v>
      </c>
      <c r="G534" s="1">
        <v>46197</v>
      </c>
      <c r="I534" s="2"/>
      <c r="J534" s="3" t="s">
        <v>166</v>
      </c>
      <c r="K534">
        <v>9962</v>
      </c>
      <c r="L534" t="s">
        <v>255</v>
      </c>
    </row>
    <row r="535" spans="2:12" hidden="1" x14ac:dyDescent="0.25">
      <c r="B535" t="s">
        <v>204</v>
      </c>
      <c r="C535" t="str">
        <f>_xlfn.XLOOKUP(B535,Tabla2[CODIGO],Tabla2[MATERIAL],"N/A",0)</f>
        <v>Perno carruaje 5-8*1 1/2</v>
      </c>
      <c r="D535">
        <v>14</v>
      </c>
      <c r="E535" t="s">
        <v>42</v>
      </c>
      <c r="F535" t="s">
        <v>16</v>
      </c>
      <c r="G535" s="1">
        <v>46197</v>
      </c>
      <c r="I535" s="2"/>
      <c r="J535" s="3" t="s">
        <v>166</v>
      </c>
      <c r="K535">
        <v>9962</v>
      </c>
      <c r="L535" t="s">
        <v>255</v>
      </c>
    </row>
    <row r="536" spans="2:12" hidden="1" x14ac:dyDescent="0.25">
      <c r="B536" t="s">
        <v>213</v>
      </c>
      <c r="C536" t="str">
        <f>_xlfn.XLOOKUP(B536,Tabla2[CODIGO],Tabla2[MATERIAL],"N/A",0)</f>
        <v>Tuerca Hexagona 5/8</v>
      </c>
      <c r="D536">
        <v>14</v>
      </c>
      <c r="E536" t="s">
        <v>42</v>
      </c>
      <c r="F536" t="s">
        <v>16</v>
      </c>
      <c r="G536" s="1">
        <v>46197</v>
      </c>
      <c r="I536" s="2"/>
      <c r="J536" s="3" t="s">
        <v>166</v>
      </c>
      <c r="K536">
        <v>9962</v>
      </c>
      <c r="L536" t="s">
        <v>255</v>
      </c>
    </row>
    <row r="537" spans="2:12" hidden="1" x14ac:dyDescent="0.25">
      <c r="B537" t="s">
        <v>226</v>
      </c>
      <c r="C537" t="str">
        <f>_xlfn.XLOOKUP(B537,Tabla2[CODIGO],Tabla2[MATERIAL],"N/A",0)</f>
        <v>Abrazadera una salida 6"</v>
      </c>
      <c r="D537">
        <v>12</v>
      </c>
      <c r="E537" t="s">
        <v>42</v>
      </c>
      <c r="F537" t="s">
        <v>16</v>
      </c>
      <c r="G537" s="1">
        <v>46197</v>
      </c>
      <c r="I537" s="2"/>
      <c r="J537" t="s">
        <v>166</v>
      </c>
      <c r="K537">
        <v>9963</v>
      </c>
      <c r="L537" t="s">
        <v>269</v>
      </c>
    </row>
    <row r="538" spans="2:12" hidden="1" x14ac:dyDescent="0.25">
      <c r="B538" t="s">
        <v>56</v>
      </c>
      <c r="C538" t="str">
        <f>_xlfn.XLOOKUP(B538,Tabla2[CODIGO],Tabla2[MATERIAL],"N/A",0)</f>
        <v>Aislador Carrreto</v>
      </c>
      <c r="D538">
        <v>5</v>
      </c>
      <c r="E538" t="s">
        <v>42</v>
      </c>
      <c r="F538" t="s">
        <v>16</v>
      </c>
      <c r="G538" s="1">
        <v>46197</v>
      </c>
      <c r="I538" s="2"/>
      <c r="J538" t="s">
        <v>166</v>
      </c>
      <c r="K538">
        <v>9963</v>
      </c>
      <c r="L538" t="s">
        <v>269</v>
      </c>
    </row>
    <row r="539" spans="2:12" hidden="1" x14ac:dyDescent="0.25">
      <c r="B539" t="s">
        <v>194</v>
      </c>
      <c r="C539" t="str">
        <f>_xlfn.XLOOKUP(B539,Tabla2[CODIGO],Tabla2[MATERIAL],"N/A",0)</f>
        <v>Cable TPX 2x4 1x4 awg</v>
      </c>
      <c r="D539">
        <v>100</v>
      </c>
      <c r="E539" t="s">
        <v>43</v>
      </c>
      <c r="F539" t="s">
        <v>16</v>
      </c>
      <c r="G539" s="1">
        <v>46197</v>
      </c>
      <c r="I539" s="2"/>
      <c r="J539" t="s">
        <v>166</v>
      </c>
      <c r="K539">
        <v>9963</v>
      </c>
      <c r="L539" t="s">
        <v>269</v>
      </c>
    </row>
    <row r="540" spans="2:12" hidden="1" x14ac:dyDescent="0.25">
      <c r="B540" t="s">
        <v>53</v>
      </c>
      <c r="C540" t="str">
        <f>_xlfn.XLOOKUP(B540,Tabla2[CODIGO],Tabla2[MATERIAL],"N/A",0)</f>
        <v>Conector de Perforacion ais kz-ep (EP95) pequeño</v>
      </c>
      <c r="D540">
        <v>12</v>
      </c>
      <c r="E540" t="s">
        <v>42</v>
      </c>
      <c r="F540" t="s">
        <v>16</v>
      </c>
      <c r="G540" s="1">
        <v>46197</v>
      </c>
      <c r="I540" s="2"/>
      <c r="J540" t="s">
        <v>166</v>
      </c>
      <c r="K540">
        <v>9963</v>
      </c>
      <c r="L540" t="s">
        <v>269</v>
      </c>
    </row>
    <row r="541" spans="2:12" hidden="1" x14ac:dyDescent="0.25">
      <c r="B541" t="s">
        <v>54</v>
      </c>
      <c r="C541" t="str">
        <f>_xlfn.XLOOKUP(B541,Tabla2[CODIGO],Tabla2[MATERIAL],"N/A",0)</f>
        <v>Conector resorte 18-8</v>
      </c>
      <c r="D541">
        <v>12</v>
      </c>
      <c r="E541" t="s">
        <v>42</v>
      </c>
      <c r="F541" t="s">
        <v>16</v>
      </c>
      <c r="G541" s="1">
        <v>46197</v>
      </c>
      <c r="I541" s="2"/>
      <c r="J541" t="s">
        <v>166</v>
      </c>
      <c r="K541">
        <v>9963</v>
      </c>
      <c r="L541" t="s">
        <v>269</v>
      </c>
    </row>
    <row r="542" spans="2:12" hidden="1" x14ac:dyDescent="0.25">
      <c r="B542" t="s">
        <v>212</v>
      </c>
      <c r="C542" t="str">
        <f>_xlfn.XLOOKUP(B542,Tabla2[CODIGO],Tabla2[MATERIAL],"N/A",0)</f>
        <v>Grillete galvanizado 1,1/2</v>
      </c>
      <c r="D542">
        <v>8</v>
      </c>
      <c r="E542" t="s">
        <v>42</v>
      </c>
      <c r="F542" t="s">
        <v>16</v>
      </c>
      <c r="G542" s="1">
        <v>46197</v>
      </c>
      <c r="I542" s="2"/>
      <c r="J542" t="s">
        <v>166</v>
      </c>
      <c r="K542">
        <v>9963</v>
      </c>
      <c r="L542" t="s">
        <v>269</v>
      </c>
    </row>
    <row r="543" spans="2:12" hidden="1" x14ac:dyDescent="0.25">
      <c r="B543" t="s">
        <v>30</v>
      </c>
      <c r="C543" t="str">
        <f>_xlfn.XLOOKUP(B543,Tabla2[CODIGO],Tabla2[MATERIAL],"N/A",0)</f>
        <v>Kit puesta tierra acero inoxidable</v>
      </c>
      <c r="D543">
        <v>4</v>
      </c>
      <c r="E543" t="s">
        <v>42</v>
      </c>
      <c r="F543" t="s">
        <v>16</v>
      </c>
      <c r="G543" s="1">
        <v>46197</v>
      </c>
      <c r="I543" s="2"/>
      <c r="J543" t="s">
        <v>166</v>
      </c>
      <c r="K543">
        <v>9963</v>
      </c>
      <c r="L543" t="s">
        <v>269</v>
      </c>
    </row>
    <row r="544" spans="2:12" hidden="1" x14ac:dyDescent="0.25">
      <c r="B544" t="s">
        <v>50</v>
      </c>
      <c r="C544" t="str">
        <f>_xlfn.XLOOKUP(B544,Tabla2[CODIGO],Tabla2[MATERIAL],"N/A",0)</f>
        <v>Percha galv 1 puesto</v>
      </c>
      <c r="D544">
        <v>5</v>
      </c>
      <c r="E544" t="s">
        <v>42</v>
      </c>
      <c r="F544" t="s">
        <v>16</v>
      </c>
      <c r="G544" s="1">
        <v>46197</v>
      </c>
      <c r="I544" s="2"/>
      <c r="J544" t="s">
        <v>166</v>
      </c>
      <c r="K544">
        <v>9963</v>
      </c>
      <c r="L544" t="s">
        <v>269</v>
      </c>
    </row>
    <row r="545" spans="2:12" hidden="1" x14ac:dyDescent="0.25">
      <c r="B545" t="s">
        <v>204</v>
      </c>
      <c r="C545" t="str">
        <f>_xlfn.XLOOKUP(B545,Tabla2[CODIGO],Tabla2[MATERIAL],"N/A",0)</f>
        <v>Perno carruaje 5-8*1 1/2</v>
      </c>
      <c r="D545">
        <v>5</v>
      </c>
      <c r="E545" t="s">
        <v>42</v>
      </c>
      <c r="F545" t="s">
        <v>16</v>
      </c>
      <c r="G545" s="1">
        <v>46197</v>
      </c>
      <c r="I545" s="2"/>
      <c r="J545" t="s">
        <v>166</v>
      </c>
      <c r="K545">
        <v>9963</v>
      </c>
      <c r="L545" t="s">
        <v>269</v>
      </c>
    </row>
    <row r="546" spans="2:12" hidden="1" x14ac:dyDescent="0.25">
      <c r="B546" t="s">
        <v>268</v>
      </c>
      <c r="C546" t="str">
        <f>_xlfn.XLOOKUP(B546,Tabla2[CODIGO],Tabla2[MATERIAL],"N/A",0)</f>
        <v>Tornillo Maquina 1/2*1 1/2</v>
      </c>
      <c r="D546">
        <v>4</v>
      </c>
      <c r="E546" t="s">
        <v>42</v>
      </c>
      <c r="F546" t="s">
        <v>16</v>
      </c>
      <c r="G546" s="1">
        <v>46197</v>
      </c>
      <c r="I546" s="2"/>
      <c r="J546" t="s">
        <v>166</v>
      </c>
      <c r="K546">
        <v>9963</v>
      </c>
      <c r="L546" t="s">
        <v>269</v>
      </c>
    </row>
    <row r="547" spans="2:12" hidden="1" x14ac:dyDescent="0.25">
      <c r="B547" t="s">
        <v>213</v>
      </c>
      <c r="C547" t="str">
        <f>_xlfn.XLOOKUP(B547,Tabla2[CODIGO],Tabla2[MATERIAL],"N/A",0)</f>
        <v>Tuerca Hexagona 5/8</v>
      </c>
      <c r="D547">
        <v>5</v>
      </c>
      <c r="E547" t="s">
        <v>42</v>
      </c>
      <c r="F547" t="s">
        <v>16</v>
      </c>
      <c r="G547" s="1">
        <v>46197</v>
      </c>
      <c r="I547" s="2"/>
      <c r="J547" t="s">
        <v>166</v>
      </c>
      <c r="K547">
        <v>9963</v>
      </c>
      <c r="L547" t="s">
        <v>269</v>
      </c>
    </row>
    <row r="548" spans="2:12" hidden="1" x14ac:dyDescent="0.25">
      <c r="B548" t="s">
        <v>217</v>
      </c>
      <c r="C548" t="str">
        <f>_xlfn.XLOOKUP(B548,Tabla2[CODIGO],Tabla2[MATERIAL],"N/A",0)</f>
        <v>Brazo Galvanizado 1 1/2" x 2m</v>
      </c>
      <c r="D548">
        <v>16</v>
      </c>
      <c r="E548" t="s">
        <v>42</v>
      </c>
      <c r="F548" t="s">
        <v>16</v>
      </c>
      <c r="G548" s="1">
        <v>46198</v>
      </c>
      <c r="I548" s="2"/>
      <c r="J548" t="s">
        <v>166</v>
      </c>
      <c r="K548">
        <v>9960</v>
      </c>
      <c r="L548" t="s">
        <v>100</v>
      </c>
    </row>
    <row r="549" spans="2:12" hidden="1" x14ac:dyDescent="0.25">
      <c r="B549" t="s">
        <v>217</v>
      </c>
      <c r="C549" t="str">
        <f>_xlfn.XLOOKUP(B549,Tabla2[CODIGO],Tabla2[MATERIAL],"N/A",0)</f>
        <v>Brazo Galvanizado 1 1/2" x 2m</v>
      </c>
      <c r="D549">
        <v>3</v>
      </c>
      <c r="E549" t="s">
        <v>42</v>
      </c>
      <c r="F549" t="s">
        <v>62</v>
      </c>
      <c r="G549" s="1">
        <v>46199</v>
      </c>
      <c r="I549" s="2"/>
      <c r="J549" t="s">
        <v>166</v>
      </c>
      <c r="K549">
        <v>9958</v>
      </c>
      <c r="L549" t="s">
        <v>258</v>
      </c>
    </row>
    <row r="550" spans="2:12" hidden="1" x14ac:dyDescent="0.25">
      <c r="B550" t="s">
        <v>261</v>
      </c>
      <c r="C550" t="str">
        <f>_xlfn.XLOOKUP(B550,Tabla2[CODIGO],Tabla2[MATERIAL],"N/A",0)</f>
        <v>Abrazadera sin salida 6"</v>
      </c>
      <c r="D550">
        <v>16</v>
      </c>
      <c r="E550" t="s">
        <v>42</v>
      </c>
      <c r="F550" t="s">
        <v>16</v>
      </c>
      <c r="G550" s="1">
        <v>46197</v>
      </c>
      <c r="I550" s="2"/>
      <c r="J550" t="s">
        <v>166</v>
      </c>
      <c r="K550">
        <v>9958</v>
      </c>
      <c r="L550" t="s">
        <v>258</v>
      </c>
    </row>
    <row r="551" spans="2:12" hidden="1" x14ac:dyDescent="0.25">
      <c r="B551" t="s">
        <v>260</v>
      </c>
      <c r="C551" t="str">
        <f>_xlfn.XLOOKUP(B551,Tabla2[CODIGO],Tabla2[MATERIAL],"N/A",0)</f>
        <v>Abrazadera sin salida 7"</v>
      </c>
      <c r="D551">
        <v>12</v>
      </c>
      <c r="E551" t="s">
        <v>42</v>
      </c>
      <c r="F551" t="s">
        <v>16</v>
      </c>
      <c r="G551" s="1">
        <v>46197</v>
      </c>
      <c r="I551" s="2"/>
      <c r="J551" t="s">
        <v>166</v>
      </c>
      <c r="K551">
        <v>9958</v>
      </c>
      <c r="L551" t="s">
        <v>258</v>
      </c>
    </row>
    <row r="552" spans="2:12" hidden="1" x14ac:dyDescent="0.25">
      <c r="B552" t="s">
        <v>271</v>
      </c>
      <c r="C552" t="str">
        <f>_xlfn.XLOOKUP(B552,Tabla2[CODIGO],Tabla2[MATERIAL],"N/A",0)</f>
        <v>Abrazadera tipo corona 7"</v>
      </c>
      <c r="D552">
        <v>6</v>
      </c>
      <c r="E552" t="s">
        <v>42</v>
      </c>
      <c r="F552" t="s">
        <v>16</v>
      </c>
      <c r="G552" s="1">
        <v>46197</v>
      </c>
      <c r="I552" s="2"/>
      <c r="J552" t="s">
        <v>166</v>
      </c>
      <c r="K552">
        <v>9958</v>
      </c>
      <c r="L552" t="s">
        <v>258</v>
      </c>
    </row>
    <row r="553" spans="2:12" hidden="1" x14ac:dyDescent="0.25">
      <c r="B553" t="s">
        <v>226</v>
      </c>
      <c r="C553" t="str">
        <f>_xlfn.XLOOKUP(B553,Tabla2[CODIGO],Tabla2[MATERIAL],"N/A",0)</f>
        <v>Abrazadera una salida 6"</v>
      </c>
      <c r="D553">
        <v>16</v>
      </c>
      <c r="E553" t="s">
        <v>42</v>
      </c>
      <c r="F553" t="s">
        <v>16</v>
      </c>
      <c r="G553" s="1">
        <v>46197</v>
      </c>
      <c r="I553" s="2"/>
      <c r="J553" t="s">
        <v>166</v>
      </c>
      <c r="K553">
        <v>9958</v>
      </c>
      <c r="L553" t="s">
        <v>258</v>
      </c>
    </row>
    <row r="554" spans="2:12" hidden="1" x14ac:dyDescent="0.25">
      <c r="B554" t="s">
        <v>194</v>
      </c>
      <c r="C554" t="str">
        <f>_xlfn.XLOOKUP(B554,Tabla2[CODIGO],Tabla2[MATERIAL],"N/A",0)</f>
        <v>Cable TPX 2x4 1x4 awg</v>
      </c>
      <c r="D554">
        <v>75</v>
      </c>
      <c r="E554" t="s">
        <v>43</v>
      </c>
      <c r="F554" t="s">
        <v>16</v>
      </c>
      <c r="G554" s="1">
        <v>46197</v>
      </c>
      <c r="I554" s="2"/>
      <c r="J554" t="s">
        <v>166</v>
      </c>
      <c r="K554">
        <v>9958</v>
      </c>
      <c r="L554" t="s">
        <v>258</v>
      </c>
    </row>
    <row r="555" spans="2:12" hidden="1" x14ac:dyDescent="0.25">
      <c r="B555" t="s">
        <v>21</v>
      </c>
      <c r="C555" t="str">
        <f>_xlfn.XLOOKUP(B555,Tabla2[CODIGO],Tabla2[MATERIAL],"N/A",0)</f>
        <v>Cable Encauchetado 3x14 pvc</v>
      </c>
      <c r="D555">
        <v>200</v>
      </c>
      <c r="E555" t="s">
        <v>43</v>
      </c>
      <c r="F555" t="s">
        <v>16</v>
      </c>
      <c r="G555" s="1">
        <v>46197</v>
      </c>
      <c r="I555" s="2"/>
      <c r="J555" t="s">
        <v>166</v>
      </c>
      <c r="K555">
        <v>9958</v>
      </c>
      <c r="L555" t="s">
        <v>258</v>
      </c>
    </row>
    <row r="556" spans="2:12" hidden="1" x14ac:dyDescent="0.25">
      <c r="B556" t="s">
        <v>264</v>
      </c>
      <c r="C556" t="str">
        <f>_xlfn.XLOOKUP(B556,Tabla2[CODIGO],Tabla2[MATERIAL],"N/A",0)</f>
        <v>Cinta Autofundente</v>
      </c>
      <c r="D556">
        <v>3</v>
      </c>
      <c r="E556" t="s">
        <v>42</v>
      </c>
      <c r="F556" t="s">
        <v>16</v>
      </c>
      <c r="G556" s="1">
        <v>46197</v>
      </c>
      <c r="I556" s="2"/>
      <c r="J556" t="s">
        <v>166</v>
      </c>
      <c r="K556">
        <v>9958</v>
      </c>
      <c r="L556" t="s">
        <v>258</v>
      </c>
    </row>
    <row r="557" spans="2:12" hidden="1" x14ac:dyDescent="0.25">
      <c r="B557" t="s">
        <v>53</v>
      </c>
      <c r="C557" t="str">
        <f>_xlfn.XLOOKUP(B557,Tabla2[CODIGO],Tabla2[MATERIAL],"N/A",0)</f>
        <v>Conector de Perforacion ais kz-ep (EP95) pequeño</v>
      </c>
      <c r="D557">
        <v>18</v>
      </c>
      <c r="E557" t="s">
        <v>42</v>
      </c>
      <c r="F557" t="s">
        <v>16</v>
      </c>
      <c r="G557" s="1">
        <v>46197</v>
      </c>
      <c r="I557" s="2"/>
      <c r="J557" t="s">
        <v>166</v>
      </c>
      <c r="K557">
        <v>9958</v>
      </c>
      <c r="L557" t="s">
        <v>258</v>
      </c>
    </row>
    <row r="558" spans="2:12" hidden="1" x14ac:dyDescent="0.25">
      <c r="B558" t="s">
        <v>54</v>
      </c>
      <c r="C558" t="str">
        <f>_xlfn.XLOOKUP(B558,Tabla2[CODIGO],Tabla2[MATERIAL],"N/A",0)</f>
        <v>Conector resorte 18-8</v>
      </c>
      <c r="D558">
        <v>72</v>
      </c>
      <c r="E558" t="s">
        <v>42</v>
      </c>
      <c r="F558" t="s">
        <v>16</v>
      </c>
      <c r="G558" s="1">
        <v>46197</v>
      </c>
      <c r="I558" s="2"/>
      <c r="J558" t="s">
        <v>166</v>
      </c>
      <c r="K558">
        <v>9958</v>
      </c>
      <c r="L558" t="s">
        <v>258</v>
      </c>
    </row>
    <row r="559" spans="2:12" hidden="1" x14ac:dyDescent="0.25">
      <c r="B559" t="s">
        <v>212</v>
      </c>
      <c r="C559" t="str">
        <f>_xlfn.XLOOKUP(B559,Tabla2[CODIGO],Tabla2[MATERIAL],"N/A",0)</f>
        <v>Grillete galvanizado 1,1/2</v>
      </c>
      <c r="D559">
        <v>44</v>
      </c>
      <c r="E559" t="s">
        <v>42</v>
      </c>
      <c r="F559" t="s">
        <v>16</v>
      </c>
      <c r="G559" s="1">
        <v>46197</v>
      </c>
      <c r="I559" s="2"/>
      <c r="J559" t="s">
        <v>166</v>
      </c>
      <c r="K559">
        <v>9958</v>
      </c>
      <c r="L559" t="s">
        <v>258</v>
      </c>
    </row>
    <row r="560" spans="2:12" hidden="1" x14ac:dyDescent="0.25">
      <c r="B560" t="s">
        <v>30</v>
      </c>
      <c r="C560" t="str">
        <f>_xlfn.XLOOKUP(B560,Tabla2[CODIGO],Tabla2[MATERIAL],"N/A",0)</f>
        <v>Kit puesta tierra acero inoxidable</v>
      </c>
      <c r="D560">
        <v>2</v>
      </c>
      <c r="E560" t="s">
        <v>42</v>
      </c>
      <c r="F560" t="s">
        <v>16</v>
      </c>
      <c r="G560" s="1">
        <v>46197</v>
      </c>
      <c r="I560" s="2"/>
      <c r="J560" t="s">
        <v>166</v>
      </c>
      <c r="K560">
        <v>9958</v>
      </c>
      <c r="L560" t="s">
        <v>258</v>
      </c>
    </row>
    <row r="561" spans="2:14" hidden="1" x14ac:dyDescent="0.25">
      <c r="B561" t="s">
        <v>50</v>
      </c>
      <c r="C561" t="str">
        <f>_xlfn.XLOOKUP(B561,Tabla2[CODIGO],Tabla2[MATERIAL],"N/A",0)</f>
        <v>Percha galv 1 puesto</v>
      </c>
      <c r="D561">
        <v>5</v>
      </c>
      <c r="E561" t="s">
        <v>42</v>
      </c>
      <c r="F561" t="s">
        <v>16</v>
      </c>
      <c r="G561" s="1">
        <v>46197</v>
      </c>
      <c r="I561" s="2"/>
      <c r="J561" t="s">
        <v>166</v>
      </c>
      <c r="K561">
        <v>9958</v>
      </c>
      <c r="L561" t="s">
        <v>258</v>
      </c>
    </row>
    <row r="562" spans="2:14" hidden="1" x14ac:dyDescent="0.25">
      <c r="B562" t="s">
        <v>204</v>
      </c>
      <c r="C562" t="str">
        <f>_xlfn.XLOOKUP(B562,Tabla2[CODIGO],Tabla2[MATERIAL],"N/A",0)</f>
        <v>Perno carruaje 5-8*1 1/2</v>
      </c>
      <c r="D562">
        <v>5</v>
      </c>
      <c r="E562" t="s">
        <v>42</v>
      </c>
      <c r="F562" t="s">
        <v>16</v>
      </c>
      <c r="G562" s="1">
        <v>46197</v>
      </c>
      <c r="I562" s="2"/>
      <c r="J562" t="s">
        <v>166</v>
      </c>
      <c r="K562">
        <v>9958</v>
      </c>
      <c r="L562" t="s">
        <v>258</v>
      </c>
    </row>
    <row r="563" spans="2:14" hidden="1" x14ac:dyDescent="0.25">
      <c r="B563" t="s">
        <v>78</v>
      </c>
      <c r="C563" t="str">
        <f>_xlfn.XLOOKUP(B563,Tabla2[CODIGO],Tabla2[MATERIAL],"N/A",0)</f>
        <v>Tapa Concreto</v>
      </c>
      <c r="D563">
        <v>12</v>
      </c>
      <c r="E563" t="s">
        <v>42</v>
      </c>
      <c r="F563" t="s">
        <v>16</v>
      </c>
      <c r="G563" s="1">
        <v>46197</v>
      </c>
      <c r="I563" s="2"/>
      <c r="J563" t="s">
        <v>166</v>
      </c>
      <c r="K563">
        <v>9958</v>
      </c>
      <c r="L563" t="s">
        <v>258</v>
      </c>
    </row>
    <row r="564" spans="2:14" hidden="1" x14ac:dyDescent="0.25">
      <c r="B564" t="s">
        <v>268</v>
      </c>
      <c r="C564" t="str">
        <f>_xlfn.XLOOKUP(B564,Tabla2[CODIGO],Tabla2[MATERIAL],"N/A",0)</f>
        <v>Tornillo Maquina 1/2*1 1/2</v>
      </c>
      <c r="D564">
        <v>90</v>
      </c>
      <c r="E564" t="s">
        <v>42</v>
      </c>
      <c r="F564" t="s">
        <v>16</v>
      </c>
      <c r="G564" s="1">
        <v>46197</v>
      </c>
      <c r="I564" s="2"/>
      <c r="J564" t="s">
        <v>166</v>
      </c>
      <c r="K564">
        <v>9958</v>
      </c>
      <c r="L564" t="s">
        <v>258</v>
      </c>
    </row>
    <row r="565" spans="2:14" hidden="1" x14ac:dyDescent="0.25">
      <c r="B565" t="s">
        <v>213</v>
      </c>
      <c r="C565" t="str">
        <f>_xlfn.XLOOKUP(B565,Tabla2[CODIGO],Tabla2[MATERIAL],"N/A",0)</f>
        <v>Tuerca Hexagona 5/8</v>
      </c>
      <c r="D565">
        <v>95</v>
      </c>
      <c r="E565" t="s">
        <v>42</v>
      </c>
      <c r="F565" t="s">
        <v>16</v>
      </c>
      <c r="G565" s="1">
        <v>46197</v>
      </c>
      <c r="I565" s="2"/>
      <c r="J565" t="s">
        <v>166</v>
      </c>
      <c r="K565">
        <v>9958</v>
      </c>
      <c r="L565" t="s">
        <v>258</v>
      </c>
    </row>
    <row r="566" spans="2:14" hidden="1" x14ac:dyDescent="0.25">
      <c r="B566" t="s">
        <v>198</v>
      </c>
      <c r="C566" t="str">
        <f>_xlfn.XLOOKUP(B566,Tabla2[CODIGO],Tabla2[MATERIAL],"N/A",0)</f>
        <v>Varilla cooperweld 2,4m</v>
      </c>
      <c r="D566">
        <v>10</v>
      </c>
      <c r="E566" t="s">
        <v>42</v>
      </c>
      <c r="F566" t="s">
        <v>16</v>
      </c>
      <c r="G566" s="1">
        <v>46197</v>
      </c>
      <c r="I566" s="2"/>
      <c r="J566" t="s">
        <v>166</v>
      </c>
      <c r="K566">
        <v>9958</v>
      </c>
      <c r="L566" t="s">
        <v>258</v>
      </c>
    </row>
    <row r="567" spans="2:14" hidden="1" x14ac:dyDescent="0.25">
      <c r="B567" t="s">
        <v>210</v>
      </c>
      <c r="C567" t="str">
        <f>_xlfn.XLOOKUP(B567,Tabla2[CODIGO],Tabla2[MATERIAL],"N/A",0)</f>
        <v>Conector Varilla cooperw.</v>
      </c>
      <c r="D567">
        <v>10</v>
      </c>
      <c r="E567" t="s">
        <v>42</v>
      </c>
      <c r="F567" t="s">
        <v>16</v>
      </c>
      <c r="G567" s="1">
        <v>46198</v>
      </c>
      <c r="I567" s="2"/>
      <c r="J567" t="s">
        <v>166</v>
      </c>
      <c r="K567">
        <v>9958</v>
      </c>
      <c r="L567" t="s">
        <v>258</v>
      </c>
    </row>
    <row r="568" spans="2:14" hidden="1" x14ac:dyDescent="0.25">
      <c r="B568" t="s">
        <v>214</v>
      </c>
      <c r="C568" t="str">
        <f>_xlfn.XLOOKUP(B568,Tabla2[CODIGO],Tabla2[MATERIAL],"N/A",0)</f>
        <v>Marco para caja ap</v>
      </c>
      <c r="D568">
        <v>12</v>
      </c>
      <c r="E568" t="s">
        <v>42</v>
      </c>
      <c r="F568" t="s">
        <v>16</v>
      </c>
      <c r="G568" s="1">
        <v>46198</v>
      </c>
      <c r="I568" s="2"/>
      <c r="J568" t="s">
        <v>166</v>
      </c>
      <c r="K568">
        <v>9958</v>
      </c>
      <c r="L568" t="s">
        <v>258</v>
      </c>
    </row>
    <row r="569" spans="2:14" hidden="1" x14ac:dyDescent="0.25">
      <c r="B569" t="s">
        <v>84</v>
      </c>
      <c r="C569" t="str">
        <f>_xlfn.XLOOKUP(B569,Tabla2[CODIGO],Tabla2[MATERIAL],"N/A",0)</f>
        <v>Luminaria 110w</v>
      </c>
      <c r="D569">
        <v>1</v>
      </c>
      <c r="E569" t="s">
        <v>42</v>
      </c>
      <c r="F569" t="s">
        <v>62</v>
      </c>
      <c r="G569" s="1">
        <v>46211</v>
      </c>
      <c r="H569" t="s">
        <v>64</v>
      </c>
      <c r="I569" s="2" t="s">
        <v>176</v>
      </c>
      <c r="J569" t="s">
        <v>166</v>
      </c>
      <c r="K569">
        <v>9962</v>
      </c>
      <c r="L569" t="s">
        <v>286</v>
      </c>
      <c r="M569">
        <v>3018792</v>
      </c>
      <c r="N569">
        <v>1</v>
      </c>
    </row>
    <row r="570" spans="2:14" hidden="1" x14ac:dyDescent="0.25">
      <c r="B570" t="s">
        <v>84</v>
      </c>
      <c r="C570" t="str">
        <f>_xlfn.XLOOKUP(B570,Tabla2[CODIGO],Tabla2[MATERIAL],"N/A",0)</f>
        <v>Luminaria 110w</v>
      </c>
      <c r="D570">
        <v>1</v>
      </c>
      <c r="E570" t="s">
        <v>42</v>
      </c>
      <c r="F570" t="s">
        <v>62</v>
      </c>
      <c r="G570" s="1">
        <v>46211</v>
      </c>
      <c r="H570" t="s">
        <v>64</v>
      </c>
      <c r="I570" s="2" t="s">
        <v>173</v>
      </c>
      <c r="J570" t="s">
        <v>166</v>
      </c>
      <c r="K570">
        <v>9962</v>
      </c>
      <c r="L570" t="s">
        <v>286</v>
      </c>
      <c r="M570">
        <v>3018784</v>
      </c>
      <c r="N570">
        <v>2</v>
      </c>
    </row>
    <row r="571" spans="2:14" hidden="1" x14ac:dyDescent="0.25">
      <c r="B571" t="s">
        <v>84</v>
      </c>
      <c r="C571" t="str">
        <f>_xlfn.XLOOKUP(B571,Tabla2[CODIGO],Tabla2[MATERIAL],"N/A",0)</f>
        <v>Luminaria 110w</v>
      </c>
      <c r="D571">
        <v>1</v>
      </c>
      <c r="E571" t="s">
        <v>42</v>
      </c>
      <c r="F571" t="s">
        <v>62</v>
      </c>
      <c r="G571" s="1">
        <v>46211</v>
      </c>
      <c r="H571" t="s">
        <v>64</v>
      </c>
      <c r="I571" s="2" t="s">
        <v>170</v>
      </c>
      <c r="J571" t="s">
        <v>166</v>
      </c>
      <c r="K571">
        <v>9962</v>
      </c>
      <c r="L571" t="s">
        <v>286</v>
      </c>
      <c r="M571">
        <v>3018776</v>
      </c>
      <c r="N571">
        <v>3</v>
      </c>
    </row>
    <row r="572" spans="2:14" hidden="1" x14ac:dyDescent="0.25">
      <c r="B572" t="s">
        <v>84</v>
      </c>
      <c r="C572" t="str">
        <f>_xlfn.XLOOKUP(B572,Tabla2[CODIGO],Tabla2[MATERIAL],"N/A",0)</f>
        <v>Luminaria 110w</v>
      </c>
      <c r="D572">
        <v>1</v>
      </c>
      <c r="E572" t="s">
        <v>42</v>
      </c>
      <c r="F572" t="s">
        <v>62</v>
      </c>
      <c r="G572" s="1">
        <v>46211</v>
      </c>
      <c r="H572" t="s">
        <v>64</v>
      </c>
      <c r="I572" s="2" t="s">
        <v>177</v>
      </c>
      <c r="J572" t="s">
        <v>166</v>
      </c>
      <c r="K572">
        <v>9962</v>
      </c>
      <c r="L572" t="s">
        <v>286</v>
      </c>
      <c r="M572">
        <v>3018750</v>
      </c>
      <c r="N572">
        <v>4</v>
      </c>
    </row>
    <row r="573" spans="2:14" hidden="1" x14ac:dyDescent="0.25">
      <c r="B573" t="s">
        <v>84</v>
      </c>
      <c r="C573" t="str">
        <f>_xlfn.XLOOKUP(B573,Tabla2[CODIGO],Tabla2[MATERIAL],"N/A",0)</f>
        <v>Luminaria 110w</v>
      </c>
      <c r="D573">
        <v>1</v>
      </c>
      <c r="E573" t="s">
        <v>42</v>
      </c>
      <c r="F573" t="s">
        <v>62</v>
      </c>
      <c r="G573" s="1">
        <v>46211</v>
      </c>
      <c r="H573" t="s">
        <v>64</v>
      </c>
      <c r="I573" s="2" t="s">
        <v>175</v>
      </c>
      <c r="J573" t="s">
        <v>166</v>
      </c>
      <c r="K573">
        <v>9962</v>
      </c>
      <c r="L573" t="s">
        <v>286</v>
      </c>
      <c r="M573">
        <v>3018741</v>
      </c>
      <c r="N573">
        <v>5</v>
      </c>
    </row>
    <row r="574" spans="2:14" hidden="1" x14ac:dyDescent="0.25">
      <c r="B574" t="s">
        <v>84</v>
      </c>
      <c r="C574" t="str">
        <f>_xlfn.XLOOKUP(B574,Tabla2[CODIGO],Tabla2[MATERIAL],"N/A",0)</f>
        <v>Luminaria 110w</v>
      </c>
      <c r="D574">
        <v>1</v>
      </c>
      <c r="E574" t="s">
        <v>42</v>
      </c>
      <c r="F574" t="s">
        <v>62</v>
      </c>
      <c r="G574" s="1">
        <v>46211</v>
      </c>
      <c r="H574" t="s">
        <v>64</v>
      </c>
      <c r="I574" s="2" t="s">
        <v>178</v>
      </c>
      <c r="J574" t="s">
        <v>166</v>
      </c>
      <c r="K574">
        <v>9962</v>
      </c>
      <c r="L574" t="s">
        <v>286</v>
      </c>
      <c r="M574">
        <v>3018733</v>
      </c>
      <c r="N574">
        <v>6</v>
      </c>
    </row>
    <row r="575" spans="2:14" hidden="1" x14ac:dyDescent="0.25">
      <c r="B575" t="s">
        <v>84</v>
      </c>
      <c r="C575" t="str">
        <f>_xlfn.XLOOKUP(B575,Tabla2[CODIGO],Tabla2[MATERIAL],"N/A",0)</f>
        <v>Luminaria 110w</v>
      </c>
      <c r="D575">
        <v>1</v>
      </c>
      <c r="E575" t="s">
        <v>42</v>
      </c>
      <c r="F575" t="s">
        <v>62</v>
      </c>
      <c r="G575" s="1">
        <v>46211</v>
      </c>
      <c r="H575" t="s">
        <v>64</v>
      </c>
      <c r="I575" s="2" t="s">
        <v>168</v>
      </c>
      <c r="J575" t="s">
        <v>166</v>
      </c>
      <c r="K575">
        <v>9962</v>
      </c>
      <c r="L575" t="s">
        <v>286</v>
      </c>
      <c r="M575">
        <v>3018679</v>
      </c>
      <c r="N575">
        <v>7</v>
      </c>
    </row>
    <row r="576" spans="2:14" hidden="1" x14ac:dyDescent="0.25">
      <c r="B576" t="s">
        <v>84</v>
      </c>
      <c r="C576" t="str">
        <f>_xlfn.XLOOKUP(B576,Tabla2[CODIGO],Tabla2[MATERIAL],"N/A",0)</f>
        <v>Luminaria 110w</v>
      </c>
      <c r="D576">
        <v>1</v>
      </c>
      <c r="E576" t="s">
        <v>42</v>
      </c>
      <c r="F576" t="s">
        <v>62</v>
      </c>
      <c r="G576" s="1">
        <v>46211</v>
      </c>
      <c r="H576" t="s">
        <v>64</v>
      </c>
      <c r="I576" s="2" t="s">
        <v>174</v>
      </c>
      <c r="J576" t="s">
        <v>166</v>
      </c>
      <c r="K576">
        <v>9962</v>
      </c>
      <c r="L576" t="s">
        <v>286</v>
      </c>
      <c r="M576">
        <v>3018687</v>
      </c>
      <c r="N576">
        <v>8</v>
      </c>
    </row>
    <row r="577" spans="2:14" hidden="1" x14ac:dyDescent="0.25">
      <c r="B577" t="s">
        <v>84</v>
      </c>
      <c r="C577" t="str">
        <f>_xlfn.XLOOKUP(B577,Tabla2[CODIGO],Tabla2[MATERIAL],"N/A",0)</f>
        <v>Luminaria 110w</v>
      </c>
      <c r="D577">
        <v>1</v>
      </c>
      <c r="E577" t="s">
        <v>42</v>
      </c>
      <c r="F577" t="s">
        <v>62</v>
      </c>
      <c r="G577" s="1">
        <v>46211</v>
      </c>
      <c r="H577" t="s">
        <v>64</v>
      </c>
      <c r="I577" s="2" t="s">
        <v>167</v>
      </c>
      <c r="J577" t="s">
        <v>166</v>
      </c>
      <c r="K577">
        <v>9962</v>
      </c>
      <c r="L577" t="s">
        <v>286</v>
      </c>
      <c r="M577">
        <v>3018695</v>
      </c>
      <c r="N577">
        <v>9</v>
      </c>
    </row>
    <row r="578" spans="2:14" hidden="1" x14ac:dyDescent="0.25">
      <c r="B578" t="s">
        <v>84</v>
      </c>
      <c r="C578" t="str">
        <f>_xlfn.XLOOKUP(B578,Tabla2[CODIGO],Tabla2[MATERIAL],"N/A",0)</f>
        <v>Luminaria 110w</v>
      </c>
      <c r="D578">
        <v>1</v>
      </c>
      <c r="E578" t="s">
        <v>42</v>
      </c>
      <c r="F578" t="s">
        <v>62</v>
      </c>
      <c r="G578" s="1">
        <v>46211</v>
      </c>
      <c r="H578" t="s">
        <v>64</v>
      </c>
      <c r="I578" s="2" t="s">
        <v>171</v>
      </c>
      <c r="J578" t="s">
        <v>166</v>
      </c>
      <c r="K578">
        <v>9962</v>
      </c>
      <c r="L578" t="s">
        <v>286</v>
      </c>
      <c r="M578">
        <v>3018709</v>
      </c>
      <c r="N578">
        <v>10</v>
      </c>
    </row>
    <row r="579" spans="2:14" hidden="1" x14ac:dyDescent="0.25">
      <c r="B579" t="s">
        <v>84</v>
      </c>
      <c r="C579" t="str">
        <f>_xlfn.XLOOKUP(B579,Tabla2[CODIGO],Tabla2[MATERIAL],"N/A",0)</f>
        <v>Luminaria 110w</v>
      </c>
      <c r="D579">
        <v>1</v>
      </c>
      <c r="E579" t="s">
        <v>42</v>
      </c>
      <c r="F579" t="s">
        <v>62</v>
      </c>
      <c r="G579" s="1">
        <v>46211</v>
      </c>
      <c r="H579" t="s">
        <v>64</v>
      </c>
      <c r="I579" s="2" t="s">
        <v>169</v>
      </c>
      <c r="J579" t="s">
        <v>166</v>
      </c>
      <c r="K579">
        <v>9962</v>
      </c>
      <c r="L579" t="s">
        <v>286</v>
      </c>
      <c r="M579">
        <v>3018717</v>
      </c>
      <c r="N579">
        <v>11</v>
      </c>
    </row>
    <row r="580" spans="2:14" hidden="1" x14ac:dyDescent="0.25">
      <c r="B580" t="s">
        <v>84</v>
      </c>
      <c r="C580" t="str">
        <f>_xlfn.XLOOKUP(B580,Tabla2[CODIGO],Tabla2[MATERIAL],"N/A",0)</f>
        <v>Luminaria 110w</v>
      </c>
      <c r="D580">
        <v>1</v>
      </c>
      <c r="E580" t="s">
        <v>42</v>
      </c>
      <c r="F580" t="s">
        <v>62</v>
      </c>
      <c r="G580" s="1">
        <v>46211</v>
      </c>
      <c r="H580" t="s">
        <v>64</v>
      </c>
      <c r="I580" s="2" t="s">
        <v>172</v>
      </c>
      <c r="J580" t="s">
        <v>166</v>
      </c>
      <c r="K580">
        <v>9962</v>
      </c>
      <c r="L580" t="s">
        <v>286</v>
      </c>
      <c r="M580">
        <v>3018725</v>
      </c>
      <c r="N580">
        <v>12</v>
      </c>
    </row>
    <row r="581" spans="2:14" hidden="1" x14ac:dyDescent="0.25">
      <c r="B581" t="s">
        <v>217</v>
      </c>
      <c r="C581" t="str">
        <f>_xlfn.XLOOKUP(B581,Tabla2[CODIGO],Tabla2[MATERIAL],"N/A",0)</f>
        <v>Brazo Galvanizado 1 1/2" x 2m</v>
      </c>
      <c r="D581">
        <v>1</v>
      </c>
      <c r="E581" t="s">
        <v>42</v>
      </c>
      <c r="F581" t="s">
        <v>62</v>
      </c>
      <c r="G581" s="1">
        <v>46211</v>
      </c>
      <c r="I581" s="2"/>
      <c r="J581" t="s">
        <v>166</v>
      </c>
      <c r="K581">
        <v>9962</v>
      </c>
      <c r="L581" t="s">
        <v>286</v>
      </c>
      <c r="M581">
        <v>3018792</v>
      </c>
      <c r="N581">
        <v>1</v>
      </c>
    </row>
    <row r="582" spans="2:14" hidden="1" x14ac:dyDescent="0.25">
      <c r="B582" t="s">
        <v>217</v>
      </c>
      <c r="C582" t="str">
        <f>_xlfn.XLOOKUP(B582,Tabla2[CODIGO],Tabla2[MATERIAL],"N/A",0)</f>
        <v>Brazo Galvanizado 1 1/2" x 2m</v>
      </c>
      <c r="D582">
        <v>1</v>
      </c>
      <c r="E582" t="s">
        <v>42</v>
      </c>
      <c r="F582" t="s">
        <v>62</v>
      </c>
      <c r="G582" s="1">
        <v>46211</v>
      </c>
      <c r="I582" s="2"/>
      <c r="J582" t="s">
        <v>166</v>
      </c>
      <c r="K582">
        <v>9962</v>
      </c>
      <c r="L582" t="s">
        <v>286</v>
      </c>
      <c r="M582">
        <v>3018784</v>
      </c>
      <c r="N582">
        <v>2</v>
      </c>
    </row>
    <row r="583" spans="2:14" hidden="1" x14ac:dyDescent="0.25">
      <c r="B583" t="s">
        <v>217</v>
      </c>
      <c r="C583" t="str">
        <f>_xlfn.XLOOKUP(B583,Tabla2[CODIGO],Tabla2[MATERIAL],"N/A",0)</f>
        <v>Brazo Galvanizado 1 1/2" x 2m</v>
      </c>
      <c r="D583">
        <v>1</v>
      </c>
      <c r="E583" t="s">
        <v>42</v>
      </c>
      <c r="F583" t="s">
        <v>62</v>
      </c>
      <c r="G583" s="1">
        <v>46211</v>
      </c>
      <c r="I583" s="2"/>
      <c r="J583" t="s">
        <v>166</v>
      </c>
      <c r="K583">
        <v>9962</v>
      </c>
      <c r="L583" t="s">
        <v>286</v>
      </c>
      <c r="M583">
        <v>3018776</v>
      </c>
      <c r="N583">
        <v>3</v>
      </c>
    </row>
    <row r="584" spans="2:14" hidden="1" x14ac:dyDescent="0.25">
      <c r="B584" t="s">
        <v>217</v>
      </c>
      <c r="C584" t="str">
        <f>_xlfn.XLOOKUP(B584,Tabla2[CODIGO],Tabla2[MATERIAL],"N/A",0)</f>
        <v>Brazo Galvanizado 1 1/2" x 2m</v>
      </c>
      <c r="D584">
        <v>1</v>
      </c>
      <c r="E584" t="s">
        <v>42</v>
      </c>
      <c r="F584" t="s">
        <v>62</v>
      </c>
      <c r="G584" s="1">
        <v>46211</v>
      </c>
      <c r="I584" s="2"/>
      <c r="J584" t="s">
        <v>166</v>
      </c>
      <c r="K584">
        <v>9962</v>
      </c>
      <c r="L584" t="s">
        <v>286</v>
      </c>
      <c r="M584">
        <v>3018750</v>
      </c>
      <c r="N584">
        <v>4</v>
      </c>
    </row>
    <row r="585" spans="2:14" hidden="1" x14ac:dyDescent="0.25">
      <c r="B585" t="s">
        <v>217</v>
      </c>
      <c r="C585" t="str">
        <f>_xlfn.XLOOKUP(B585,Tabla2[CODIGO],Tabla2[MATERIAL],"N/A",0)</f>
        <v>Brazo Galvanizado 1 1/2" x 2m</v>
      </c>
      <c r="D585">
        <v>1</v>
      </c>
      <c r="E585" t="s">
        <v>42</v>
      </c>
      <c r="F585" t="s">
        <v>62</v>
      </c>
      <c r="G585" s="1">
        <v>46211</v>
      </c>
      <c r="I585" s="2"/>
      <c r="J585" t="s">
        <v>166</v>
      </c>
      <c r="K585">
        <v>9962</v>
      </c>
      <c r="L585" t="s">
        <v>286</v>
      </c>
      <c r="M585">
        <v>3018741</v>
      </c>
      <c r="N585">
        <v>5</v>
      </c>
    </row>
    <row r="586" spans="2:14" hidden="1" x14ac:dyDescent="0.25">
      <c r="B586" t="s">
        <v>217</v>
      </c>
      <c r="C586" t="str">
        <f>_xlfn.XLOOKUP(B586,Tabla2[CODIGO],Tabla2[MATERIAL],"N/A",0)</f>
        <v>Brazo Galvanizado 1 1/2" x 2m</v>
      </c>
      <c r="D586">
        <v>1</v>
      </c>
      <c r="E586" t="s">
        <v>42</v>
      </c>
      <c r="F586" t="s">
        <v>62</v>
      </c>
      <c r="G586" s="1">
        <v>46211</v>
      </c>
      <c r="I586" s="2"/>
      <c r="J586" t="s">
        <v>166</v>
      </c>
      <c r="K586">
        <v>9962</v>
      </c>
      <c r="L586" t="s">
        <v>286</v>
      </c>
      <c r="M586">
        <v>3018733</v>
      </c>
      <c r="N586">
        <v>6</v>
      </c>
    </row>
    <row r="587" spans="2:14" hidden="1" x14ac:dyDescent="0.25">
      <c r="B587" t="s">
        <v>217</v>
      </c>
      <c r="C587" t="str">
        <f>_xlfn.XLOOKUP(B587,Tabla2[CODIGO],Tabla2[MATERIAL],"N/A",0)</f>
        <v>Brazo Galvanizado 1 1/2" x 2m</v>
      </c>
      <c r="D587">
        <v>1</v>
      </c>
      <c r="E587" t="s">
        <v>42</v>
      </c>
      <c r="F587" t="s">
        <v>62</v>
      </c>
      <c r="G587" s="1">
        <v>46211</v>
      </c>
      <c r="I587" s="2"/>
      <c r="J587" t="s">
        <v>166</v>
      </c>
      <c r="K587">
        <v>9962</v>
      </c>
      <c r="L587" t="s">
        <v>286</v>
      </c>
      <c r="M587">
        <v>3018679</v>
      </c>
      <c r="N587">
        <v>7</v>
      </c>
    </row>
    <row r="588" spans="2:14" hidden="1" x14ac:dyDescent="0.25">
      <c r="B588" t="s">
        <v>217</v>
      </c>
      <c r="C588" t="str">
        <f>_xlfn.XLOOKUP(B588,Tabla2[CODIGO],Tabla2[MATERIAL],"N/A",0)</f>
        <v>Brazo Galvanizado 1 1/2" x 2m</v>
      </c>
      <c r="D588">
        <v>1</v>
      </c>
      <c r="E588" t="s">
        <v>42</v>
      </c>
      <c r="F588" t="s">
        <v>62</v>
      </c>
      <c r="G588" s="1">
        <v>46211</v>
      </c>
      <c r="I588" s="2"/>
      <c r="J588" t="s">
        <v>166</v>
      </c>
      <c r="K588">
        <v>9962</v>
      </c>
      <c r="L588" t="s">
        <v>286</v>
      </c>
      <c r="M588">
        <v>3018687</v>
      </c>
      <c r="N588">
        <v>8</v>
      </c>
    </row>
    <row r="589" spans="2:14" hidden="1" x14ac:dyDescent="0.25">
      <c r="B589" t="s">
        <v>217</v>
      </c>
      <c r="C589" t="str">
        <f>_xlfn.XLOOKUP(B589,Tabla2[CODIGO],Tabla2[MATERIAL],"N/A",0)</f>
        <v>Brazo Galvanizado 1 1/2" x 2m</v>
      </c>
      <c r="D589">
        <v>1</v>
      </c>
      <c r="E589" t="s">
        <v>42</v>
      </c>
      <c r="F589" t="s">
        <v>62</v>
      </c>
      <c r="G589" s="1">
        <v>46211</v>
      </c>
      <c r="I589" s="2"/>
      <c r="J589" t="s">
        <v>166</v>
      </c>
      <c r="K589">
        <v>9962</v>
      </c>
      <c r="L589" t="s">
        <v>286</v>
      </c>
      <c r="M589">
        <v>3018695</v>
      </c>
      <c r="N589">
        <v>9</v>
      </c>
    </row>
    <row r="590" spans="2:14" hidden="1" x14ac:dyDescent="0.25">
      <c r="B590" t="s">
        <v>217</v>
      </c>
      <c r="C590" t="str">
        <f>_xlfn.XLOOKUP(B590,Tabla2[CODIGO],Tabla2[MATERIAL],"N/A",0)</f>
        <v>Brazo Galvanizado 1 1/2" x 2m</v>
      </c>
      <c r="D590">
        <v>1</v>
      </c>
      <c r="E590" t="s">
        <v>42</v>
      </c>
      <c r="F590" t="s">
        <v>62</v>
      </c>
      <c r="G590" s="1">
        <v>46211</v>
      </c>
      <c r="I590" s="2"/>
      <c r="J590" t="s">
        <v>166</v>
      </c>
      <c r="K590">
        <v>9962</v>
      </c>
      <c r="L590" t="s">
        <v>286</v>
      </c>
      <c r="M590">
        <v>3018709</v>
      </c>
      <c r="N590">
        <v>10</v>
      </c>
    </row>
    <row r="591" spans="2:14" hidden="1" x14ac:dyDescent="0.25">
      <c r="B591" t="s">
        <v>217</v>
      </c>
      <c r="C591" t="str">
        <f>_xlfn.XLOOKUP(B591,Tabla2[CODIGO],Tabla2[MATERIAL],"N/A",0)</f>
        <v>Brazo Galvanizado 1 1/2" x 2m</v>
      </c>
      <c r="D591">
        <v>1</v>
      </c>
      <c r="E591" t="s">
        <v>42</v>
      </c>
      <c r="F591" t="s">
        <v>62</v>
      </c>
      <c r="G591" s="1">
        <v>46211</v>
      </c>
      <c r="I591" s="2"/>
      <c r="J591" t="s">
        <v>166</v>
      </c>
      <c r="K591">
        <v>9962</v>
      </c>
      <c r="L591" t="s">
        <v>286</v>
      </c>
      <c r="M591">
        <v>3018717</v>
      </c>
      <c r="N591">
        <v>11</v>
      </c>
    </row>
    <row r="592" spans="2:14" hidden="1" x14ac:dyDescent="0.25">
      <c r="B592" t="s">
        <v>217</v>
      </c>
      <c r="C592" t="str">
        <f>_xlfn.XLOOKUP(B592,Tabla2[CODIGO],Tabla2[MATERIAL],"N/A",0)</f>
        <v>Brazo Galvanizado 1 1/2" x 2m</v>
      </c>
      <c r="D592">
        <v>1</v>
      </c>
      <c r="E592" t="s">
        <v>42</v>
      </c>
      <c r="F592" t="s">
        <v>62</v>
      </c>
      <c r="G592" s="1">
        <v>46211</v>
      </c>
      <c r="I592" s="2"/>
      <c r="J592" t="s">
        <v>166</v>
      </c>
      <c r="K592">
        <v>9962</v>
      </c>
      <c r="L592" t="s">
        <v>286</v>
      </c>
      <c r="M592">
        <v>3018725</v>
      </c>
      <c r="N592">
        <v>12</v>
      </c>
    </row>
    <row r="593" spans="2:14" hidden="1" x14ac:dyDescent="0.25">
      <c r="B593" t="s">
        <v>212</v>
      </c>
      <c r="C593" t="str">
        <f>_xlfn.XLOOKUP(B593,Tabla2[CODIGO],Tabla2[MATERIAL],"N/A",0)</f>
        <v>Grillete galvanizado 1,1/2</v>
      </c>
      <c r="D593">
        <v>2</v>
      </c>
      <c r="E593" t="s">
        <v>42</v>
      </c>
      <c r="F593" t="s">
        <v>62</v>
      </c>
      <c r="G593" s="1">
        <v>46211</v>
      </c>
      <c r="I593" s="2"/>
      <c r="J593" t="s">
        <v>166</v>
      </c>
      <c r="K593">
        <v>9962</v>
      </c>
      <c r="L593" t="s">
        <v>286</v>
      </c>
      <c r="M593">
        <v>3018792</v>
      </c>
      <c r="N593">
        <v>1</v>
      </c>
    </row>
    <row r="594" spans="2:14" hidden="1" x14ac:dyDescent="0.25">
      <c r="B594" t="s">
        <v>212</v>
      </c>
      <c r="C594" t="str">
        <f>_xlfn.XLOOKUP(B594,Tabla2[CODIGO],Tabla2[MATERIAL],"N/A",0)</f>
        <v>Grillete galvanizado 1,1/2</v>
      </c>
      <c r="D594">
        <v>2</v>
      </c>
      <c r="E594" t="s">
        <v>42</v>
      </c>
      <c r="F594" t="s">
        <v>62</v>
      </c>
      <c r="G594" s="1">
        <v>46211</v>
      </c>
      <c r="I594" s="2"/>
      <c r="J594" t="s">
        <v>166</v>
      </c>
      <c r="K594">
        <v>9962</v>
      </c>
      <c r="L594" t="s">
        <v>286</v>
      </c>
      <c r="M594">
        <v>3018784</v>
      </c>
      <c r="N594">
        <v>2</v>
      </c>
    </row>
    <row r="595" spans="2:14" hidden="1" x14ac:dyDescent="0.25">
      <c r="B595" t="s">
        <v>212</v>
      </c>
      <c r="C595" t="str">
        <f>_xlfn.XLOOKUP(B595,Tabla2[CODIGO],Tabla2[MATERIAL],"N/A",0)</f>
        <v>Grillete galvanizado 1,1/2</v>
      </c>
      <c r="D595">
        <v>2</v>
      </c>
      <c r="E595" t="s">
        <v>42</v>
      </c>
      <c r="F595" t="s">
        <v>62</v>
      </c>
      <c r="G595" s="1">
        <v>46211</v>
      </c>
      <c r="I595" s="2"/>
      <c r="J595" t="s">
        <v>166</v>
      </c>
      <c r="K595">
        <v>9962</v>
      </c>
      <c r="L595" t="s">
        <v>286</v>
      </c>
      <c r="M595">
        <v>3018776</v>
      </c>
      <c r="N595">
        <v>3</v>
      </c>
    </row>
    <row r="596" spans="2:14" hidden="1" x14ac:dyDescent="0.25">
      <c r="B596" t="s">
        <v>212</v>
      </c>
      <c r="C596" t="str">
        <f>_xlfn.XLOOKUP(B596,Tabla2[CODIGO],Tabla2[MATERIAL],"N/A",0)</f>
        <v>Grillete galvanizado 1,1/2</v>
      </c>
      <c r="D596">
        <v>2</v>
      </c>
      <c r="E596" t="s">
        <v>42</v>
      </c>
      <c r="F596" t="s">
        <v>62</v>
      </c>
      <c r="G596" s="1">
        <v>46211</v>
      </c>
      <c r="I596" s="2"/>
      <c r="J596" t="s">
        <v>166</v>
      </c>
      <c r="K596">
        <v>9962</v>
      </c>
      <c r="L596" t="s">
        <v>286</v>
      </c>
      <c r="M596">
        <v>3018750</v>
      </c>
      <c r="N596">
        <v>4</v>
      </c>
    </row>
    <row r="597" spans="2:14" hidden="1" x14ac:dyDescent="0.25">
      <c r="B597" t="s">
        <v>212</v>
      </c>
      <c r="C597" t="str">
        <f>_xlfn.XLOOKUP(B597,Tabla2[CODIGO],Tabla2[MATERIAL],"N/A",0)</f>
        <v>Grillete galvanizado 1,1/2</v>
      </c>
      <c r="D597">
        <v>2</v>
      </c>
      <c r="E597" t="s">
        <v>42</v>
      </c>
      <c r="F597" t="s">
        <v>62</v>
      </c>
      <c r="G597" s="1">
        <v>46211</v>
      </c>
      <c r="I597" s="2"/>
      <c r="J597" t="s">
        <v>166</v>
      </c>
      <c r="K597">
        <v>9962</v>
      </c>
      <c r="L597" t="s">
        <v>286</v>
      </c>
      <c r="M597">
        <v>3018741</v>
      </c>
      <c r="N597">
        <v>5</v>
      </c>
    </row>
    <row r="598" spans="2:14" hidden="1" x14ac:dyDescent="0.25">
      <c r="B598" t="s">
        <v>212</v>
      </c>
      <c r="C598" t="str">
        <f>_xlfn.XLOOKUP(B598,Tabla2[CODIGO],Tabla2[MATERIAL],"N/A",0)</f>
        <v>Grillete galvanizado 1,1/2</v>
      </c>
      <c r="D598">
        <v>2</v>
      </c>
      <c r="E598" t="s">
        <v>42</v>
      </c>
      <c r="F598" t="s">
        <v>62</v>
      </c>
      <c r="G598" s="1">
        <v>46211</v>
      </c>
      <c r="I598" s="2"/>
      <c r="J598" t="s">
        <v>166</v>
      </c>
      <c r="K598">
        <v>9962</v>
      </c>
      <c r="L598" t="s">
        <v>286</v>
      </c>
      <c r="M598">
        <v>3018733</v>
      </c>
      <c r="N598">
        <v>6</v>
      </c>
    </row>
    <row r="599" spans="2:14" hidden="1" x14ac:dyDescent="0.25">
      <c r="B599" t="s">
        <v>212</v>
      </c>
      <c r="C599" t="str">
        <f>_xlfn.XLOOKUP(B599,Tabla2[CODIGO],Tabla2[MATERIAL],"N/A",0)</f>
        <v>Grillete galvanizado 1,1/2</v>
      </c>
      <c r="D599">
        <v>2</v>
      </c>
      <c r="E599" t="s">
        <v>42</v>
      </c>
      <c r="F599" t="s">
        <v>62</v>
      </c>
      <c r="G599" s="1">
        <v>46211</v>
      </c>
      <c r="I599" s="2"/>
      <c r="J599" t="s">
        <v>166</v>
      </c>
      <c r="K599">
        <v>9962</v>
      </c>
      <c r="L599" t="s">
        <v>286</v>
      </c>
      <c r="M599">
        <v>3018679</v>
      </c>
      <c r="N599">
        <v>7</v>
      </c>
    </row>
    <row r="600" spans="2:14" hidden="1" x14ac:dyDescent="0.25">
      <c r="B600" t="s">
        <v>212</v>
      </c>
      <c r="C600" t="str">
        <f>_xlfn.XLOOKUP(B600,Tabla2[CODIGO],Tabla2[MATERIAL],"N/A",0)</f>
        <v>Grillete galvanizado 1,1/2</v>
      </c>
      <c r="D600">
        <v>2</v>
      </c>
      <c r="E600" t="s">
        <v>42</v>
      </c>
      <c r="F600" t="s">
        <v>62</v>
      </c>
      <c r="G600" s="1">
        <v>46211</v>
      </c>
      <c r="I600" s="2"/>
      <c r="J600" t="s">
        <v>166</v>
      </c>
      <c r="K600">
        <v>9962</v>
      </c>
      <c r="L600" t="s">
        <v>286</v>
      </c>
      <c r="M600">
        <v>3018687</v>
      </c>
      <c r="N600">
        <v>8</v>
      </c>
    </row>
    <row r="601" spans="2:14" hidden="1" x14ac:dyDescent="0.25">
      <c r="B601" t="s">
        <v>212</v>
      </c>
      <c r="C601" t="str">
        <f>_xlfn.XLOOKUP(B601,Tabla2[CODIGO],Tabla2[MATERIAL],"N/A",0)</f>
        <v>Grillete galvanizado 1,1/2</v>
      </c>
      <c r="D601">
        <v>2</v>
      </c>
      <c r="E601" t="s">
        <v>42</v>
      </c>
      <c r="F601" t="s">
        <v>62</v>
      </c>
      <c r="G601" s="1">
        <v>46211</v>
      </c>
      <c r="I601" s="2"/>
      <c r="J601" t="s">
        <v>166</v>
      </c>
      <c r="K601">
        <v>9962</v>
      </c>
      <c r="L601" t="s">
        <v>286</v>
      </c>
      <c r="M601">
        <v>3018695</v>
      </c>
      <c r="N601">
        <v>9</v>
      </c>
    </row>
    <row r="602" spans="2:14" hidden="1" x14ac:dyDescent="0.25">
      <c r="B602" t="s">
        <v>212</v>
      </c>
      <c r="C602" t="str">
        <f>_xlfn.XLOOKUP(B602,Tabla2[CODIGO],Tabla2[MATERIAL],"N/A",0)</f>
        <v>Grillete galvanizado 1,1/2</v>
      </c>
      <c r="D602">
        <v>2</v>
      </c>
      <c r="E602" t="s">
        <v>42</v>
      </c>
      <c r="F602" t="s">
        <v>62</v>
      </c>
      <c r="G602" s="1">
        <v>46211</v>
      </c>
      <c r="I602" s="2"/>
      <c r="J602" t="s">
        <v>166</v>
      </c>
      <c r="K602">
        <v>9962</v>
      </c>
      <c r="L602" t="s">
        <v>286</v>
      </c>
      <c r="M602">
        <v>3018709</v>
      </c>
      <c r="N602">
        <v>10</v>
      </c>
    </row>
    <row r="603" spans="2:14" hidden="1" x14ac:dyDescent="0.25">
      <c r="B603" t="s">
        <v>212</v>
      </c>
      <c r="C603" t="str">
        <f>_xlfn.XLOOKUP(B603,Tabla2[CODIGO],Tabla2[MATERIAL],"N/A",0)</f>
        <v>Grillete galvanizado 1,1/2</v>
      </c>
      <c r="D603">
        <v>2</v>
      </c>
      <c r="E603" t="s">
        <v>42</v>
      </c>
      <c r="F603" t="s">
        <v>62</v>
      </c>
      <c r="G603" s="1">
        <v>46211</v>
      </c>
      <c r="I603" s="2"/>
      <c r="J603" t="s">
        <v>166</v>
      </c>
      <c r="K603">
        <v>9962</v>
      </c>
      <c r="L603" t="s">
        <v>286</v>
      </c>
      <c r="M603">
        <v>3018717</v>
      </c>
      <c r="N603">
        <v>11</v>
      </c>
    </row>
    <row r="604" spans="2:14" hidden="1" x14ac:dyDescent="0.25">
      <c r="B604" t="s">
        <v>212</v>
      </c>
      <c r="C604" t="str">
        <f>_xlfn.XLOOKUP(B604,Tabla2[CODIGO],Tabla2[MATERIAL],"N/A",0)</f>
        <v>Grillete galvanizado 1,1/2</v>
      </c>
      <c r="D604">
        <v>2</v>
      </c>
      <c r="E604" t="s">
        <v>42</v>
      </c>
      <c r="F604" t="s">
        <v>62</v>
      </c>
      <c r="G604" s="1">
        <v>46211</v>
      </c>
      <c r="I604" s="2"/>
      <c r="J604" t="s">
        <v>166</v>
      </c>
      <c r="K604">
        <v>9962</v>
      </c>
      <c r="L604" t="s">
        <v>286</v>
      </c>
      <c r="M604">
        <v>3018725</v>
      </c>
      <c r="N604">
        <v>12</v>
      </c>
    </row>
    <row r="605" spans="2:14" hidden="1" x14ac:dyDescent="0.25">
      <c r="B605" t="s">
        <v>222</v>
      </c>
      <c r="C605" t="str">
        <f>_xlfn.XLOOKUP(B605,Tabla2[CODIGO],Tabla2[MATERIAL],"N/A",0)</f>
        <v>Conector de Perforacion ais kz-ep (EP95) pequeño</v>
      </c>
      <c r="D605">
        <v>6</v>
      </c>
      <c r="E605" t="s">
        <v>42</v>
      </c>
      <c r="F605" t="s">
        <v>62</v>
      </c>
      <c r="G605" s="1">
        <v>46211</v>
      </c>
      <c r="I605" s="2"/>
      <c r="J605" t="s">
        <v>166</v>
      </c>
      <c r="K605">
        <v>9962</v>
      </c>
      <c r="L605" t="s">
        <v>286</v>
      </c>
      <c r="M605">
        <v>3018792</v>
      </c>
      <c r="N605">
        <v>1</v>
      </c>
    </row>
    <row r="606" spans="2:14" hidden="1" x14ac:dyDescent="0.25">
      <c r="B606" t="s">
        <v>222</v>
      </c>
      <c r="C606" t="str">
        <f>_xlfn.XLOOKUP(B606,Tabla2[CODIGO],Tabla2[MATERIAL],"N/A",0)</f>
        <v>Conector de Perforacion ais kz-ep (EP95) pequeño</v>
      </c>
      <c r="D606">
        <v>3</v>
      </c>
      <c r="E606" t="s">
        <v>42</v>
      </c>
      <c r="F606" t="s">
        <v>62</v>
      </c>
      <c r="G606" s="1">
        <v>46211</v>
      </c>
      <c r="I606" s="2"/>
      <c r="J606" t="s">
        <v>166</v>
      </c>
      <c r="K606">
        <v>9962</v>
      </c>
      <c r="L606" t="s">
        <v>286</v>
      </c>
      <c r="M606">
        <v>3018784</v>
      </c>
      <c r="N606">
        <v>2</v>
      </c>
    </row>
    <row r="607" spans="2:14" hidden="1" x14ac:dyDescent="0.25">
      <c r="B607" t="s">
        <v>222</v>
      </c>
      <c r="C607" t="str">
        <f>_xlfn.XLOOKUP(B607,Tabla2[CODIGO],Tabla2[MATERIAL],"N/A",0)</f>
        <v>Conector de Perforacion ais kz-ep (EP95) pequeño</v>
      </c>
      <c r="D607">
        <v>6</v>
      </c>
      <c r="E607" t="s">
        <v>42</v>
      </c>
      <c r="F607" t="s">
        <v>62</v>
      </c>
      <c r="G607" s="1">
        <v>46211</v>
      </c>
      <c r="I607" s="2"/>
      <c r="J607" t="s">
        <v>166</v>
      </c>
      <c r="K607">
        <v>9962</v>
      </c>
      <c r="L607" t="s">
        <v>286</v>
      </c>
      <c r="M607">
        <v>3018776</v>
      </c>
      <c r="N607">
        <v>3</v>
      </c>
    </row>
    <row r="608" spans="2:14" hidden="1" x14ac:dyDescent="0.25">
      <c r="B608" t="s">
        <v>222</v>
      </c>
      <c r="C608" t="str">
        <f>_xlfn.XLOOKUP(B608,Tabla2[CODIGO],Tabla2[MATERIAL],"N/A",0)</f>
        <v>Conector de Perforacion ais kz-ep (EP95) pequeño</v>
      </c>
      <c r="D608">
        <v>3</v>
      </c>
      <c r="E608" t="s">
        <v>42</v>
      </c>
      <c r="F608" t="s">
        <v>62</v>
      </c>
      <c r="G608" s="1">
        <v>46211</v>
      </c>
      <c r="I608" s="2"/>
      <c r="J608" t="s">
        <v>166</v>
      </c>
      <c r="K608">
        <v>9962</v>
      </c>
      <c r="L608" t="s">
        <v>286</v>
      </c>
      <c r="M608">
        <v>3018750</v>
      </c>
      <c r="N608">
        <v>4</v>
      </c>
    </row>
    <row r="609" spans="2:14" hidden="1" x14ac:dyDescent="0.25">
      <c r="B609" t="s">
        <v>222</v>
      </c>
      <c r="C609" t="str">
        <f>_xlfn.XLOOKUP(B609,Tabla2[CODIGO],Tabla2[MATERIAL],"N/A",0)</f>
        <v>Conector de Perforacion ais kz-ep (EP95) pequeño</v>
      </c>
      <c r="D609">
        <v>4</v>
      </c>
      <c r="E609" t="s">
        <v>42</v>
      </c>
      <c r="F609" t="s">
        <v>62</v>
      </c>
      <c r="G609" s="1">
        <v>46211</v>
      </c>
      <c r="I609" s="2"/>
      <c r="J609" t="s">
        <v>166</v>
      </c>
      <c r="K609">
        <v>9962</v>
      </c>
      <c r="L609" t="s">
        <v>286</v>
      </c>
      <c r="M609">
        <v>3018741</v>
      </c>
      <c r="N609">
        <v>5</v>
      </c>
    </row>
    <row r="610" spans="2:14" hidden="1" x14ac:dyDescent="0.25">
      <c r="B610" t="s">
        <v>222</v>
      </c>
      <c r="C610" t="str">
        <f>_xlfn.XLOOKUP(B610,Tabla2[CODIGO],Tabla2[MATERIAL],"N/A",0)</f>
        <v>Conector de Perforacion ais kz-ep (EP95) pequeño</v>
      </c>
      <c r="D610">
        <v>7</v>
      </c>
      <c r="E610" t="s">
        <v>42</v>
      </c>
      <c r="F610" t="s">
        <v>62</v>
      </c>
      <c r="G610" s="1">
        <v>46211</v>
      </c>
      <c r="I610" s="2"/>
      <c r="J610" t="s">
        <v>166</v>
      </c>
      <c r="K610">
        <v>9962</v>
      </c>
      <c r="L610" t="s">
        <v>286</v>
      </c>
      <c r="M610">
        <v>3018733</v>
      </c>
      <c r="N610">
        <v>6</v>
      </c>
    </row>
    <row r="611" spans="2:14" hidden="1" x14ac:dyDescent="0.25">
      <c r="B611" t="s">
        <v>222</v>
      </c>
      <c r="C611" t="str">
        <f>_xlfn.XLOOKUP(B611,Tabla2[CODIGO],Tabla2[MATERIAL],"N/A",0)</f>
        <v>Conector de Perforacion ais kz-ep (EP95) pequeño</v>
      </c>
      <c r="D611">
        <v>3</v>
      </c>
      <c r="E611" t="s">
        <v>42</v>
      </c>
      <c r="F611" t="s">
        <v>62</v>
      </c>
      <c r="G611" s="1">
        <v>46211</v>
      </c>
      <c r="I611" s="2"/>
      <c r="J611" t="s">
        <v>166</v>
      </c>
      <c r="K611">
        <v>9962</v>
      </c>
      <c r="L611" t="s">
        <v>286</v>
      </c>
      <c r="M611">
        <v>3018679</v>
      </c>
      <c r="N611">
        <v>7</v>
      </c>
    </row>
    <row r="612" spans="2:14" hidden="1" x14ac:dyDescent="0.25">
      <c r="B612" t="s">
        <v>222</v>
      </c>
      <c r="C612" t="str">
        <f>_xlfn.XLOOKUP(B612,Tabla2[CODIGO],Tabla2[MATERIAL],"N/A",0)</f>
        <v>Conector de Perforacion ais kz-ep (EP95) pequeño</v>
      </c>
      <c r="D612">
        <v>5</v>
      </c>
      <c r="E612" t="s">
        <v>42</v>
      </c>
      <c r="F612" t="s">
        <v>62</v>
      </c>
      <c r="G612" s="1">
        <v>46211</v>
      </c>
      <c r="I612" s="2"/>
      <c r="J612" t="s">
        <v>166</v>
      </c>
      <c r="K612">
        <v>9962</v>
      </c>
      <c r="L612" t="s">
        <v>286</v>
      </c>
      <c r="M612">
        <v>3018687</v>
      </c>
      <c r="N612">
        <v>8</v>
      </c>
    </row>
    <row r="613" spans="2:14" hidden="1" x14ac:dyDescent="0.25">
      <c r="B613" t="s">
        <v>222</v>
      </c>
      <c r="C613" t="str">
        <f>_xlfn.XLOOKUP(B613,Tabla2[CODIGO],Tabla2[MATERIAL],"N/A",0)</f>
        <v>Conector de Perforacion ais kz-ep (EP95) pequeño</v>
      </c>
      <c r="D613">
        <v>3</v>
      </c>
      <c r="E613" t="s">
        <v>42</v>
      </c>
      <c r="F613" t="s">
        <v>62</v>
      </c>
      <c r="G613" s="1">
        <v>46211</v>
      </c>
      <c r="I613" s="2"/>
      <c r="J613" t="s">
        <v>166</v>
      </c>
      <c r="K613">
        <v>9962</v>
      </c>
      <c r="L613" t="s">
        <v>286</v>
      </c>
      <c r="M613">
        <v>3018695</v>
      </c>
      <c r="N613">
        <v>9</v>
      </c>
    </row>
    <row r="614" spans="2:14" hidden="1" x14ac:dyDescent="0.25">
      <c r="B614" t="s">
        <v>222</v>
      </c>
      <c r="C614" t="str">
        <f>_xlfn.XLOOKUP(B614,Tabla2[CODIGO],Tabla2[MATERIAL],"N/A",0)</f>
        <v>Conector de Perforacion ais kz-ep (EP95) pequeño</v>
      </c>
      <c r="D614">
        <v>3</v>
      </c>
      <c r="E614" t="s">
        <v>42</v>
      </c>
      <c r="F614" t="s">
        <v>62</v>
      </c>
      <c r="G614" s="1">
        <v>46211</v>
      </c>
      <c r="I614" s="2"/>
      <c r="J614" t="s">
        <v>166</v>
      </c>
      <c r="K614">
        <v>9962</v>
      </c>
      <c r="L614" t="s">
        <v>286</v>
      </c>
      <c r="M614">
        <v>3018709</v>
      </c>
      <c r="N614">
        <v>10</v>
      </c>
    </row>
    <row r="615" spans="2:14" hidden="1" x14ac:dyDescent="0.25">
      <c r="B615" t="s">
        <v>222</v>
      </c>
      <c r="C615" t="str">
        <f>_xlfn.XLOOKUP(B615,Tabla2[CODIGO],Tabla2[MATERIAL],"N/A",0)</f>
        <v>Conector de Perforacion ais kz-ep (EP95) pequeño</v>
      </c>
      <c r="D615">
        <v>3</v>
      </c>
      <c r="E615" t="s">
        <v>42</v>
      </c>
      <c r="F615" t="s">
        <v>62</v>
      </c>
      <c r="G615" s="1">
        <v>46211</v>
      </c>
      <c r="I615" s="2"/>
      <c r="J615" t="s">
        <v>166</v>
      </c>
      <c r="K615">
        <v>9962</v>
      </c>
      <c r="L615" t="s">
        <v>286</v>
      </c>
      <c r="M615">
        <v>3018717</v>
      </c>
      <c r="N615">
        <v>11</v>
      </c>
    </row>
    <row r="616" spans="2:14" hidden="1" x14ac:dyDescent="0.25">
      <c r="B616" t="s">
        <v>222</v>
      </c>
      <c r="C616" t="str">
        <f>_xlfn.XLOOKUP(B616,Tabla2[CODIGO],Tabla2[MATERIAL],"N/A",0)</f>
        <v>Conector de Perforacion ais kz-ep (EP95) pequeño</v>
      </c>
      <c r="D616">
        <v>4</v>
      </c>
      <c r="E616" t="s">
        <v>42</v>
      </c>
      <c r="F616" t="s">
        <v>62</v>
      </c>
      <c r="G616" s="1">
        <v>46211</v>
      </c>
      <c r="I616" s="2"/>
      <c r="J616" t="s">
        <v>166</v>
      </c>
      <c r="K616">
        <v>9962</v>
      </c>
      <c r="L616" t="s">
        <v>286</v>
      </c>
      <c r="M616">
        <v>3018725</v>
      </c>
      <c r="N616">
        <v>12</v>
      </c>
    </row>
    <row r="617" spans="2:14" hidden="1" x14ac:dyDescent="0.25">
      <c r="B617" t="s">
        <v>137</v>
      </c>
      <c r="C617" t="str">
        <f>_xlfn.XLOOKUP(B617,Tabla2[CODIGO],Tabla2[MATERIAL],"N/A",0)</f>
        <v>Fotocelda</v>
      </c>
      <c r="D617">
        <v>1</v>
      </c>
      <c r="E617" t="s">
        <v>42</v>
      </c>
      <c r="F617" t="s">
        <v>62</v>
      </c>
      <c r="G617" s="1">
        <v>46211</v>
      </c>
      <c r="I617" s="2"/>
      <c r="J617" t="s">
        <v>166</v>
      </c>
      <c r="K617">
        <v>9962</v>
      </c>
      <c r="L617" t="s">
        <v>286</v>
      </c>
      <c r="M617">
        <v>3018792</v>
      </c>
      <c r="N617">
        <v>1</v>
      </c>
    </row>
    <row r="618" spans="2:14" hidden="1" x14ac:dyDescent="0.25">
      <c r="B618" t="s">
        <v>137</v>
      </c>
      <c r="C618" t="str">
        <f>_xlfn.XLOOKUP(B618,Tabla2[CODIGO],Tabla2[MATERIAL],"N/A",0)</f>
        <v>Fotocelda</v>
      </c>
      <c r="D618">
        <v>1</v>
      </c>
      <c r="E618" t="s">
        <v>42</v>
      </c>
      <c r="F618" t="s">
        <v>62</v>
      </c>
      <c r="G618" s="1">
        <v>46211</v>
      </c>
      <c r="I618" s="2"/>
      <c r="J618" t="s">
        <v>166</v>
      </c>
      <c r="K618">
        <v>9962</v>
      </c>
      <c r="L618" t="s">
        <v>286</v>
      </c>
      <c r="M618">
        <v>3018784</v>
      </c>
      <c r="N618">
        <v>2</v>
      </c>
    </row>
    <row r="619" spans="2:14" hidden="1" x14ac:dyDescent="0.25">
      <c r="B619" t="s">
        <v>137</v>
      </c>
      <c r="C619" t="str">
        <f>_xlfn.XLOOKUP(B619,Tabla2[CODIGO],Tabla2[MATERIAL],"N/A",0)</f>
        <v>Fotocelda</v>
      </c>
      <c r="D619">
        <v>1</v>
      </c>
      <c r="E619" t="s">
        <v>42</v>
      </c>
      <c r="F619" t="s">
        <v>62</v>
      </c>
      <c r="G619" s="1">
        <v>46211</v>
      </c>
      <c r="I619" s="2"/>
      <c r="J619" t="s">
        <v>166</v>
      </c>
      <c r="K619">
        <v>9962</v>
      </c>
      <c r="L619" t="s">
        <v>286</v>
      </c>
      <c r="M619">
        <v>3018776</v>
      </c>
      <c r="N619">
        <v>3</v>
      </c>
    </row>
    <row r="620" spans="2:14" hidden="1" x14ac:dyDescent="0.25">
      <c r="B620" t="s">
        <v>137</v>
      </c>
      <c r="C620" t="str">
        <f>_xlfn.XLOOKUP(B620,Tabla2[CODIGO],Tabla2[MATERIAL],"N/A",0)</f>
        <v>Fotocelda</v>
      </c>
      <c r="D620">
        <v>1</v>
      </c>
      <c r="E620" t="s">
        <v>42</v>
      </c>
      <c r="F620" t="s">
        <v>62</v>
      </c>
      <c r="G620" s="1">
        <v>46211</v>
      </c>
      <c r="I620" s="2"/>
      <c r="J620" t="s">
        <v>166</v>
      </c>
      <c r="K620">
        <v>9962</v>
      </c>
      <c r="L620" t="s">
        <v>286</v>
      </c>
      <c r="M620">
        <v>3018750</v>
      </c>
      <c r="N620">
        <v>4</v>
      </c>
    </row>
    <row r="621" spans="2:14" hidden="1" x14ac:dyDescent="0.25">
      <c r="B621" t="s">
        <v>137</v>
      </c>
      <c r="C621" t="str">
        <f>_xlfn.XLOOKUP(B621,Tabla2[CODIGO],Tabla2[MATERIAL],"N/A",0)</f>
        <v>Fotocelda</v>
      </c>
      <c r="D621">
        <v>1</v>
      </c>
      <c r="E621" t="s">
        <v>42</v>
      </c>
      <c r="F621" t="s">
        <v>62</v>
      </c>
      <c r="G621" s="1">
        <v>46211</v>
      </c>
      <c r="I621" s="2"/>
      <c r="J621" t="s">
        <v>166</v>
      </c>
      <c r="K621">
        <v>9962</v>
      </c>
      <c r="L621" t="s">
        <v>286</v>
      </c>
      <c r="M621">
        <v>3018741</v>
      </c>
      <c r="N621">
        <v>5</v>
      </c>
    </row>
    <row r="622" spans="2:14" hidden="1" x14ac:dyDescent="0.25">
      <c r="B622" t="s">
        <v>137</v>
      </c>
      <c r="C622" t="str">
        <f>_xlfn.XLOOKUP(B622,Tabla2[CODIGO],Tabla2[MATERIAL],"N/A",0)</f>
        <v>Fotocelda</v>
      </c>
      <c r="D622">
        <v>1</v>
      </c>
      <c r="E622" t="s">
        <v>42</v>
      </c>
      <c r="F622" t="s">
        <v>62</v>
      </c>
      <c r="G622" s="1">
        <v>46211</v>
      </c>
      <c r="I622" s="2"/>
      <c r="J622" t="s">
        <v>166</v>
      </c>
      <c r="K622">
        <v>9962</v>
      </c>
      <c r="L622" t="s">
        <v>286</v>
      </c>
      <c r="M622">
        <v>3018733</v>
      </c>
      <c r="N622">
        <v>6</v>
      </c>
    </row>
    <row r="623" spans="2:14" hidden="1" x14ac:dyDescent="0.25">
      <c r="B623" t="s">
        <v>137</v>
      </c>
      <c r="C623" t="str">
        <f>_xlfn.XLOOKUP(B623,Tabla2[CODIGO],Tabla2[MATERIAL],"N/A",0)</f>
        <v>Fotocelda</v>
      </c>
      <c r="D623">
        <v>1</v>
      </c>
      <c r="E623" t="s">
        <v>42</v>
      </c>
      <c r="F623" t="s">
        <v>62</v>
      </c>
      <c r="G623" s="1">
        <v>46211</v>
      </c>
      <c r="I623" s="2"/>
      <c r="J623" t="s">
        <v>166</v>
      </c>
      <c r="K623">
        <v>9962</v>
      </c>
      <c r="L623" t="s">
        <v>286</v>
      </c>
      <c r="M623">
        <v>3018679</v>
      </c>
      <c r="N623">
        <v>7</v>
      </c>
    </row>
    <row r="624" spans="2:14" hidden="1" x14ac:dyDescent="0.25">
      <c r="B624" t="s">
        <v>137</v>
      </c>
      <c r="C624" t="str">
        <f>_xlfn.XLOOKUP(B624,Tabla2[CODIGO],Tabla2[MATERIAL],"N/A",0)</f>
        <v>Fotocelda</v>
      </c>
      <c r="D624">
        <v>1</v>
      </c>
      <c r="E624" t="s">
        <v>42</v>
      </c>
      <c r="F624" t="s">
        <v>62</v>
      </c>
      <c r="G624" s="1">
        <v>46211</v>
      </c>
      <c r="I624" s="2"/>
      <c r="J624" t="s">
        <v>166</v>
      </c>
      <c r="K624">
        <v>9962</v>
      </c>
      <c r="L624" t="s">
        <v>286</v>
      </c>
      <c r="M624">
        <v>3018687</v>
      </c>
      <c r="N624">
        <v>8</v>
      </c>
    </row>
    <row r="625" spans="2:14" hidden="1" x14ac:dyDescent="0.25">
      <c r="B625" t="s">
        <v>137</v>
      </c>
      <c r="C625" t="str">
        <f>_xlfn.XLOOKUP(B625,Tabla2[CODIGO],Tabla2[MATERIAL],"N/A",0)</f>
        <v>Fotocelda</v>
      </c>
      <c r="D625">
        <v>1</v>
      </c>
      <c r="E625" t="s">
        <v>42</v>
      </c>
      <c r="F625" t="s">
        <v>62</v>
      </c>
      <c r="G625" s="1">
        <v>46211</v>
      </c>
      <c r="I625" s="2"/>
      <c r="J625" t="s">
        <v>166</v>
      </c>
      <c r="K625">
        <v>9962</v>
      </c>
      <c r="L625" t="s">
        <v>286</v>
      </c>
      <c r="M625">
        <v>3018695</v>
      </c>
      <c r="N625">
        <v>9</v>
      </c>
    </row>
    <row r="626" spans="2:14" hidden="1" x14ac:dyDescent="0.25">
      <c r="B626" t="s">
        <v>137</v>
      </c>
      <c r="C626" t="str">
        <f>_xlfn.XLOOKUP(B626,Tabla2[CODIGO],Tabla2[MATERIAL],"N/A",0)</f>
        <v>Fotocelda</v>
      </c>
      <c r="D626">
        <v>1</v>
      </c>
      <c r="E626" t="s">
        <v>42</v>
      </c>
      <c r="F626" t="s">
        <v>62</v>
      </c>
      <c r="G626" s="1">
        <v>46211</v>
      </c>
      <c r="I626" s="2"/>
      <c r="J626" t="s">
        <v>166</v>
      </c>
      <c r="K626">
        <v>9962</v>
      </c>
      <c r="L626" t="s">
        <v>286</v>
      </c>
      <c r="M626">
        <v>3018709</v>
      </c>
      <c r="N626">
        <v>10</v>
      </c>
    </row>
    <row r="627" spans="2:14" hidden="1" x14ac:dyDescent="0.25">
      <c r="B627" t="s">
        <v>137</v>
      </c>
      <c r="C627" t="str">
        <f>_xlfn.XLOOKUP(B627,Tabla2[CODIGO],Tabla2[MATERIAL],"N/A",0)</f>
        <v>Fotocelda</v>
      </c>
      <c r="D627">
        <v>1</v>
      </c>
      <c r="E627" t="s">
        <v>42</v>
      </c>
      <c r="F627" t="s">
        <v>62</v>
      </c>
      <c r="G627" s="1">
        <v>46211</v>
      </c>
      <c r="I627" s="2"/>
      <c r="J627" t="s">
        <v>166</v>
      </c>
      <c r="K627">
        <v>9962</v>
      </c>
      <c r="L627" t="s">
        <v>286</v>
      </c>
      <c r="M627">
        <v>3018717</v>
      </c>
      <c r="N627">
        <v>11</v>
      </c>
    </row>
    <row r="628" spans="2:14" hidden="1" x14ac:dyDescent="0.25">
      <c r="B628" t="s">
        <v>137</v>
      </c>
      <c r="C628" t="str">
        <f>_xlfn.XLOOKUP(B628,Tabla2[CODIGO],Tabla2[MATERIAL],"N/A",0)</f>
        <v>Fotocelda</v>
      </c>
      <c r="D628">
        <v>1</v>
      </c>
      <c r="E628" t="s">
        <v>42</v>
      </c>
      <c r="F628" t="s">
        <v>62</v>
      </c>
      <c r="G628" s="1">
        <v>46211</v>
      </c>
      <c r="I628" s="2"/>
      <c r="J628" t="s">
        <v>166</v>
      </c>
      <c r="K628">
        <v>9962</v>
      </c>
      <c r="L628" t="s">
        <v>286</v>
      </c>
      <c r="M628">
        <v>3018725</v>
      </c>
      <c r="N628">
        <v>12</v>
      </c>
    </row>
    <row r="629" spans="2:14" hidden="1" x14ac:dyDescent="0.25">
      <c r="B629" t="s">
        <v>194</v>
      </c>
      <c r="C629" t="str">
        <f>_xlfn.XLOOKUP(B629,Tabla2[CODIGO],Tabla2[MATERIAL],"N/A",0)</f>
        <v>Cable TPX 2x4 1x4 awg</v>
      </c>
      <c r="D629">
        <v>130</v>
      </c>
      <c r="E629" t="s">
        <v>43</v>
      </c>
      <c r="F629" t="s">
        <v>62</v>
      </c>
      <c r="G629" s="1">
        <v>46211</v>
      </c>
      <c r="I629" s="2"/>
      <c r="J629" t="s">
        <v>166</v>
      </c>
      <c r="K629">
        <v>9962</v>
      </c>
      <c r="L629" t="s">
        <v>286</v>
      </c>
      <c r="M629" t="s">
        <v>287</v>
      </c>
    </row>
    <row r="630" spans="2:14" hidden="1" x14ac:dyDescent="0.25">
      <c r="B630" t="s">
        <v>194</v>
      </c>
      <c r="C630" t="str">
        <f>_xlfn.XLOOKUP(B630,Tabla2[CODIGO],Tabla2[MATERIAL],"N/A",0)</f>
        <v>Cable TPX 2x4 1x4 awg</v>
      </c>
      <c r="D630">
        <v>9</v>
      </c>
      <c r="E630" t="s">
        <v>43</v>
      </c>
      <c r="F630" t="s">
        <v>62</v>
      </c>
      <c r="G630" s="1">
        <v>46211</v>
      </c>
      <c r="I630" s="2"/>
      <c r="J630" t="s">
        <v>166</v>
      </c>
      <c r="K630">
        <v>9962</v>
      </c>
      <c r="L630" t="s">
        <v>286</v>
      </c>
      <c r="M630" t="s">
        <v>287</v>
      </c>
    </row>
    <row r="631" spans="2:14" hidden="1" x14ac:dyDescent="0.25">
      <c r="B631" t="s">
        <v>194</v>
      </c>
      <c r="C631" t="str">
        <f>_xlfn.XLOOKUP(B631,Tabla2[CODIGO],Tabla2[MATERIAL],"N/A",0)</f>
        <v>Cable TPX 2x4 1x4 awg</v>
      </c>
      <c r="D631">
        <v>56</v>
      </c>
      <c r="E631" t="s">
        <v>43</v>
      </c>
      <c r="F631" t="s">
        <v>62</v>
      </c>
      <c r="G631" s="1">
        <v>46211</v>
      </c>
      <c r="I631" s="2"/>
      <c r="J631" t="s">
        <v>166</v>
      </c>
      <c r="K631">
        <v>9962</v>
      </c>
      <c r="L631" t="s">
        <v>286</v>
      </c>
      <c r="M631" t="s">
        <v>287</v>
      </c>
    </row>
    <row r="632" spans="2:14" hidden="1" x14ac:dyDescent="0.25">
      <c r="B632" t="s">
        <v>194</v>
      </c>
      <c r="C632" t="str">
        <f>_xlfn.XLOOKUP(B632,Tabla2[CODIGO],Tabla2[MATERIAL],"N/A",0)</f>
        <v>Cable TPX 2x4 1x4 awg</v>
      </c>
      <c r="D632">
        <v>62</v>
      </c>
      <c r="E632" t="s">
        <v>43</v>
      </c>
      <c r="F632" t="s">
        <v>62</v>
      </c>
      <c r="G632" s="1">
        <v>46211</v>
      </c>
      <c r="I632" s="2"/>
      <c r="J632" t="s">
        <v>166</v>
      </c>
      <c r="K632">
        <v>9962</v>
      </c>
      <c r="L632" t="s">
        <v>286</v>
      </c>
      <c r="M632" t="s">
        <v>287</v>
      </c>
    </row>
    <row r="633" spans="2:14" hidden="1" x14ac:dyDescent="0.25">
      <c r="B633" t="s">
        <v>288</v>
      </c>
      <c r="C633" t="str">
        <f>_xlfn.XLOOKUP(B633,Tabla2[CODIGO],Tabla2[MATERIAL],"N/A",0)</f>
        <v>Kit puesta tierra acero inoxidable</v>
      </c>
      <c r="D633">
        <v>1</v>
      </c>
      <c r="E633" t="s">
        <v>42</v>
      </c>
      <c r="F633" t="s">
        <v>62</v>
      </c>
      <c r="G633" s="1">
        <v>46211</v>
      </c>
      <c r="I633" s="2"/>
      <c r="J633" t="s">
        <v>166</v>
      </c>
      <c r="K633">
        <v>9962</v>
      </c>
      <c r="L633" t="s">
        <v>286</v>
      </c>
      <c r="M633">
        <v>3018792</v>
      </c>
      <c r="N633">
        <v>1</v>
      </c>
    </row>
    <row r="634" spans="2:14" hidden="1" x14ac:dyDescent="0.25">
      <c r="B634" t="s">
        <v>288</v>
      </c>
      <c r="C634" t="str">
        <f>_xlfn.XLOOKUP(B634,Tabla2[CODIGO],Tabla2[MATERIAL],"N/A",0)</f>
        <v>Kit puesta tierra acero inoxidable</v>
      </c>
      <c r="D634">
        <v>1</v>
      </c>
      <c r="E634" t="s">
        <v>42</v>
      </c>
      <c r="F634" t="s">
        <v>62</v>
      </c>
      <c r="G634" s="1">
        <v>46211</v>
      </c>
      <c r="I634" s="2"/>
      <c r="J634" t="s">
        <v>166</v>
      </c>
      <c r="K634">
        <v>9962</v>
      </c>
      <c r="L634" t="s">
        <v>286</v>
      </c>
      <c r="M634">
        <v>3018741</v>
      </c>
      <c r="N634">
        <v>5</v>
      </c>
    </row>
    <row r="635" spans="2:14" hidden="1" x14ac:dyDescent="0.25">
      <c r="B635" t="s">
        <v>288</v>
      </c>
      <c r="C635" t="str">
        <f>_xlfn.XLOOKUP(B635,Tabla2[CODIGO],Tabla2[MATERIAL],"N/A",0)</f>
        <v>Kit puesta tierra acero inoxidable</v>
      </c>
      <c r="D635">
        <v>1</v>
      </c>
      <c r="E635" t="s">
        <v>42</v>
      </c>
      <c r="F635" t="s">
        <v>62</v>
      </c>
      <c r="G635" s="1">
        <v>46211</v>
      </c>
      <c r="I635" s="2"/>
      <c r="J635" t="s">
        <v>166</v>
      </c>
      <c r="K635">
        <v>9962</v>
      </c>
      <c r="L635" t="s">
        <v>286</v>
      </c>
      <c r="M635">
        <v>3018733</v>
      </c>
      <c r="N635">
        <v>6</v>
      </c>
    </row>
    <row r="636" spans="2:14" hidden="1" x14ac:dyDescent="0.25">
      <c r="B636" t="s">
        <v>288</v>
      </c>
      <c r="C636" t="str">
        <f>_xlfn.XLOOKUP(B636,Tabla2[CODIGO],Tabla2[MATERIAL],"N/A",0)</f>
        <v>Kit puesta tierra acero inoxidable</v>
      </c>
      <c r="D636">
        <v>1</v>
      </c>
      <c r="E636" t="s">
        <v>42</v>
      </c>
      <c r="F636" t="s">
        <v>62</v>
      </c>
      <c r="G636" s="1">
        <v>46211</v>
      </c>
      <c r="I636" s="2"/>
      <c r="J636" t="s">
        <v>166</v>
      </c>
      <c r="K636">
        <v>9962</v>
      </c>
      <c r="L636" t="s">
        <v>286</v>
      </c>
      <c r="M636">
        <v>3018687</v>
      </c>
      <c r="N636">
        <v>8</v>
      </c>
    </row>
    <row r="637" spans="2:14" hidden="1" x14ac:dyDescent="0.25">
      <c r="B637" t="s">
        <v>288</v>
      </c>
      <c r="C637" t="str">
        <f>_xlfn.XLOOKUP(B637,Tabla2[CODIGO],Tabla2[MATERIAL],"N/A",0)</f>
        <v>Kit puesta tierra acero inoxidable</v>
      </c>
      <c r="D637">
        <v>1</v>
      </c>
      <c r="E637" t="s">
        <v>42</v>
      </c>
      <c r="F637" t="s">
        <v>62</v>
      </c>
      <c r="G637" s="1">
        <v>46211</v>
      </c>
      <c r="I637" s="2"/>
      <c r="J637" t="s">
        <v>166</v>
      </c>
      <c r="K637">
        <v>9962</v>
      </c>
      <c r="L637" t="s">
        <v>286</v>
      </c>
      <c r="M637">
        <v>3018725</v>
      </c>
      <c r="N637">
        <v>12</v>
      </c>
    </row>
    <row r="638" spans="2:14" hidden="1" x14ac:dyDescent="0.25">
      <c r="B638" t="s">
        <v>50</v>
      </c>
      <c r="C638" t="str">
        <f>_xlfn.XLOOKUP(B638,Tabla2[CODIGO],Tabla2[MATERIAL],"N/A",0)</f>
        <v>Percha galv 1 puesto</v>
      </c>
      <c r="D638">
        <v>1</v>
      </c>
      <c r="E638" t="s">
        <v>42</v>
      </c>
      <c r="F638" t="s">
        <v>62</v>
      </c>
      <c r="G638" s="1">
        <v>46211</v>
      </c>
      <c r="I638" s="2"/>
      <c r="J638" t="s">
        <v>166</v>
      </c>
      <c r="K638">
        <v>9962</v>
      </c>
      <c r="L638" t="s">
        <v>286</v>
      </c>
      <c r="M638">
        <v>3018792</v>
      </c>
      <c r="N638">
        <v>1</v>
      </c>
    </row>
    <row r="639" spans="2:14" hidden="1" x14ac:dyDescent="0.25">
      <c r="B639" t="s">
        <v>50</v>
      </c>
      <c r="C639" t="str">
        <f>_xlfn.XLOOKUP(B639,Tabla2[CODIGO],Tabla2[MATERIAL],"N/A",0)</f>
        <v>Percha galv 1 puesto</v>
      </c>
      <c r="D639">
        <v>1</v>
      </c>
      <c r="E639" t="s">
        <v>42</v>
      </c>
      <c r="F639" t="s">
        <v>62</v>
      </c>
      <c r="G639" s="1">
        <v>46211</v>
      </c>
      <c r="I639" s="2"/>
      <c r="J639" t="s">
        <v>166</v>
      </c>
      <c r="K639">
        <v>9962</v>
      </c>
      <c r="L639" t="s">
        <v>286</v>
      </c>
      <c r="M639">
        <v>3018784</v>
      </c>
      <c r="N639">
        <v>2</v>
      </c>
    </row>
    <row r="640" spans="2:14" hidden="1" x14ac:dyDescent="0.25">
      <c r="B640" t="s">
        <v>50</v>
      </c>
      <c r="C640" t="str">
        <f>_xlfn.XLOOKUP(B640,Tabla2[CODIGO],Tabla2[MATERIAL],"N/A",0)</f>
        <v>Percha galv 1 puesto</v>
      </c>
      <c r="D640">
        <v>2</v>
      </c>
      <c r="E640" t="s">
        <v>42</v>
      </c>
      <c r="F640" t="s">
        <v>62</v>
      </c>
      <c r="G640" s="1">
        <v>46211</v>
      </c>
      <c r="I640" s="2"/>
      <c r="J640" t="s">
        <v>166</v>
      </c>
      <c r="K640">
        <v>9962</v>
      </c>
      <c r="L640" t="s">
        <v>286</v>
      </c>
      <c r="M640">
        <v>3018776</v>
      </c>
      <c r="N640">
        <v>3</v>
      </c>
    </row>
    <row r="641" spans="2:14" hidden="1" x14ac:dyDescent="0.25">
      <c r="B641" t="s">
        <v>50</v>
      </c>
      <c r="C641" t="str">
        <f>_xlfn.XLOOKUP(B641,Tabla2[CODIGO],Tabla2[MATERIAL],"N/A",0)</f>
        <v>Percha galv 1 puesto</v>
      </c>
      <c r="D641">
        <v>1</v>
      </c>
      <c r="E641" t="s">
        <v>42</v>
      </c>
      <c r="F641" t="s">
        <v>62</v>
      </c>
      <c r="G641" s="1">
        <v>46211</v>
      </c>
      <c r="I641" s="2"/>
      <c r="J641" t="s">
        <v>166</v>
      </c>
      <c r="K641">
        <v>9962</v>
      </c>
      <c r="L641" t="s">
        <v>286</v>
      </c>
      <c r="M641">
        <v>3018750</v>
      </c>
      <c r="N641">
        <v>4</v>
      </c>
    </row>
    <row r="642" spans="2:14" hidden="1" x14ac:dyDescent="0.25">
      <c r="B642" t="s">
        <v>50</v>
      </c>
      <c r="C642" t="str">
        <f>_xlfn.XLOOKUP(B642,Tabla2[CODIGO],Tabla2[MATERIAL],"N/A",0)</f>
        <v>Percha galv 1 puesto</v>
      </c>
      <c r="D642">
        <v>1</v>
      </c>
      <c r="E642" t="s">
        <v>42</v>
      </c>
      <c r="F642" t="s">
        <v>62</v>
      </c>
      <c r="G642" s="1">
        <v>46211</v>
      </c>
      <c r="I642" s="2"/>
      <c r="J642" t="s">
        <v>166</v>
      </c>
      <c r="K642">
        <v>9962</v>
      </c>
      <c r="L642" t="s">
        <v>286</v>
      </c>
      <c r="M642">
        <v>3018741</v>
      </c>
      <c r="N642">
        <v>5</v>
      </c>
    </row>
    <row r="643" spans="2:14" hidden="1" x14ac:dyDescent="0.25">
      <c r="B643" t="s">
        <v>50</v>
      </c>
      <c r="C643" t="str">
        <f>_xlfn.XLOOKUP(B643,Tabla2[CODIGO],Tabla2[MATERIAL],"N/A",0)</f>
        <v>Percha galv 1 puesto</v>
      </c>
      <c r="D643">
        <v>2</v>
      </c>
      <c r="E643" t="s">
        <v>42</v>
      </c>
      <c r="F643" t="s">
        <v>62</v>
      </c>
      <c r="G643" s="1">
        <v>46211</v>
      </c>
      <c r="I643" s="2"/>
      <c r="J643" t="s">
        <v>166</v>
      </c>
      <c r="K643">
        <v>9962</v>
      </c>
      <c r="L643" t="s">
        <v>286</v>
      </c>
      <c r="M643">
        <v>3018733</v>
      </c>
      <c r="N643">
        <v>6</v>
      </c>
    </row>
    <row r="644" spans="2:14" hidden="1" x14ac:dyDescent="0.25">
      <c r="B644" t="s">
        <v>50</v>
      </c>
      <c r="C644" t="str">
        <f>_xlfn.XLOOKUP(B644,Tabla2[CODIGO],Tabla2[MATERIAL],"N/A",0)</f>
        <v>Percha galv 1 puesto</v>
      </c>
      <c r="D644">
        <v>1</v>
      </c>
      <c r="E644" t="s">
        <v>42</v>
      </c>
      <c r="F644" t="s">
        <v>62</v>
      </c>
      <c r="G644" s="1">
        <v>46211</v>
      </c>
      <c r="I644" s="2"/>
      <c r="J644" t="s">
        <v>166</v>
      </c>
      <c r="K644">
        <v>9962</v>
      </c>
      <c r="L644" t="s">
        <v>286</v>
      </c>
      <c r="M644">
        <v>3018679</v>
      </c>
      <c r="N644">
        <v>7</v>
      </c>
    </row>
    <row r="645" spans="2:14" hidden="1" x14ac:dyDescent="0.25">
      <c r="B645" t="s">
        <v>50</v>
      </c>
      <c r="C645" t="str">
        <f>_xlfn.XLOOKUP(B645,Tabla2[CODIGO],Tabla2[MATERIAL],"N/A",0)</f>
        <v>Percha galv 1 puesto</v>
      </c>
      <c r="D645">
        <v>1</v>
      </c>
      <c r="E645" t="s">
        <v>42</v>
      </c>
      <c r="F645" t="s">
        <v>62</v>
      </c>
      <c r="G645" s="1">
        <v>46211</v>
      </c>
      <c r="I645" s="2"/>
      <c r="J645" t="s">
        <v>166</v>
      </c>
      <c r="K645">
        <v>9962</v>
      </c>
      <c r="L645" t="s">
        <v>286</v>
      </c>
      <c r="M645">
        <v>3018687</v>
      </c>
      <c r="N645">
        <v>8</v>
      </c>
    </row>
    <row r="646" spans="2:14" hidden="1" x14ac:dyDescent="0.25">
      <c r="B646" t="s">
        <v>50</v>
      </c>
      <c r="C646" t="str">
        <f>_xlfn.XLOOKUP(B646,Tabla2[CODIGO],Tabla2[MATERIAL],"N/A",0)</f>
        <v>Percha galv 1 puesto</v>
      </c>
      <c r="D646">
        <v>1</v>
      </c>
      <c r="E646" t="s">
        <v>42</v>
      </c>
      <c r="F646" t="s">
        <v>62</v>
      </c>
      <c r="G646" s="1">
        <v>46211</v>
      </c>
      <c r="I646" s="2"/>
      <c r="J646" t="s">
        <v>166</v>
      </c>
      <c r="K646">
        <v>9962</v>
      </c>
      <c r="L646" t="s">
        <v>286</v>
      </c>
      <c r="M646">
        <v>3018695</v>
      </c>
      <c r="N646">
        <v>9</v>
      </c>
    </row>
    <row r="647" spans="2:14" hidden="1" x14ac:dyDescent="0.25">
      <c r="B647" t="s">
        <v>50</v>
      </c>
      <c r="C647" t="str">
        <f>_xlfn.XLOOKUP(B647,Tabla2[CODIGO],Tabla2[MATERIAL],"N/A",0)</f>
        <v>Percha galv 1 puesto</v>
      </c>
      <c r="D647">
        <v>1</v>
      </c>
      <c r="E647" t="s">
        <v>42</v>
      </c>
      <c r="F647" t="s">
        <v>62</v>
      </c>
      <c r="G647" s="1">
        <v>46211</v>
      </c>
      <c r="I647" s="2"/>
      <c r="J647" t="s">
        <v>166</v>
      </c>
      <c r="K647">
        <v>9962</v>
      </c>
      <c r="L647" t="s">
        <v>286</v>
      </c>
      <c r="M647">
        <v>3018709</v>
      </c>
      <c r="N647">
        <v>10</v>
      </c>
    </row>
    <row r="648" spans="2:14" hidden="1" x14ac:dyDescent="0.25">
      <c r="B648" t="s">
        <v>50</v>
      </c>
      <c r="C648" t="str">
        <f>_xlfn.XLOOKUP(B648,Tabla2[CODIGO],Tabla2[MATERIAL],"N/A",0)</f>
        <v>Percha galv 1 puesto</v>
      </c>
      <c r="D648">
        <v>1</v>
      </c>
      <c r="E648" t="s">
        <v>42</v>
      </c>
      <c r="F648" t="s">
        <v>62</v>
      </c>
      <c r="G648" s="1">
        <v>46211</v>
      </c>
      <c r="I648" s="2"/>
      <c r="J648" t="s">
        <v>166</v>
      </c>
      <c r="K648">
        <v>9962</v>
      </c>
      <c r="L648" t="s">
        <v>286</v>
      </c>
      <c r="M648">
        <v>3018717</v>
      </c>
      <c r="N648">
        <v>11</v>
      </c>
    </row>
    <row r="649" spans="2:14" hidden="1" x14ac:dyDescent="0.25">
      <c r="B649" t="s">
        <v>50</v>
      </c>
      <c r="C649" t="str">
        <f>_xlfn.XLOOKUP(B649,Tabla2[CODIGO],Tabla2[MATERIAL],"N/A",0)</f>
        <v>Percha galv 1 puesto</v>
      </c>
      <c r="D649">
        <v>1</v>
      </c>
      <c r="E649" t="s">
        <v>42</v>
      </c>
      <c r="F649" t="s">
        <v>62</v>
      </c>
      <c r="G649" s="1">
        <v>46211</v>
      </c>
      <c r="I649" s="2"/>
      <c r="J649" t="s">
        <v>166</v>
      </c>
      <c r="K649">
        <v>9962</v>
      </c>
      <c r="L649" t="s">
        <v>286</v>
      </c>
      <c r="M649">
        <v>3018725</v>
      </c>
      <c r="N649">
        <v>12</v>
      </c>
    </row>
    <row r="650" spans="2:14" hidden="1" x14ac:dyDescent="0.25">
      <c r="B650" t="s">
        <v>56</v>
      </c>
      <c r="C650" t="str">
        <f>_xlfn.XLOOKUP(B650,Tabla2[CODIGO],Tabla2[MATERIAL],"N/A",0)</f>
        <v>Aislador Carrreto</v>
      </c>
      <c r="D650">
        <v>1</v>
      </c>
      <c r="E650" t="s">
        <v>42</v>
      </c>
      <c r="F650" t="s">
        <v>62</v>
      </c>
      <c r="G650" s="1">
        <v>46211</v>
      </c>
      <c r="I650" s="2"/>
      <c r="J650" t="s">
        <v>166</v>
      </c>
      <c r="K650">
        <v>9962</v>
      </c>
      <c r="L650" t="s">
        <v>286</v>
      </c>
      <c r="M650">
        <v>3018792</v>
      </c>
      <c r="N650">
        <v>1</v>
      </c>
    </row>
    <row r="651" spans="2:14" hidden="1" x14ac:dyDescent="0.25">
      <c r="B651" t="s">
        <v>56</v>
      </c>
      <c r="C651" t="str">
        <f>_xlfn.XLOOKUP(B651,Tabla2[CODIGO],Tabla2[MATERIAL],"N/A",0)</f>
        <v>Aislador Carrreto</v>
      </c>
      <c r="D651">
        <v>1</v>
      </c>
      <c r="E651" t="s">
        <v>42</v>
      </c>
      <c r="F651" t="s">
        <v>62</v>
      </c>
      <c r="G651" s="1">
        <v>46211</v>
      </c>
      <c r="I651" s="2"/>
      <c r="J651" t="s">
        <v>166</v>
      </c>
      <c r="K651">
        <v>9962</v>
      </c>
      <c r="L651" t="s">
        <v>286</v>
      </c>
      <c r="M651">
        <v>3018784</v>
      </c>
      <c r="N651">
        <v>2</v>
      </c>
    </row>
    <row r="652" spans="2:14" hidden="1" x14ac:dyDescent="0.25">
      <c r="B652" t="s">
        <v>56</v>
      </c>
      <c r="C652" t="str">
        <f>_xlfn.XLOOKUP(B652,Tabla2[CODIGO],Tabla2[MATERIAL],"N/A",0)</f>
        <v>Aislador Carrreto</v>
      </c>
      <c r="D652">
        <v>2</v>
      </c>
      <c r="E652" t="s">
        <v>42</v>
      </c>
      <c r="F652" t="s">
        <v>62</v>
      </c>
      <c r="G652" s="1">
        <v>46211</v>
      </c>
      <c r="I652" s="2"/>
      <c r="J652" t="s">
        <v>166</v>
      </c>
      <c r="K652">
        <v>9962</v>
      </c>
      <c r="L652" t="s">
        <v>286</v>
      </c>
      <c r="M652">
        <v>3018776</v>
      </c>
      <c r="N652">
        <v>3</v>
      </c>
    </row>
    <row r="653" spans="2:14" hidden="1" x14ac:dyDescent="0.25">
      <c r="B653" t="s">
        <v>56</v>
      </c>
      <c r="C653" t="str">
        <f>_xlfn.XLOOKUP(B653,Tabla2[CODIGO],Tabla2[MATERIAL],"N/A",0)</f>
        <v>Aislador Carrreto</v>
      </c>
      <c r="D653">
        <v>1</v>
      </c>
      <c r="E653" t="s">
        <v>42</v>
      </c>
      <c r="F653" t="s">
        <v>62</v>
      </c>
      <c r="G653" s="1">
        <v>46211</v>
      </c>
      <c r="I653" s="2"/>
      <c r="J653" t="s">
        <v>166</v>
      </c>
      <c r="K653">
        <v>9962</v>
      </c>
      <c r="L653" t="s">
        <v>286</v>
      </c>
      <c r="M653">
        <v>3018750</v>
      </c>
      <c r="N653">
        <v>4</v>
      </c>
    </row>
    <row r="654" spans="2:14" hidden="1" x14ac:dyDescent="0.25">
      <c r="B654" t="s">
        <v>56</v>
      </c>
      <c r="C654" t="str">
        <f>_xlfn.XLOOKUP(B654,Tabla2[CODIGO],Tabla2[MATERIAL],"N/A",0)</f>
        <v>Aislador Carrreto</v>
      </c>
      <c r="D654">
        <v>1</v>
      </c>
      <c r="E654" t="s">
        <v>42</v>
      </c>
      <c r="F654" t="s">
        <v>62</v>
      </c>
      <c r="G654" s="1">
        <v>46211</v>
      </c>
      <c r="I654" s="2"/>
      <c r="J654" t="s">
        <v>166</v>
      </c>
      <c r="K654">
        <v>9962</v>
      </c>
      <c r="L654" t="s">
        <v>286</v>
      </c>
      <c r="M654">
        <v>3018741</v>
      </c>
      <c r="N654">
        <v>5</v>
      </c>
    </row>
    <row r="655" spans="2:14" hidden="1" x14ac:dyDescent="0.25">
      <c r="B655" t="s">
        <v>56</v>
      </c>
      <c r="C655" t="str">
        <f>_xlfn.XLOOKUP(B655,Tabla2[CODIGO],Tabla2[MATERIAL],"N/A",0)</f>
        <v>Aislador Carrreto</v>
      </c>
      <c r="D655">
        <v>2</v>
      </c>
      <c r="E655" t="s">
        <v>42</v>
      </c>
      <c r="F655" t="s">
        <v>62</v>
      </c>
      <c r="G655" s="1">
        <v>46211</v>
      </c>
      <c r="I655" s="2"/>
      <c r="J655" t="s">
        <v>166</v>
      </c>
      <c r="K655">
        <v>9962</v>
      </c>
      <c r="L655" t="s">
        <v>286</v>
      </c>
      <c r="M655">
        <v>3018733</v>
      </c>
      <c r="N655">
        <v>6</v>
      </c>
    </row>
    <row r="656" spans="2:14" hidden="1" x14ac:dyDescent="0.25">
      <c r="B656" t="s">
        <v>56</v>
      </c>
      <c r="C656" t="str">
        <f>_xlfn.XLOOKUP(B656,Tabla2[CODIGO],Tabla2[MATERIAL],"N/A",0)</f>
        <v>Aislador Carrreto</v>
      </c>
      <c r="D656">
        <v>1</v>
      </c>
      <c r="E656" t="s">
        <v>42</v>
      </c>
      <c r="F656" t="s">
        <v>62</v>
      </c>
      <c r="G656" s="1">
        <v>46211</v>
      </c>
      <c r="I656" s="2"/>
      <c r="J656" t="s">
        <v>166</v>
      </c>
      <c r="K656">
        <v>9962</v>
      </c>
      <c r="L656" t="s">
        <v>286</v>
      </c>
      <c r="M656">
        <v>3018679</v>
      </c>
      <c r="N656">
        <v>7</v>
      </c>
    </row>
    <row r="657" spans="2:14" hidden="1" x14ac:dyDescent="0.25">
      <c r="B657" t="s">
        <v>56</v>
      </c>
      <c r="C657" t="str">
        <f>_xlfn.XLOOKUP(B657,Tabla2[CODIGO],Tabla2[MATERIAL],"N/A",0)</f>
        <v>Aislador Carrreto</v>
      </c>
      <c r="D657">
        <v>1</v>
      </c>
      <c r="E657" t="s">
        <v>42</v>
      </c>
      <c r="F657" t="s">
        <v>62</v>
      </c>
      <c r="G657" s="1">
        <v>46211</v>
      </c>
      <c r="I657" s="2"/>
      <c r="J657" t="s">
        <v>166</v>
      </c>
      <c r="K657">
        <v>9962</v>
      </c>
      <c r="L657" t="s">
        <v>286</v>
      </c>
      <c r="M657">
        <v>3018687</v>
      </c>
      <c r="N657">
        <v>8</v>
      </c>
    </row>
    <row r="658" spans="2:14" hidden="1" x14ac:dyDescent="0.25">
      <c r="B658" t="s">
        <v>56</v>
      </c>
      <c r="C658" t="str">
        <f>_xlfn.XLOOKUP(B658,Tabla2[CODIGO],Tabla2[MATERIAL],"N/A",0)</f>
        <v>Aislador Carrreto</v>
      </c>
      <c r="D658">
        <v>1</v>
      </c>
      <c r="E658" t="s">
        <v>42</v>
      </c>
      <c r="F658" t="s">
        <v>62</v>
      </c>
      <c r="G658" s="1">
        <v>46211</v>
      </c>
      <c r="I658" s="2"/>
      <c r="J658" t="s">
        <v>166</v>
      </c>
      <c r="K658">
        <v>9962</v>
      </c>
      <c r="L658" t="s">
        <v>286</v>
      </c>
      <c r="M658">
        <v>3018695</v>
      </c>
      <c r="N658">
        <v>9</v>
      </c>
    </row>
    <row r="659" spans="2:14" hidden="1" x14ac:dyDescent="0.25">
      <c r="B659" t="s">
        <v>56</v>
      </c>
      <c r="C659" t="str">
        <f>_xlfn.XLOOKUP(B659,Tabla2[CODIGO],Tabla2[MATERIAL],"N/A",0)</f>
        <v>Aislador Carrreto</v>
      </c>
      <c r="D659">
        <v>1</v>
      </c>
      <c r="E659" t="s">
        <v>42</v>
      </c>
      <c r="F659" t="s">
        <v>62</v>
      </c>
      <c r="G659" s="1">
        <v>46211</v>
      </c>
      <c r="I659" s="2"/>
      <c r="J659" t="s">
        <v>166</v>
      </c>
      <c r="K659">
        <v>9962</v>
      </c>
      <c r="L659" t="s">
        <v>286</v>
      </c>
      <c r="M659">
        <v>3018709</v>
      </c>
      <c r="N659">
        <v>10</v>
      </c>
    </row>
    <row r="660" spans="2:14" hidden="1" x14ac:dyDescent="0.25">
      <c r="B660" t="s">
        <v>56</v>
      </c>
      <c r="C660" t="str">
        <f>_xlfn.XLOOKUP(B660,Tabla2[CODIGO],Tabla2[MATERIAL],"N/A",0)</f>
        <v>Aislador Carrreto</v>
      </c>
      <c r="D660">
        <v>1</v>
      </c>
      <c r="E660" t="s">
        <v>42</v>
      </c>
      <c r="F660" t="s">
        <v>62</v>
      </c>
      <c r="G660" s="1">
        <v>46211</v>
      </c>
      <c r="I660" s="2"/>
      <c r="J660" t="s">
        <v>166</v>
      </c>
      <c r="K660">
        <v>9962</v>
      </c>
      <c r="L660" t="s">
        <v>286</v>
      </c>
      <c r="M660">
        <v>3018717</v>
      </c>
      <c r="N660">
        <v>11</v>
      </c>
    </row>
    <row r="661" spans="2:14" hidden="1" x14ac:dyDescent="0.25">
      <c r="B661" t="s">
        <v>56</v>
      </c>
      <c r="C661" t="str">
        <f>_xlfn.XLOOKUP(B661,Tabla2[CODIGO],Tabla2[MATERIAL],"N/A",0)</f>
        <v>Aislador Carrreto</v>
      </c>
      <c r="D661">
        <v>1</v>
      </c>
      <c r="E661" t="s">
        <v>42</v>
      </c>
      <c r="F661" t="s">
        <v>62</v>
      </c>
      <c r="G661" s="1">
        <v>46211</v>
      </c>
      <c r="I661" s="2"/>
      <c r="J661" t="s">
        <v>166</v>
      </c>
      <c r="K661">
        <v>9962</v>
      </c>
      <c r="L661" t="s">
        <v>286</v>
      </c>
      <c r="M661">
        <v>3018725</v>
      </c>
      <c r="N661">
        <v>12</v>
      </c>
    </row>
    <row r="662" spans="2:14" hidden="1" x14ac:dyDescent="0.25">
      <c r="B662" t="s">
        <v>271</v>
      </c>
      <c r="C662" t="str">
        <f>_xlfn.XLOOKUP(B662,Tabla2[CODIGO],Tabla2[MATERIAL],"N/A",0)</f>
        <v>Abrazadera tipo corona 7"</v>
      </c>
      <c r="D662">
        <v>1</v>
      </c>
      <c r="E662" t="s">
        <v>42</v>
      </c>
      <c r="F662" t="s">
        <v>62</v>
      </c>
      <c r="G662" s="1">
        <v>46211</v>
      </c>
      <c r="I662" s="2"/>
      <c r="J662" t="s">
        <v>166</v>
      </c>
      <c r="K662">
        <v>9962</v>
      </c>
      <c r="L662" t="s">
        <v>286</v>
      </c>
      <c r="M662">
        <v>3018687</v>
      </c>
      <c r="N662">
        <v>8</v>
      </c>
    </row>
    <row r="663" spans="2:14" hidden="1" x14ac:dyDescent="0.25">
      <c r="B663" t="s">
        <v>271</v>
      </c>
      <c r="C663" t="str">
        <f>_xlfn.XLOOKUP(B663,Tabla2[CODIGO],Tabla2[MATERIAL],"N/A",0)</f>
        <v>Abrazadera tipo corona 7"</v>
      </c>
      <c r="D663">
        <v>1</v>
      </c>
      <c r="E663" t="s">
        <v>42</v>
      </c>
      <c r="F663" t="s">
        <v>62</v>
      </c>
      <c r="G663" s="1">
        <v>46211</v>
      </c>
      <c r="I663" s="2"/>
      <c r="J663" t="s">
        <v>166</v>
      </c>
      <c r="K663">
        <v>9962</v>
      </c>
      <c r="L663" t="s">
        <v>286</v>
      </c>
      <c r="M663">
        <v>3018725</v>
      </c>
      <c r="N663">
        <v>12</v>
      </c>
    </row>
    <row r="664" spans="2:14" hidden="1" x14ac:dyDescent="0.25">
      <c r="B664" t="s">
        <v>259</v>
      </c>
      <c r="C664" t="str">
        <f>_xlfn.XLOOKUP(B664,Tabla2[CODIGO],Tabla2[MATERIAL],"N/A",0)</f>
        <v>Abrazadera sin salida 6"</v>
      </c>
      <c r="D664">
        <v>1</v>
      </c>
      <c r="E664" t="s">
        <v>42</v>
      </c>
      <c r="F664" t="s">
        <v>62</v>
      </c>
      <c r="G664" s="1">
        <v>46211</v>
      </c>
      <c r="I664" s="2"/>
      <c r="J664" t="s">
        <v>166</v>
      </c>
      <c r="K664">
        <v>9962</v>
      </c>
      <c r="L664" t="s">
        <v>286</v>
      </c>
      <c r="M664">
        <v>3018792</v>
      </c>
      <c r="N664">
        <v>1</v>
      </c>
    </row>
    <row r="665" spans="2:14" hidden="1" x14ac:dyDescent="0.25">
      <c r="B665" t="s">
        <v>259</v>
      </c>
      <c r="C665" t="str">
        <f>_xlfn.XLOOKUP(B665,Tabla2[CODIGO],Tabla2[MATERIAL],"N/A",0)</f>
        <v>Abrazadera sin salida 6"</v>
      </c>
      <c r="D665">
        <v>1</v>
      </c>
      <c r="E665" t="s">
        <v>42</v>
      </c>
      <c r="F665" t="s">
        <v>62</v>
      </c>
      <c r="G665" s="1">
        <v>46211</v>
      </c>
      <c r="I665" s="2"/>
      <c r="J665" t="s">
        <v>166</v>
      </c>
      <c r="K665">
        <v>9962</v>
      </c>
      <c r="L665" t="s">
        <v>286</v>
      </c>
      <c r="M665">
        <v>3018784</v>
      </c>
      <c r="N665">
        <v>2</v>
      </c>
    </row>
    <row r="666" spans="2:14" hidden="1" x14ac:dyDescent="0.25">
      <c r="B666" t="s">
        <v>259</v>
      </c>
      <c r="C666" t="str">
        <f>_xlfn.XLOOKUP(B666,Tabla2[CODIGO],Tabla2[MATERIAL],"N/A",0)</f>
        <v>Abrazadera sin salida 6"</v>
      </c>
      <c r="D666">
        <v>1</v>
      </c>
      <c r="E666" t="s">
        <v>42</v>
      </c>
      <c r="F666" t="s">
        <v>62</v>
      </c>
      <c r="G666" s="1">
        <v>46211</v>
      </c>
      <c r="I666" s="2"/>
      <c r="J666" t="s">
        <v>166</v>
      </c>
      <c r="K666">
        <v>9962</v>
      </c>
      <c r="L666" t="s">
        <v>286</v>
      </c>
      <c r="M666">
        <v>3018776</v>
      </c>
      <c r="N666">
        <v>3</v>
      </c>
    </row>
    <row r="667" spans="2:14" hidden="1" x14ac:dyDescent="0.25">
      <c r="B667" t="s">
        <v>259</v>
      </c>
      <c r="C667" t="str">
        <f>_xlfn.XLOOKUP(B667,Tabla2[CODIGO],Tabla2[MATERIAL],"N/A",0)</f>
        <v>Abrazadera sin salida 6"</v>
      </c>
      <c r="D667">
        <v>1</v>
      </c>
      <c r="E667" t="s">
        <v>42</v>
      </c>
      <c r="F667" t="s">
        <v>62</v>
      </c>
      <c r="G667" s="1">
        <v>46211</v>
      </c>
      <c r="I667" s="2"/>
      <c r="J667" t="s">
        <v>166</v>
      </c>
      <c r="K667">
        <v>9962</v>
      </c>
      <c r="L667" t="s">
        <v>286</v>
      </c>
      <c r="M667">
        <v>3018750</v>
      </c>
      <c r="N667">
        <v>4</v>
      </c>
    </row>
    <row r="668" spans="2:14" hidden="1" x14ac:dyDescent="0.25">
      <c r="B668" t="s">
        <v>259</v>
      </c>
      <c r="C668" t="str">
        <f>_xlfn.XLOOKUP(B668,Tabla2[CODIGO],Tabla2[MATERIAL],"N/A",0)</f>
        <v>Abrazadera sin salida 6"</v>
      </c>
      <c r="D668">
        <v>1</v>
      </c>
      <c r="E668" t="s">
        <v>42</v>
      </c>
      <c r="F668" t="s">
        <v>62</v>
      </c>
      <c r="G668" s="1">
        <v>46211</v>
      </c>
      <c r="I668" s="2"/>
      <c r="J668" t="s">
        <v>166</v>
      </c>
      <c r="K668">
        <v>9962</v>
      </c>
      <c r="L668" t="s">
        <v>286</v>
      </c>
      <c r="M668">
        <v>3018741</v>
      </c>
      <c r="N668">
        <v>5</v>
      </c>
    </row>
    <row r="669" spans="2:14" hidden="1" x14ac:dyDescent="0.25">
      <c r="B669" t="s">
        <v>259</v>
      </c>
      <c r="C669" t="str">
        <f>_xlfn.XLOOKUP(B669,Tabla2[CODIGO],Tabla2[MATERIAL],"N/A",0)</f>
        <v>Abrazadera sin salida 6"</v>
      </c>
      <c r="D669">
        <v>1</v>
      </c>
      <c r="E669" t="s">
        <v>42</v>
      </c>
      <c r="F669" t="s">
        <v>62</v>
      </c>
      <c r="G669" s="1">
        <v>46211</v>
      </c>
      <c r="I669" s="2"/>
      <c r="J669" t="s">
        <v>166</v>
      </c>
      <c r="K669">
        <v>9962</v>
      </c>
      <c r="L669" t="s">
        <v>286</v>
      </c>
      <c r="M669">
        <v>3018733</v>
      </c>
      <c r="N669">
        <v>6</v>
      </c>
    </row>
    <row r="670" spans="2:14" hidden="1" x14ac:dyDescent="0.25">
      <c r="B670" t="s">
        <v>259</v>
      </c>
      <c r="C670" t="str">
        <f>_xlfn.XLOOKUP(B670,Tabla2[CODIGO],Tabla2[MATERIAL],"N/A",0)</f>
        <v>Abrazadera sin salida 6"</v>
      </c>
      <c r="D670">
        <v>1</v>
      </c>
      <c r="E670" t="s">
        <v>42</v>
      </c>
      <c r="F670" t="s">
        <v>62</v>
      </c>
      <c r="G670" s="1">
        <v>46211</v>
      </c>
      <c r="I670" s="2"/>
      <c r="J670" t="s">
        <v>166</v>
      </c>
      <c r="K670">
        <v>9962</v>
      </c>
      <c r="L670" t="s">
        <v>286</v>
      </c>
      <c r="M670">
        <v>3018679</v>
      </c>
      <c r="N670">
        <v>7</v>
      </c>
    </row>
    <row r="671" spans="2:14" hidden="1" x14ac:dyDescent="0.25">
      <c r="B671" t="s">
        <v>259</v>
      </c>
      <c r="C671" t="str">
        <f>_xlfn.XLOOKUP(B671,Tabla2[CODIGO],Tabla2[MATERIAL],"N/A",0)</f>
        <v>Abrazadera sin salida 6"</v>
      </c>
      <c r="D671">
        <v>1</v>
      </c>
      <c r="E671" t="s">
        <v>42</v>
      </c>
      <c r="F671" t="s">
        <v>62</v>
      </c>
      <c r="G671" s="1">
        <v>46211</v>
      </c>
      <c r="I671" s="2"/>
      <c r="J671" t="s">
        <v>166</v>
      </c>
      <c r="K671">
        <v>9962</v>
      </c>
      <c r="L671" t="s">
        <v>286</v>
      </c>
      <c r="M671">
        <v>3018687</v>
      </c>
      <c r="N671">
        <v>8</v>
      </c>
    </row>
    <row r="672" spans="2:14" hidden="1" x14ac:dyDescent="0.25">
      <c r="B672" t="s">
        <v>259</v>
      </c>
      <c r="C672" t="str">
        <f>_xlfn.XLOOKUP(B672,Tabla2[CODIGO],Tabla2[MATERIAL],"N/A",0)</f>
        <v>Abrazadera sin salida 6"</v>
      </c>
      <c r="D672">
        <v>1</v>
      </c>
      <c r="E672" t="s">
        <v>42</v>
      </c>
      <c r="F672" t="s">
        <v>62</v>
      </c>
      <c r="G672" s="1">
        <v>46211</v>
      </c>
      <c r="I672" s="2"/>
      <c r="J672" t="s">
        <v>166</v>
      </c>
      <c r="K672">
        <v>9962</v>
      </c>
      <c r="L672" t="s">
        <v>286</v>
      </c>
      <c r="M672">
        <v>3018695</v>
      </c>
      <c r="N672">
        <v>9</v>
      </c>
    </row>
    <row r="673" spans="2:14" hidden="1" x14ac:dyDescent="0.25">
      <c r="B673" t="s">
        <v>259</v>
      </c>
      <c r="C673" t="str">
        <f>_xlfn.XLOOKUP(B673,Tabla2[CODIGO],Tabla2[MATERIAL],"N/A",0)</f>
        <v>Abrazadera sin salida 6"</v>
      </c>
      <c r="D673">
        <v>1</v>
      </c>
      <c r="E673" t="s">
        <v>42</v>
      </c>
      <c r="F673" t="s">
        <v>62</v>
      </c>
      <c r="G673" s="1">
        <v>46211</v>
      </c>
      <c r="I673" s="2"/>
      <c r="J673" t="s">
        <v>166</v>
      </c>
      <c r="K673">
        <v>9962</v>
      </c>
      <c r="L673" t="s">
        <v>286</v>
      </c>
      <c r="M673">
        <v>3018709</v>
      </c>
      <c r="N673">
        <v>10</v>
      </c>
    </row>
    <row r="674" spans="2:14" hidden="1" x14ac:dyDescent="0.25">
      <c r="B674" t="s">
        <v>259</v>
      </c>
      <c r="C674" t="str">
        <f>_xlfn.XLOOKUP(B674,Tabla2[CODIGO],Tabla2[MATERIAL],"N/A",0)</f>
        <v>Abrazadera sin salida 6"</v>
      </c>
      <c r="D674">
        <v>1</v>
      </c>
      <c r="E674" t="s">
        <v>42</v>
      </c>
      <c r="F674" t="s">
        <v>62</v>
      </c>
      <c r="G674" s="1">
        <v>46211</v>
      </c>
      <c r="I674" s="2"/>
      <c r="J674" t="s">
        <v>166</v>
      </c>
      <c r="K674">
        <v>9962</v>
      </c>
      <c r="L674" t="s">
        <v>286</v>
      </c>
      <c r="M674">
        <v>3018717</v>
      </c>
      <c r="N674">
        <v>11</v>
      </c>
    </row>
    <row r="675" spans="2:14" hidden="1" x14ac:dyDescent="0.25">
      <c r="B675" t="s">
        <v>259</v>
      </c>
      <c r="C675" t="str">
        <f>_xlfn.XLOOKUP(B675,Tabla2[CODIGO],Tabla2[MATERIAL],"N/A",0)</f>
        <v>Abrazadera sin salida 6"</v>
      </c>
      <c r="D675">
        <v>1</v>
      </c>
      <c r="E675" t="s">
        <v>42</v>
      </c>
      <c r="F675" t="s">
        <v>62</v>
      </c>
      <c r="G675" s="1">
        <v>46211</v>
      </c>
      <c r="I675" s="2"/>
      <c r="J675" t="s">
        <v>166</v>
      </c>
      <c r="K675">
        <v>9962</v>
      </c>
      <c r="L675" t="s">
        <v>286</v>
      </c>
      <c r="M675">
        <v>3018725</v>
      </c>
      <c r="N675">
        <v>12</v>
      </c>
    </row>
    <row r="676" spans="2:14" hidden="1" x14ac:dyDescent="0.25">
      <c r="B676" t="s">
        <v>225</v>
      </c>
      <c r="C676" t="str">
        <f>_xlfn.XLOOKUP(B676,Tabla2[CODIGO],Tabla2[MATERIAL],"N/A",0)</f>
        <v>Abrazadera una salida 6"</v>
      </c>
      <c r="D676">
        <v>1</v>
      </c>
      <c r="E676" t="s">
        <v>42</v>
      </c>
      <c r="F676" t="s">
        <v>62</v>
      </c>
      <c r="G676" s="1">
        <v>46211</v>
      </c>
      <c r="I676" s="2"/>
      <c r="J676" t="s">
        <v>166</v>
      </c>
      <c r="K676">
        <v>9962</v>
      </c>
      <c r="L676" t="s">
        <v>286</v>
      </c>
      <c r="M676">
        <v>3018792</v>
      </c>
      <c r="N676">
        <v>1</v>
      </c>
    </row>
    <row r="677" spans="2:14" hidden="1" x14ac:dyDescent="0.25">
      <c r="B677" t="s">
        <v>225</v>
      </c>
      <c r="C677" t="str">
        <f>_xlfn.XLOOKUP(B677,Tabla2[CODIGO],Tabla2[MATERIAL],"N/A",0)</f>
        <v>Abrazadera una salida 6"</v>
      </c>
      <c r="D677">
        <v>1</v>
      </c>
      <c r="E677" t="s">
        <v>42</v>
      </c>
      <c r="F677" t="s">
        <v>62</v>
      </c>
      <c r="G677" s="1">
        <v>46211</v>
      </c>
      <c r="I677" s="2"/>
      <c r="J677" t="s">
        <v>166</v>
      </c>
      <c r="K677">
        <v>9962</v>
      </c>
      <c r="L677" t="s">
        <v>286</v>
      </c>
      <c r="M677">
        <v>3018784</v>
      </c>
      <c r="N677">
        <v>2</v>
      </c>
    </row>
    <row r="678" spans="2:14" hidden="1" x14ac:dyDescent="0.25">
      <c r="B678" t="s">
        <v>225</v>
      </c>
      <c r="C678" t="str">
        <f>_xlfn.XLOOKUP(B678,Tabla2[CODIGO],Tabla2[MATERIAL],"N/A",0)</f>
        <v>Abrazadera una salida 6"</v>
      </c>
      <c r="D678">
        <v>2</v>
      </c>
      <c r="E678" t="s">
        <v>42</v>
      </c>
      <c r="F678" t="s">
        <v>62</v>
      </c>
      <c r="G678" s="1">
        <v>46211</v>
      </c>
      <c r="I678" s="2"/>
      <c r="J678" t="s">
        <v>166</v>
      </c>
      <c r="K678">
        <v>9962</v>
      </c>
      <c r="L678" t="s">
        <v>286</v>
      </c>
      <c r="M678">
        <v>3018776</v>
      </c>
      <c r="N678">
        <v>3</v>
      </c>
    </row>
    <row r="679" spans="2:14" hidden="1" x14ac:dyDescent="0.25">
      <c r="B679" t="s">
        <v>225</v>
      </c>
      <c r="C679" t="str">
        <f>_xlfn.XLOOKUP(B679,Tabla2[CODIGO],Tabla2[MATERIAL],"N/A",0)</f>
        <v>Abrazadera una salida 6"</v>
      </c>
      <c r="D679">
        <v>1</v>
      </c>
      <c r="E679" t="s">
        <v>42</v>
      </c>
      <c r="F679" t="s">
        <v>62</v>
      </c>
      <c r="G679" s="1">
        <v>46211</v>
      </c>
      <c r="I679" s="2"/>
      <c r="J679" t="s">
        <v>166</v>
      </c>
      <c r="K679">
        <v>9962</v>
      </c>
      <c r="L679" t="s">
        <v>286</v>
      </c>
      <c r="M679">
        <v>3018750</v>
      </c>
      <c r="N679">
        <v>4</v>
      </c>
    </row>
    <row r="680" spans="2:14" hidden="1" x14ac:dyDescent="0.25">
      <c r="B680" t="s">
        <v>225</v>
      </c>
      <c r="C680" t="str">
        <f>_xlfn.XLOOKUP(B680,Tabla2[CODIGO],Tabla2[MATERIAL],"N/A",0)</f>
        <v>Abrazadera una salida 6"</v>
      </c>
      <c r="D680">
        <v>1</v>
      </c>
      <c r="E680" t="s">
        <v>42</v>
      </c>
      <c r="F680" t="s">
        <v>62</v>
      </c>
      <c r="G680" s="1">
        <v>46211</v>
      </c>
      <c r="I680" s="2"/>
      <c r="J680" t="s">
        <v>166</v>
      </c>
      <c r="K680">
        <v>9962</v>
      </c>
      <c r="L680" t="s">
        <v>286</v>
      </c>
      <c r="M680">
        <v>3018741</v>
      </c>
      <c r="N680">
        <v>5</v>
      </c>
    </row>
    <row r="681" spans="2:14" hidden="1" x14ac:dyDescent="0.25">
      <c r="B681" t="s">
        <v>225</v>
      </c>
      <c r="C681" t="str">
        <f>_xlfn.XLOOKUP(B681,Tabla2[CODIGO],Tabla2[MATERIAL],"N/A",0)</f>
        <v>Abrazadera una salida 6"</v>
      </c>
      <c r="D681">
        <v>2</v>
      </c>
      <c r="E681" t="s">
        <v>42</v>
      </c>
      <c r="F681" t="s">
        <v>62</v>
      </c>
      <c r="G681" s="1">
        <v>46211</v>
      </c>
      <c r="I681" s="2"/>
      <c r="J681" t="s">
        <v>166</v>
      </c>
      <c r="K681">
        <v>9962</v>
      </c>
      <c r="L681" t="s">
        <v>286</v>
      </c>
      <c r="M681">
        <v>3018733</v>
      </c>
      <c r="N681">
        <v>6</v>
      </c>
    </row>
    <row r="682" spans="2:14" hidden="1" x14ac:dyDescent="0.25">
      <c r="B682" t="s">
        <v>225</v>
      </c>
      <c r="C682" t="str">
        <f>_xlfn.XLOOKUP(B682,Tabla2[CODIGO],Tabla2[MATERIAL],"N/A",0)</f>
        <v>Abrazadera una salida 6"</v>
      </c>
      <c r="D682">
        <v>1</v>
      </c>
      <c r="E682" t="s">
        <v>42</v>
      </c>
      <c r="F682" t="s">
        <v>62</v>
      </c>
      <c r="G682" s="1">
        <v>46211</v>
      </c>
      <c r="I682" s="2"/>
      <c r="J682" t="s">
        <v>166</v>
      </c>
      <c r="K682">
        <v>9962</v>
      </c>
      <c r="L682" t="s">
        <v>286</v>
      </c>
      <c r="M682">
        <v>3018679</v>
      </c>
      <c r="N682">
        <v>7</v>
      </c>
    </row>
    <row r="683" spans="2:14" hidden="1" x14ac:dyDescent="0.25">
      <c r="B683" t="s">
        <v>225</v>
      </c>
      <c r="C683" t="str">
        <f>_xlfn.XLOOKUP(B683,Tabla2[CODIGO],Tabla2[MATERIAL],"N/A",0)</f>
        <v>Abrazadera una salida 6"</v>
      </c>
      <c r="D683">
        <v>1</v>
      </c>
      <c r="E683" t="s">
        <v>42</v>
      </c>
      <c r="F683" t="s">
        <v>62</v>
      </c>
      <c r="G683" s="1">
        <v>46211</v>
      </c>
      <c r="I683" s="2"/>
      <c r="J683" t="s">
        <v>166</v>
      </c>
      <c r="K683">
        <v>9962</v>
      </c>
      <c r="L683" t="s">
        <v>286</v>
      </c>
      <c r="M683">
        <v>3018687</v>
      </c>
      <c r="N683">
        <v>8</v>
      </c>
    </row>
    <row r="684" spans="2:14" hidden="1" x14ac:dyDescent="0.25">
      <c r="B684" t="s">
        <v>225</v>
      </c>
      <c r="C684" t="str">
        <f>_xlfn.XLOOKUP(B684,Tabla2[CODIGO],Tabla2[MATERIAL],"N/A",0)</f>
        <v>Abrazadera una salida 6"</v>
      </c>
      <c r="D684">
        <v>1</v>
      </c>
      <c r="E684" t="s">
        <v>42</v>
      </c>
      <c r="F684" t="s">
        <v>62</v>
      </c>
      <c r="G684" s="1">
        <v>46211</v>
      </c>
      <c r="I684" s="2"/>
      <c r="J684" t="s">
        <v>166</v>
      </c>
      <c r="K684">
        <v>9962</v>
      </c>
      <c r="L684" t="s">
        <v>286</v>
      </c>
      <c r="M684">
        <v>3018695</v>
      </c>
      <c r="N684">
        <v>9</v>
      </c>
    </row>
    <row r="685" spans="2:14" hidden="1" x14ac:dyDescent="0.25">
      <c r="B685" t="s">
        <v>225</v>
      </c>
      <c r="C685" t="str">
        <f>_xlfn.XLOOKUP(B685,Tabla2[CODIGO],Tabla2[MATERIAL],"N/A",0)</f>
        <v>Abrazadera una salida 6"</v>
      </c>
      <c r="D685">
        <v>1</v>
      </c>
      <c r="E685" t="s">
        <v>42</v>
      </c>
      <c r="F685" t="s">
        <v>62</v>
      </c>
      <c r="G685" s="1">
        <v>46211</v>
      </c>
      <c r="I685" s="2"/>
      <c r="J685" t="s">
        <v>166</v>
      </c>
      <c r="K685">
        <v>9962</v>
      </c>
      <c r="L685" t="s">
        <v>286</v>
      </c>
      <c r="M685">
        <v>3018709</v>
      </c>
      <c r="N685">
        <v>10</v>
      </c>
    </row>
    <row r="686" spans="2:14" hidden="1" x14ac:dyDescent="0.25">
      <c r="B686" t="s">
        <v>225</v>
      </c>
      <c r="C686" t="str">
        <f>_xlfn.XLOOKUP(B686,Tabla2[CODIGO],Tabla2[MATERIAL],"N/A",0)</f>
        <v>Abrazadera una salida 6"</v>
      </c>
      <c r="D686">
        <v>1</v>
      </c>
      <c r="E686" t="s">
        <v>42</v>
      </c>
      <c r="F686" t="s">
        <v>62</v>
      </c>
      <c r="G686" s="1">
        <v>46211</v>
      </c>
      <c r="I686" s="2"/>
      <c r="J686" t="s">
        <v>166</v>
      </c>
      <c r="K686">
        <v>9962</v>
      </c>
      <c r="L686" t="s">
        <v>286</v>
      </c>
      <c r="M686">
        <v>3018717</v>
      </c>
      <c r="N686">
        <v>11</v>
      </c>
    </row>
    <row r="687" spans="2:14" hidden="1" x14ac:dyDescent="0.25">
      <c r="B687" t="s">
        <v>225</v>
      </c>
      <c r="C687" t="str">
        <f>_xlfn.XLOOKUP(B687,Tabla2[CODIGO],Tabla2[MATERIAL],"N/A",0)</f>
        <v>Abrazadera una salida 6"</v>
      </c>
      <c r="D687">
        <v>1</v>
      </c>
      <c r="E687" t="s">
        <v>42</v>
      </c>
      <c r="F687" t="s">
        <v>62</v>
      </c>
      <c r="G687" s="1">
        <v>46211</v>
      </c>
      <c r="I687" s="2"/>
      <c r="J687" t="s">
        <v>166</v>
      </c>
      <c r="K687">
        <v>9962</v>
      </c>
      <c r="L687" t="s">
        <v>286</v>
      </c>
      <c r="M687">
        <v>3018725</v>
      </c>
      <c r="N687">
        <v>12</v>
      </c>
    </row>
    <row r="688" spans="2:14" hidden="1" x14ac:dyDescent="0.25">
      <c r="B688" t="s">
        <v>214</v>
      </c>
      <c r="C688" t="str">
        <f>_xlfn.XLOOKUP(B688,Tabla2[CODIGO],Tabla2[MATERIAL],"N/A",0)</f>
        <v>Marco para caja ap</v>
      </c>
      <c r="D688">
        <v>1</v>
      </c>
      <c r="E688" t="s">
        <v>42</v>
      </c>
      <c r="F688" t="s">
        <v>16</v>
      </c>
      <c r="G688" s="1">
        <v>46218</v>
      </c>
      <c r="I688" s="2"/>
      <c r="J688" t="s">
        <v>289</v>
      </c>
      <c r="K688">
        <v>9966</v>
      </c>
    </row>
    <row r="689" spans="2:12" hidden="1" x14ac:dyDescent="0.25">
      <c r="B689" t="s">
        <v>78</v>
      </c>
      <c r="C689" t="str">
        <f>_xlfn.XLOOKUP(B689,Tabla2[CODIGO],Tabla2[MATERIAL],"N/A",0)</f>
        <v>Tapa Concreto</v>
      </c>
      <c r="D689">
        <v>1</v>
      </c>
      <c r="E689" t="s">
        <v>42</v>
      </c>
      <c r="F689" t="s">
        <v>16</v>
      </c>
      <c r="G689" s="1">
        <v>46218</v>
      </c>
      <c r="I689" s="2"/>
      <c r="J689" t="s">
        <v>289</v>
      </c>
      <c r="K689">
        <v>9966</v>
      </c>
    </row>
    <row r="690" spans="2:12" hidden="1" x14ac:dyDescent="0.25">
      <c r="B690" t="s">
        <v>214</v>
      </c>
      <c r="C690" t="str">
        <f>_xlfn.XLOOKUP(B690,Tabla2[CODIGO],Tabla2[MATERIAL],"N/A",0)</f>
        <v>Marco para caja ap</v>
      </c>
      <c r="D690">
        <v>7</v>
      </c>
      <c r="E690" t="s">
        <v>42</v>
      </c>
      <c r="F690" t="s">
        <v>16</v>
      </c>
      <c r="G690" s="1">
        <v>46218</v>
      </c>
      <c r="I690" s="2"/>
      <c r="J690" t="s">
        <v>289</v>
      </c>
      <c r="K690">
        <v>9967</v>
      </c>
    </row>
    <row r="691" spans="2:12" hidden="1" x14ac:dyDescent="0.25">
      <c r="B691" t="s">
        <v>78</v>
      </c>
      <c r="C691" t="str">
        <f>_xlfn.XLOOKUP(B691,Tabla2[CODIGO],Tabla2[MATERIAL],"N/A",0)</f>
        <v>Tapa Concreto</v>
      </c>
      <c r="D691">
        <v>7</v>
      </c>
      <c r="E691" t="s">
        <v>42</v>
      </c>
      <c r="F691" t="s">
        <v>16</v>
      </c>
      <c r="G691" s="1">
        <v>46218</v>
      </c>
      <c r="I691" s="2"/>
      <c r="J691" t="s">
        <v>289</v>
      </c>
      <c r="K691">
        <v>9967</v>
      </c>
    </row>
    <row r="692" spans="2:12" hidden="1" x14ac:dyDescent="0.25">
      <c r="B692" t="s">
        <v>214</v>
      </c>
      <c r="C692" t="str">
        <f>_xlfn.XLOOKUP(B692,Tabla2[CODIGO],Tabla2[MATERIAL],"N/A",0)</f>
        <v>Marco para caja ap</v>
      </c>
      <c r="D692">
        <v>1</v>
      </c>
      <c r="E692" t="s">
        <v>42</v>
      </c>
      <c r="F692" t="s">
        <v>16</v>
      </c>
      <c r="G692" s="1">
        <v>46218</v>
      </c>
      <c r="I692" s="2"/>
      <c r="J692" t="s">
        <v>289</v>
      </c>
      <c r="K692">
        <v>9968</v>
      </c>
    </row>
    <row r="693" spans="2:12" hidden="1" x14ac:dyDescent="0.25">
      <c r="B693" t="s">
        <v>78</v>
      </c>
      <c r="C693" t="str">
        <f>_xlfn.XLOOKUP(B693,Tabla2[CODIGO],Tabla2[MATERIAL],"N/A",0)</f>
        <v>Tapa Concreto</v>
      </c>
      <c r="D693">
        <v>1</v>
      </c>
      <c r="E693" t="s">
        <v>42</v>
      </c>
      <c r="F693" t="s">
        <v>16</v>
      </c>
      <c r="G693" s="1">
        <v>46218</v>
      </c>
      <c r="I693" s="2"/>
      <c r="J693" t="s">
        <v>289</v>
      </c>
      <c r="K693">
        <v>9968</v>
      </c>
    </row>
    <row r="694" spans="2:12" hidden="1" x14ac:dyDescent="0.25">
      <c r="B694" t="s">
        <v>214</v>
      </c>
      <c r="C694" t="str">
        <f>_xlfn.XLOOKUP(B694,Tabla2[CODIGO],Tabla2[MATERIAL],"N/A",0)</f>
        <v>Marco para caja ap</v>
      </c>
      <c r="D694">
        <v>7</v>
      </c>
      <c r="E694" t="s">
        <v>42</v>
      </c>
      <c r="F694" t="s">
        <v>16</v>
      </c>
      <c r="G694" s="1">
        <v>46218</v>
      </c>
      <c r="I694" s="2"/>
      <c r="J694" t="s">
        <v>289</v>
      </c>
      <c r="K694">
        <v>9971</v>
      </c>
    </row>
    <row r="695" spans="2:12" hidden="1" x14ac:dyDescent="0.25">
      <c r="B695" t="s">
        <v>78</v>
      </c>
      <c r="C695" t="str">
        <f>_xlfn.XLOOKUP(B695,Tabla2[CODIGO],Tabla2[MATERIAL],"N/A",0)</f>
        <v>Tapa Concreto</v>
      </c>
      <c r="D695">
        <v>7</v>
      </c>
      <c r="E695" t="s">
        <v>42</v>
      </c>
      <c r="F695" t="s">
        <v>16</v>
      </c>
      <c r="G695" s="1">
        <v>46218</v>
      </c>
      <c r="I695" s="2"/>
      <c r="J695" t="s">
        <v>289</v>
      </c>
      <c r="K695">
        <v>9971</v>
      </c>
    </row>
    <row r="696" spans="2:12" hidden="1" x14ac:dyDescent="0.25">
      <c r="B696" t="s">
        <v>214</v>
      </c>
      <c r="C696" t="str">
        <f>_xlfn.XLOOKUP(B696,Tabla2[CODIGO],Tabla2[MATERIAL],"N/A",0)</f>
        <v>Marco para caja ap</v>
      </c>
      <c r="D696">
        <v>8</v>
      </c>
      <c r="E696" t="s">
        <v>42</v>
      </c>
      <c r="F696" t="s">
        <v>16</v>
      </c>
      <c r="G696" s="1">
        <v>46218</v>
      </c>
      <c r="I696" s="2"/>
      <c r="J696" t="s">
        <v>289</v>
      </c>
      <c r="K696">
        <v>9972</v>
      </c>
    </row>
    <row r="697" spans="2:12" hidden="1" x14ac:dyDescent="0.25">
      <c r="B697" t="s">
        <v>78</v>
      </c>
      <c r="C697" t="str">
        <f>_xlfn.XLOOKUP(B697,Tabla2[CODIGO],Tabla2[MATERIAL],"N/A",0)</f>
        <v>Tapa Concreto</v>
      </c>
      <c r="D697">
        <v>8</v>
      </c>
      <c r="E697" t="s">
        <v>42</v>
      </c>
      <c r="F697" t="s">
        <v>16</v>
      </c>
      <c r="G697" s="1">
        <v>46218</v>
      </c>
      <c r="I697" s="2"/>
      <c r="J697" t="s">
        <v>289</v>
      </c>
      <c r="K697">
        <v>9972</v>
      </c>
    </row>
    <row r="698" spans="2:12" hidden="1" x14ac:dyDescent="0.25">
      <c r="B698" t="s">
        <v>214</v>
      </c>
      <c r="C698" t="str">
        <f>_xlfn.XLOOKUP(B698,Tabla2[CODIGO],Tabla2[MATERIAL],"N/A",0)</f>
        <v>Marco para caja ap</v>
      </c>
      <c r="D698">
        <v>1</v>
      </c>
      <c r="E698" t="s">
        <v>42</v>
      </c>
      <c r="F698" t="s">
        <v>16</v>
      </c>
      <c r="G698" s="1">
        <v>46218</v>
      </c>
      <c r="I698" s="2"/>
      <c r="J698" t="s">
        <v>289</v>
      </c>
      <c r="K698">
        <v>9973</v>
      </c>
    </row>
    <row r="699" spans="2:12" hidden="1" x14ac:dyDescent="0.25">
      <c r="B699" t="s">
        <v>78</v>
      </c>
      <c r="C699" t="str">
        <f>_xlfn.XLOOKUP(B699,Tabla2[CODIGO],Tabla2[MATERIAL],"N/A",0)</f>
        <v>Tapa Concreto</v>
      </c>
      <c r="D699">
        <v>1</v>
      </c>
      <c r="E699" t="s">
        <v>42</v>
      </c>
      <c r="F699" t="s">
        <v>16</v>
      </c>
      <c r="G699" s="1">
        <v>46218</v>
      </c>
      <c r="I699" s="2"/>
      <c r="J699" t="s">
        <v>289</v>
      </c>
      <c r="K699">
        <v>9973</v>
      </c>
    </row>
    <row r="700" spans="2:12" hidden="1" x14ac:dyDescent="0.25">
      <c r="B700" t="s">
        <v>214</v>
      </c>
      <c r="C700" t="str">
        <f>_xlfn.XLOOKUP(B700,Tabla2[CODIGO],Tabla2[MATERIAL],"N/A",0)</f>
        <v>Marco para caja ap</v>
      </c>
      <c r="D700">
        <v>2</v>
      </c>
      <c r="E700" t="s">
        <v>42</v>
      </c>
      <c r="F700" t="s">
        <v>16</v>
      </c>
      <c r="G700" s="1">
        <v>46218</v>
      </c>
      <c r="I700" s="2"/>
      <c r="J700" t="s">
        <v>289</v>
      </c>
      <c r="K700">
        <v>9974</v>
      </c>
    </row>
    <row r="701" spans="2:12" hidden="1" x14ac:dyDescent="0.25">
      <c r="B701" t="s">
        <v>78</v>
      </c>
      <c r="C701" t="str">
        <f>_xlfn.XLOOKUP(B701,Tabla2[CODIGO],Tabla2[MATERIAL],"N/A",0)</f>
        <v>Tapa Concreto</v>
      </c>
      <c r="D701">
        <v>2</v>
      </c>
      <c r="E701" t="s">
        <v>42</v>
      </c>
      <c r="F701" t="s">
        <v>16</v>
      </c>
      <c r="G701" s="1">
        <v>46218</v>
      </c>
      <c r="I701" s="2"/>
      <c r="J701" t="s">
        <v>289</v>
      </c>
      <c r="K701">
        <v>9974</v>
      </c>
    </row>
    <row r="702" spans="2:12" hidden="1" x14ac:dyDescent="0.25">
      <c r="B702" t="s">
        <v>290</v>
      </c>
      <c r="C702" t="str">
        <f>_xlfn.XLOOKUP(B702,Tabla2[CODIGO],Tabla2[MATERIAL],"N/A",0)</f>
        <v>proyector 90w</v>
      </c>
      <c r="D702">
        <v>1</v>
      </c>
      <c r="E702" t="s">
        <v>42</v>
      </c>
      <c r="F702" t="s">
        <v>16</v>
      </c>
      <c r="G702" s="1">
        <v>46218</v>
      </c>
      <c r="H702" t="s">
        <v>64</v>
      </c>
      <c r="I702" s="2" t="s">
        <v>297</v>
      </c>
      <c r="J702" t="s">
        <v>166</v>
      </c>
      <c r="K702">
        <v>9961</v>
      </c>
      <c r="L702" t="s">
        <v>165</v>
      </c>
    </row>
    <row r="703" spans="2:12" hidden="1" x14ac:dyDescent="0.25">
      <c r="B703" t="s">
        <v>290</v>
      </c>
      <c r="C703" t="str">
        <f>_xlfn.XLOOKUP(B703,Tabla2[CODIGO],Tabla2[MATERIAL],"N/A",0)</f>
        <v>proyector 90w</v>
      </c>
      <c r="D703">
        <v>1</v>
      </c>
      <c r="E703" t="s">
        <v>42</v>
      </c>
      <c r="F703" t="s">
        <v>16</v>
      </c>
      <c r="G703" s="1">
        <v>46218</v>
      </c>
      <c r="H703" t="s">
        <v>64</v>
      </c>
      <c r="I703" s="2" t="s">
        <v>293</v>
      </c>
      <c r="J703" t="s">
        <v>166</v>
      </c>
      <c r="K703">
        <v>9961</v>
      </c>
      <c r="L703" t="s">
        <v>165</v>
      </c>
    </row>
    <row r="704" spans="2:12" hidden="1" x14ac:dyDescent="0.25">
      <c r="B704" t="s">
        <v>290</v>
      </c>
      <c r="C704" t="str">
        <f>_xlfn.XLOOKUP(B704,Tabla2[CODIGO],Tabla2[MATERIAL],"N/A",0)</f>
        <v>proyector 90w</v>
      </c>
      <c r="D704">
        <v>1</v>
      </c>
      <c r="E704" t="s">
        <v>42</v>
      </c>
      <c r="F704" t="s">
        <v>16</v>
      </c>
      <c r="G704" s="1">
        <v>46218</v>
      </c>
      <c r="H704" t="s">
        <v>64</v>
      </c>
      <c r="I704" s="2" t="s">
        <v>294</v>
      </c>
      <c r="J704" t="s">
        <v>166</v>
      </c>
      <c r="K704">
        <v>9961</v>
      </c>
      <c r="L704" t="s">
        <v>165</v>
      </c>
    </row>
    <row r="705" spans="2:14" hidden="1" x14ac:dyDescent="0.25">
      <c r="B705" t="s">
        <v>290</v>
      </c>
      <c r="C705" t="str">
        <f>_xlfn.XLOOKUP(B705,Tabla2[CODIGO],Tabla2[MATERIAL],"N/A",0)</f>
        <v>proyector 90w</v>
      </c>
      <c r="D705">
        <v>1</v>
      </c>
      <c r="E705" t="s">
        <v>42</v>
      </c>
      <c r="F705" t="s">
        <v>16</v>
      </c>
      <c r="G705" s="1">
        <v>46218</v>
      </c>
      <c r="H705" t="s">
        <v>64</v>
      </c>
      <c r="I705" s="2" t="s">
        <v>295</v>
      </c>
      <c r="J705" t="s">
        <v>166</v>
      </c>
      <c r="K705">
        <v>9961</v>
      </c>
      <c r="L705" t="s">
        <v>165</v>
      </c>
    </row>
    <row r="706" spans="2:14" hidden="1" x14ac:dyDescent="0.25">
      <c r="B706" t="s">
        <v>290</v>
      </c>
      <c r="C706" t="str">
        <f>_xlfn.XLOOKUP(B706,Tabla2[CODIGO],Tabla2[MATERIAL],"N/A",0)</f>
        <v>proyector 90w</v>
      </c>
      <c r="D706">
        <v>1</v>
      </c>
      <c r="E706" t="s">
        <v>42</v>
      </c>
      <c r="F706" t="s">
        <v>16</v>
      </c>
      <c r="G706" s="1">
        <v>46218</v>
      </c>
      <c r="H706" t="s">
        <v>64</v>
      </c>
      <c r="I706" s="2" t="s">
        <v>298</v>
      </c>
      <c r="J706" t="s">
        <v>166</v>
      </c>
      <c r="K706">
        <v>9961</v>
      </c>
      <c r="L706" t="s">
        <v>165</v>
      </c>
    </row>
    <row r="707" spans="2:14" hidden="1" x14ac:dyDescent="0.25">
      <c r="B707" t="s">
        <v>290</v>
      </c>
      <c r="C707" t="str">
        <f>_xlfn.XLOOKUP(B707,Tabla2[CODIGO],Tabla2[MATERIAL],"N/A",0)</f>
        <v>proyector 90w</v>
      </c>
      <c r="D707">
        <v>1</v>
      </c>
      <c r="E707" t="s">
        <v>42</v>
      </c>
      <c r="F707" t="s">
        <v>16</v>
      </c>
      <c r="G707" s="1">
        <v>46218</v>
      </c>
      <c r="H707" t="s">
        <v>64</v>
      </c>
      <c r="I707" s="2" t="s">
        <v>296</v>
      </c>
      <c r="J707" t="s">
        <v>166</v>
      </c>
      <c r="K707">
        <v>9961</v>
      </c>
      <c r="L707" t="s">
        <v>165</v>
      </c>
    </row>
    <row r="708" spans="2:14" hidden="1" x14ac:dyDescent="0.25">
      <c r="B708" t="s">
        <v>228</v>
      </c>
      <c r="C708" t="str">
        <f>_xlfn.XLOOKUP(B708,Tabla2[CODIGO],Tabla2[MATERIAL],"N/A",0)</f>
        <v>Cruceta Metalica 3*3x 1/4</v>
      </c>
      <c r="D708">
        <v>6</v>
      </c>
      <c r="E708" t="s">
        <v>42</v>
      </c>
      <c r="F708" t="s">
        <v>16</v>
      </c>
      <c r="G708" s="1">
        <v>46218</v>
      </c>
      <c r="I708" s="2"/>
      <c r="J708" t="s">
        <v>166</v>
      </c>
      <c r="K708">
        <v>9958</v>
      </c>
    </row>
    <row r="709" spans="2:14" hidden="1" x14ac:dyDescent="0.25">
      <c r="B709" t="s">
        <v>229</v>
      </c>
      <c r="C709" t="str">
        <f>_xlfn.XLOOKUP(B709,Tabla2[CODIGO],Tabla2[MATERIAL],"N/A",0)</f>
        <v>angular V</v>
      </c>
      <c r="D709">
        <v>6</v>
      </c>
      <c r="E709" t="s">
        <v>42</v>
      </c>
      <c r="F709" t="s">
        <v>16</v>
      </c>
      <c r="G709" s="1">
        <v>46218</v>
      </c>
      <c r="I709" s="2"/>
      <c r="J709" t="s">
        <v>166</v>
      </c>
      <c r="K709">
        <v>9958</v>
      </c>
    </row>
    <row r="710" spans="2:14" hidden="1" x14ac:dyDescent="0.25">
      <c r="B710" t="s">
        <v>229</v>
      </c>
      <c r="C710" t="str">
        <f>_xlfn.XLOOKUP(B710,Tabla2[CODIGO],Tabla2[MATERIAL],"N/A",0)</f>
        <v>angular V</v>
      </c>
      <c r="D710">
        <v>6</v>
      </c>
      <c r="E710" t="s">
        <v>42</v>
      </c>
      <c r="F710" t="s">
        <v>16</v>
      </c>
      <c r="G710" s="1">
        <v>46218</v>
      </c>
      <c r="I710" s="2"/>
      <c r="J710" t="s">
        <v>166</v>
      </c>
      <c r="K710">
        <v>9959</v>
      </c>
      <c r="L710" t="s">
        <v>100</v>
      </c>
    </row>
    <row r="711" spans="2:14" hidden="1" x14ac:dyDescent="0.25">
      <c r="B711" t="s">
        <v>228</v>
      </c>
      <c r="C711" t="str">
        <f>_xlfn.XLOOKUP(B711,Tabla2[CODIGO],Tabla2[MATERIAL],"N/A",0)</f>
        <v>Cruceta Metalica 3*3x 1/4</v>
      </c>
      <c r="D711">
        <v>2</v>
      </c>
      <c r="E711" t="s">
        <v>42</v>
      </c>
      <c r="F711" t="s">
        <v>16</v>
      </c>
      <c r="G711" s="1">
        <v>46218</v>
      </c>
      <c r="I711" s="2"/>
      <c r="J711" t="s">
        <v>166</v>
      </c>
      <c r="K711">
        <v>9961</v>
      </c>
    </row>
    <row r="712" spans="2:14" hidden="1" x14ac:dyDescent="0.25">
      <c r="B712" t="s">
        <v>229</v>
      </c>
      <c r="C712" t="str">
        <f>_xlfn.XLOOKUP(B712,Tabla2[CODIGO],Tabla2[MATERIAL],"N/A",0)</f>
        <v>angular V</v>
      </c>
      <c r="D712">
        <v>2</v>
      </c>
      <c r="E712" t="s">
        <v>42</v>
      </c>
      <c r="F712" t="s">
        <v>16</v>
      </c>
      <c r="G712" s="1">
        <v>46218</v>
      </c>
      <c r="I712" s="2"/>
      <c r="J712" t="s">
        <v>166</v>
      </c>
      <c r="K712">
        <v>9961</v>
      </c>
    </row>
    <row r="713" spans="2:14" hidden="1" x14ac:dyDescent="0.25">
      <c r="B713" t="s">
        <v>228</v>
      </c>
      <c r="C713" t="str">
        <f>_xlfn.XLOOKUP(B713,Tabla2[CODIGO],Tabla2[MATERIAL],"N/A",0)</f>
        <v>Cruceta Metalica 3*3x 1/4</v>
      </c>
      <c r="D713">
        <v>2</v>
      </c>
      <c r="E713" t="s">
        <v>42</v>
      </c>
      <c r="F713" t="s">
        <v>16</v>
      </c>
      <c r="G713" s="1">
        <v>46218</v>
      </c>
      <c r="I713" s="2"/>
      <c r="J713" t="s">
        <v>166</v>
      </c>
      <c r="K713">
        <v>9963</v>
      </c>
      <c r="L713" t="s">
        <v>269</v>
      </c>
    </row>
    <row r="714" spans="2:14" hidden="1" x14ac:dyDescent="0.25">
      <c r="B714" t="s">
        <v>229</v>
      </c>
      <c r="C714" t="str">
        <f>_xlfn.XLOOKUP(B714,Tabla2[CODIGO],Tabla2[MATERIAL],"N/A",0)</f>
        <v>angular V</v>
      </c>
      <c r="D714">
        <v>2</v>
      </c>
      <c r="E714" t="s">
        <v>42</v>
      </c>
      <c r="F714" t="s">
        <v>16</v>
      </c>
      <c r="G714" s="1">
        <v>46218</v>
      </c>
      <c r="I714" s="2"/>
      <c r="J714" t="s">
        <v>166</v>
      </c>
      <c r="K714">
        <v>9963</v>
      </c>
      <c r="L714" t="s">
        <v>269</v>
      </c>
    </row>
    <row r="715" spans="2:14" hidden="1" x14ac:dyDescent="0.25">
      <c r="B715" t="s">
        <v>214</v>
      </c>
      <c r="C715" t="str">
        <f>_xlfn.XLOOKUP(B715,Tabla2[CODIGO],Tabla2[MATERIAL],"N/A",0)</f>
        <v>Marco para caja ap</v>
      </c>
      <c r="D715">
        <v>1</v>
      </c>
      <c r="E715" t="s">
        <v>42</v>
      </c>
      <c r="F715" t="s">
        <v>62</v>
      </c>
      <c r="G715" s="1">
        <v>46200</v>
      </c>
      <c r="I715" s="2"/>
      <c r="J715" t="s">
        <v>166</v>
      </c>
      <c r="K715">
        <v>9961</v>
      </c>
      <c r="L715" t="s">
        <v>165</v>
      </c>
      <c r="M715">
        <v>6532281</v>
      </c>
      <c r="N715">
        <v>17</v>
      </c>
    </row>
    <row r="716" spans="2:14" hidden="1" x14ac:dyDescent="0.25">
      <c r="B716" t="s">
        <v>214</v>
      </c>
      <c r="C716" t="str">
        <f>_xlfn.XLOOKUP(B716,Tabla2[CODIGO],Tabla2[MATERIAL],"N/A",0)</f>
        <v>Marco para caja ap</v>
      </c>
      <c r="D716">
        <v>1</v>
      </c>
      <c r="E716" t="s">
        <v>42</v>
      </c>
      <c r="F716" t="s">
        <v>62</v>
      </c>
      <c r="G716" s="1">
        <v>46200</v>
      </c>
      <c r="I716" s="2"/>
      <c r="J716" t="s">
        <v>166</v>
      </c>
      <c r="K716">
        <v>9961</v>
      </c>
      <c r="L716" t="s">
        <v>165</v>
      </c>
      <c r="M716">
        <v>6532306</v>
      </c>
      <c r="N716">
        <v>7</v>
      </c>
    </row>
    <row r="717" spans="2:14" hidden="1" x14ac:dyDescent="0.25">
      <c r="B717" t="s">
        <v>214</v>
      </c>
      <c r="C717" t="str">
        <f>_xlfn.XLOOKUP(B717,Tabla2[CODIGO],Tabla2[MATERIAL],"N/A",0)</f>
        <v>Marco para caja ap</v>
      </c>
      <c r="D717">
        <v>1</v>
      </c>
      <c r="E717" t="s">
        <v>42</v>
      </c>
      <c r="F717" t="s">
        <v>62</v>
      </c>
      <c r="G717" s="1">
        <v>46200</v>
      </c>
      <c r="I717" s="2"/>
      <c r="J717" t="s">
        <v>166</v>
      </c>
      <c r="K717">
        <v>9961</v>
      </c>
      <c r="L717" t="s">
        <v>165</v>
      </c>
      <c r="M717">
        <v>6522233</v>
      </c>
      <c r="N717">
        <v>19</v>
      </c>
    </row>
    <row r="718" spans="2:14" hidden="1" x14ac:dyDescent="0.25">
      <c r="B718" t="s">
        <v>214</v>
      </c>
      <c r="C718" t="str">
        <f>_xlfn.XLOOKUP(B718,Tabla2[CODIGO],Tabla2[MATERIAL],"N/A",0)</f>
        <v>Marco para caja ap</v>
      </c>
      <c r="D718">
        <v>1</v>
      </c>
      <c r="E718" t="s">
        <v>42</v>
      </c>
      <c r="F718" t="s">
        <v>62</v>
      </c>
      <c r="G718" s="1">
        <v>46200</v>
      </c>
      <c r="I718" s="2"/>
      <c r="J718" t="s">
        <v>166</v>
      </c>
      <c r="K718">
        <v>9961</v>
      </c>
      <c r="L718" t="s">
        <v>165</v>
      </c>
      <c r="M718">
        <v>6535241</v>
      </c>
      <c r="N718">
        <v>5</v>
      </c>
    </row>
    <row r="719" spans="2:14" hidden="1" x14ac:dyDescent="0.25">
      <c r="B719" t="s">
        <v>78</v>
      </c>
      <c r="C719" t="str">
        <f>_xlfn.XLOOKUP(B719,Tabla2[CODIGO],Tabla2[MATERIAL],"N/A",0)</f>
        <v>Tapa Concreto</v>
      </c>
      <c r="D719">
        <v>1</v>
      </c>
      <c r="E719" t="s">
        <v>42</v>
      </c>
      <c r="F719" t="s">
        <v>62</v>
      </c>
      <c r="G719" s="1">
        <v>46200</v>
      </c>
      <c r="I719" s="2"/>
      <c r="J719" t="s">
        <v>166</v>
      </c>
      <c r="K719">
        <v>9961</v>
      </c>
      <c r="L719" t="s">
        <v>165</v>
      </c>
      <c r="M719">
        <v>6532281</v>
      </c>
      <c r="N719">
        <v>17</v>
      </c>
    </row>
    <row r="720" spans="2:14" hidden="1" x14ac:dyDescent="0.25">
      <c r="B720" t="s">
        <v>78</v>
      </c>
      <c r="C720" t="str">
        <f>_xlfn.XLOOKUP(B720,Tabla2[CODIGO],Tabla2[MATERIAL],"N/A",0)</f>
        <v>Tapa Concreto</v>
      </c>
      <c r="D720">
        <v>1</v>
      </c>
      <c r="E720" t="s">
        <v>42</v>
      </c>
      <c r="F720" t="s">
        <v>62</v>
      </c>
      <c r="G720" s="1">
        <v>46200</v>
      </c>
      <c r="I720" s="2"/>
      <c r="J720" t="s">
        <v>166</v>
      </c>
      <c r="K720">
        <v>9961</v>
      </c>
      <c r="L720" t="s">
        <v>165</v>
      </c>
      <c r="M720">
        <v>6532306</v>
      </c>
      <c r="N720">
        <v>7</v>
      </c>
    </row>
    <row r="721" spans="2:14" hidden="1" x14ac:dyDescent="0.25">
      <c r="B721" t="s">
        <v>78</v>
      </c>
      <c r="C721" t="str">
        <f>_xlfn.XLOOKUP(B721,Tabla2[CODIGO],Tabla2[MATERIAL],"N/A",0)</f>
        <v>Tapa Concreto</v>
      </c>
      <c r="D721">
        <v>1</v>
      </c>
      <c r="E721" t="s">
        <v>42</v>
      </c>
      <c r="F721" t="s">
        <v>62</v>
      </c>
      <c r="G721" s="1">
        <v>46200</v>
      </c>
      <c r="I721" s="2"/>
      <c r="J721" t="s">
        <v>166</v>
      </c>
      <c r="K721">
        <v>9961</v>
      </c>
      <c r="L721" t="s">
        <v>165</v>
      </c>
      <c r="M721">
        <v>6522233</v>
      </c>
      <c r="N721">
        <v>19</v>
      </c>
    </row>
    <row r="722" spans="2:14" hidden="1" x14ac:dyDescent="0.25">
      <c r="B722" t="s">
        <v>78</v>
      </c>
      <c r="C722" t="str">
        <f>_xlfn.XLOOKUP(B722,Tabla2[CODIGO],Tabla2[MATERIAL],"N/A",0)</f>
        <v>Tapa Concreto</v>
      </c>
      <c r="D722">
        <v>1</v>
      </c>
      <c r="E722" t="s">
        <v>42</v>
      </c>
      <c r="F722" t="s">
        <v>62</v>
      </c>
      <c r="G722" s="1">
        <v>46200</v>
      </c>
      <c r="I722" s="2"/>
      <c r="J722" t="s">
        <v>166</v>
      </c>
      <c r="K722">
        <v>9961</v>
      </c>
      <c r="L722" t="s">
        <v>165</v>
      </c>
      <c r="M722">
        <v>6535241</v>
      </c>
      <c r="N722">
        <v>5</v>
      </c>
    </row>
    <row r="723" spans="2:14" hidden="1" x14ac:dyDescent="0.25">
      <c r="B723" t="s">
        <v>299</v>
      </c>
      <c r="C723" t="str">
        <f>_xlfn.XLOOKUP(B723,Tabla2[CODIGO],Tabla2[MATERIAL],"N/A",0)</f>
        <v>Abrazadera una salida 7"</v>
      </c>
      <c r="D723">
        <v>2</v>
      </c>
      <c r="E723" t="s">
        <v>42</v>
      </c>
      <c r="F723" t="s">
        <v>16</v>
      </c>
      <c r="G723" s="1">
        <v>46220</v>
      </c>
      <c r="I723" s="2"/>
      <c r="J723" t="s">
        <v>289</v>
      </c>
      <c r="K723">
        <v>9966</v>
      </c>
    </row>
    <row r="724" spans="2:14" hidden="1" x14ac:dyDescent="0.25">
      <c r="B724" t="s">
        <v>56</v>
      </c>
      <c r="C724" t="str">
        <f>_xlfn.XLOOKUP(B724,Tabla2[CODIGO],Tabla2[MATERIAL],"N/A",0)</f>
        <v>Aislador Carrreto</v>
      </c>
      <c r="D724">
        <v>2</v>
      </c>
      <c r="E724" t="s">
        <v>42</v>
      </c>
      <c r="F724" t="s">
        <v>16</v>
      </c>
      <c r="G724" s="1">
        <v>46220</v>
      </c>
      <c r="I724" s="2"/>
      <c r="J724" t="s">
        <v>289</v>
      </c>
      <c r="K724">
        <v>9966</v>
      </c>
    </row>
    <row r="725" spans="2:14" hidden="1" x14ac:dyDescent="0.25">
      <c r="B725" t="s">
        <v>217</v>
      </c>
      <c r="C725" t="str">
        <f>_xlfn.XLOOKUP(B725,Tabla2[CODIGO],Tabla2[MATERIAL],"N/A",0)</f>
        <v>Brazo Galvanizado 1 1/2" x 2m</v>
      </c>
      <c r="D725">
        <v>18</v>
      </c>
      <c r="E725" t="s">
        <v>42</v>
      </c>
      <c r="F725" t="s">
        <v>16</v>
      </c>
      <c r="G725" s="1">
        <v>46220</v>
      </c>
      <c r="I725" s="2"/>
      <c r="J725" t="s">
        <v>289</v>
      </c>
      <c r="K725">
        <v>9966</v>
      </c>
    </row>
    <row r="726" spans="2:14" hidden="1" x14ac:dyDescent="0.25">
      <c r="B726" t="s">
        <v>194</v>
      </c>
      <c r="C726" t="str">
        <f>_xlfn.XLOOKUP(B726,Tabla2[CODIGO],Tabla2[MATERIAL],"N/A",0)</f>
        <v>Cable TPX 2x4 1x4 awg</v>
      </c>
      <c r="D726">
        <v>25</v>
      </c>
      <c r="E726" t="s">
        <v>43</v>
      </c>
      <c r="F726" t="s">
        <v>16</v>
      </c>
      <c r="G726" s="1">
        <v>46220</v>
      </c>
      <c r="I726" s="2"/>
      <c r="J726" t="s">
        <v>289</v>
      </c>
      <c r="K726">
        <v>9966</v>
      </c>
    </row>
    <row r="727" spans="2:14" hidden="1" x14ac:dyDescent="0.25">
      <c r="B727" t="s">
        <v>21</v>
      </c>
      <c r="C727" t="str">
        <f>_xlfn.XLOOKUP(B727,Tabla2[CODIGO],Tabla2[MATERIAL],"N/A",0)</f>
        <v>Cable Encauchetado 3x14 pvc</v>
      </c>
      <c r="D727">
        <v>90</v>
      </c>
      <c r="E727" t="s">
        <v>43</v>
      </c>
      <c r="F727" t="s">
        <v>16</v>
      </c>
      <c r="G727" s="1">
        <v>46220</v>
      </c>
      <c r="I727" s="2"/>
      <c r="J727" t="s">
        <v>289</v>
      </c>
      <c r="K727">
        <v>9966</v>
      </c>
    </row>
    <row r="728" spans="2:14" hidden="1" x14ac:dyDescent="0.25">
      <c r="B728" t="s">
        <v>241</v>
      </c>
      <c r="C728" t="str">
        <f>_xlfn.XLOOKUP(B728,Tabla2[CODIGO],Tabla2[MATERIAL],"N/A",0)</f>
        <v>capacete tuberia imc 3/4"</v>
      </c>
      <c r="D728">
        <v>2</v>
      </c>
      <c r="E728" t="s">
        <v>42</v>
      </c>
      <c r="F728" t="s">
        <v>16</v>
      </c>
      <c r="G728" s="1">
        <v>46220</v>
      </c>
      <c r="I728" s="2"/>
      <c r="J728" t="s">
        <v>289</v>
      </c>
      <c r="K728">
        <v>9966</v>
      </c>
    </row>
    <row r="729" spans="2:14" hidden="1" x14ac:dyDescent="0.25">
      <c r="B729" t="s">
        <v>265</v>
      </c>
      <c r="C729" t="str">
        <f>_xlfn.XLOOKUP(B729,Tabla2[CODIGO],Tabla2[MATERIAL],"N/A",0)</f>
        <v>Cinta Aislante</v>
      </c>
      <c r="D729">
        <v>1</v>
      </c>
      <c r="E729" t="s">
        <v>42</v>
      </c>
      <c r="F729" t="s">
        <v>16</v>
      </c>
      <c r="G729" s="1">
        <v>46220</v>
      </c>
      <c r="I729" s="2"/>
      <c r="J729" t="s">
        <v>289</v>
      </c>
      <c r="K729">
        <v>9966</v>
      </c>
    </row>
    <row r="730" spans="2:14" hidden="1" x14ac:dyDescent="0.25">
      <c r="B730" t="s">
        <v>36</v>
      </c>
      <c r="C730" t="str">
        <f>_xlfn.XLOOKUP(B730,Tabla2[CODIGO],Tabla2[MATERIAL],"N/A",0)</f>
        <v>Cinta Bandit 1/2"</v>
      </c>
      <c r="D730">
        <v>11</v>
      </c>
      <c r="E730" t="s">
        <v>42</v>
      </c>
      <c r="F730" t="s">
        <v>16</v>
      </c>
      <c r="G730" s="1">
        <v>46220</v>
      </c>
      <c r="I730" s="2"/>
      <c r="J730" t="s">
        <v>289</v>
      </c>
      <c r="K730">
        <v>9966</v>
      </c>
    </row>
    <row r="731" spans="2:14" hidden="1" x14ac:dyDescent="0.25">
      <c r="B731" t="s">
        <v>53</v>
      </c>
      <c r="C731" t="str">
        <f>_xlfn.XLOOKUP(B731,Tabla2[CODIGO],Tabla2[MATERIAL],"N/A",0)</f>
        <v>Conector de Perforacion ais kz-ep (EP95) pequeño</v>
      </c>
      <c r="D731">
        <v>24</v>
      </c>
      <c r="E731" t="s">
        <v>42</v>
      </c>
      <c r="F731" t="s">
        <v>16</v>
      </c>
      <c r="G731" s="1">
        <v>46220</v>
      </c>
      <c r="I731" s="2"/>
      <c r="J731" t="s">
        <v>289</v>
      </c>
      <c r="K731">
        <v>9966</v>
      </c>
    </row>
    <row r="732" spans="2:14" hidden="1" x14ac:dyDescent="0.25">
      <c r="B732" t="s">
        <v>54</v>
      </c>
      <c r="C732" t="str">
        <f>_xlfn.XLOOKUP(B732,Tabla2[CODIGO],Tabla2[MATERIAL],"N/A",0)</f>
        <v>Conector resorte 18-8</v>
      </c>
      <c r="D732">
        <v>30</v>
      </c>
      <c r="E732" t="s">
        <v>42</v>
      </c>
      <c r="F732" t="s">
        <v>16</v>
      </c>
      <c r="G732" s="1">
        <v>46220</v>
      </c>
      <c r="I732" s="2"/>
      <c r="J732" t="s">
        <v>289</v>
      </c>
      <c r="K732">
        <v>9966</v>
      </c>
    </row>
    <row r="733" spans="2:14" hidden="1" x14ac:dyDescent="0.25">
      <c r="B733" t="s">
        <v>210</v>
      </c>
      <c r="C733" t="str">
        <f>_xlfn.XLOOKUP(B733,Tabla2[CODIGO],Tabla2[MATERIAL],"N/A",0)</f>
        <v>Conector Varilla cooperw.</v>
      </c>
      <c r="D733">
        <v>2</v>
      </c>
      <c r="E733" t="s">
        <v>42</v>
      </c>
      <c r="F733" t="s">
        <v>16</v>
      </c>
      <c r="G733" s="1">
        <v>46220</v>
      </c>
      <c r="I733" s="2"/>
      <c r="J733" t="s">
        <v>289</v>
      </c>
      <c r="K733">
        <v>9966</v>
      </c>
    </row>
    <row r="734" spans="2:14" hidden="1" x14ac:dyDescent="0.25">
      <c r="B734" t="s">
        <v>224</v>
      </c>
      <c r="C734" t="str">
        <f>_xlfn.XLOOKUP(B734,Tabla2[CODIGO],Tabla2[MATERIAL],"N/A",0)</f>
        <v>Empalme gel ppal 8-4/0 a der 14-2/0 awg (grande)</v>
      </c>
      <c r="D734">
        <v>24</v>
      </c>
      <c r="E734" t="s">
        <v>42</v>
      </c>
      <c r="F734" t="s">
        <v>16</v>
      </c>
      <c r="G734" s="1">
        <v>46220</v>
      </c>
      <c r="I734" s="2"/>
      <c r="J734" t="s">
        <v>289</v>
      </c>
      <c r="K734">
        <v>9966</v>
      </c>
    </row>
    <row r="735" spans="2:14" hidden="1" x14ac:dyDescent="0.25">
      <c r="B735" t="s">
        <v>137</v>
      </c>
      <c r="C735" t="str">
        <f>_xlfn.XLOOKUP(B735,Tabla2[CODIGO],Tabla2[MATERIAL],"N/A",0)</f>
        <v>Fotocelda</v>
      </c>
      <c r="D735">
        <v>24</v>
      </c>
      <c r="E735" t="s">
        <v>42</v>
      </c>
      <c r="F735" t="s">
        <v>16</v>
      </c>
      <c r="G735" s="1">
        <v>46220</v>
      </c>
      <c r="I735" s="2"/>
      <c r="J735" t="s">
        <v>289</v>
      </c>
      <c r="K735">
        <v>9966</v>
      </c>
    </row>
    <row r="736" spans="2:14" hidden="1" x14ac:dyDescent="0.25">
      <c r="B736" t="s">
        <v>212</v>
      </c>
      <c r="C736" t="str">
        <f>_xlfn.XLOOKUP(B736,Tabla2[CODIGO],Tabla2[MATERIAL],"N/A",0)</f>
        <v>Grillete galvanizado 1,1/2</v>
      </c>
      <c r="D736">
        <v>10</v>
      </c>
      <c r="E736" t="s">
        <v>42</v>
      </c>
      <c r="F736" t="s">
        <v>16</v>
      </c>
      <c r="G736" s="1">
        <v>46220</v>
      </c>
      <c r="I736" s="2"/>
      <c r="J736" t="s">
        <v>289</v>
      </c>
      <c r="K736">
        <v>9966</v>
      </c>
    </row>
    <row r="737" spans="2:11" hidden="1" x14ac:dyDescent="0.25">
      <c r="B737" t="s">
        <v>37</v>
      </c>
      <c r="C737" t="str">
        <f>_xlfn.XLOOKUP(B737,Tabla2[CODIGO],Tabla2[MATERIAL],"N/A",0)</f>
        <v>Hebilla para cinta bandit 1/2"</v>
      </c>
      <c r="D737">
        <v>15</v>
      </c>
      <c r="E737" t="s">
        <v>42</v>
      </c>
      <c r="F737" t="s">
        <v>16</v>
      </c>
      <c r="G737" s="1">
        <v>46220</v>
      </c>
      <c r="I737" s="2"/>
      <c r="J737" t="s">
        <v>289</v>
      </c>
      <c r="K737">
        <v>9966</v>
      </c>
    </row>
    <row r="738" spans="2:11" hidden="1" x14ac:dyDescent="0.25">
      <c r="B738" t="s">
        <v>50</v>
      </c>
      <c r="C738" t="str">
        <f>_xlfn.XLOOKUP(B738,Tabla2[CODIGO],Tabla2[MATERIAL],"N/A",0)</f>
        <v>Percha galv 1 puesto</v>
      </c>
      <c r="D738">
        <v>2</v>
      </c>
      <c r="E738" t="s">
        <v>42</v>
      </c>
      <c r="F738" t="s">
        <v>16</v>
      </c>
      <c r="G738" s="1">
        <v>46220</v>
      </c>
      <c r="I738" s="2"/>
      <c r="J738" t="s">
        <v>289</v>
      </c>
      <c r="K738">
        <v>9966</v>
      </c>
    </row>
    <row r="739" spans="2:11" hidden="1" x14ac:dyDescent="0.25">
      <c r="B739" t="s">
        <v>268</v>
      </c>
      <c r="C739" t="str">
        <f>_xlfn.XLOOKUP(B739,Tabla2[CODIGO],Tabla2[MATERIAL],"N/A",0)</f>
        <v>Tornillo Maquina 1/2*1 1/2</v>
      </c>
      <c r="D739">
        <v>4</v>
      </c>
      <c r="E739" t="s">
        <v>42</v>
      </c>
      <c r="F739" t="s">
        <v>16</v>
      </c>
      <c r="G739" s="1">
        <v>46220</v>
      </c>
      <c r="I739" s="2"/>
      <c r="J739" t="s">
        <v>289</v>
      </c>
      <c r="K739">
        <v>9966</v>
      </c>
    </row>
    <row r="740" spans="2:11" hidden="1" x14ac:dyDescent="0.25">
      <c r="B740" t="s">
        <v>38</v>
      </c>
      <c r="C740" t="str">
        <f>_xlfn.XLOOKUP(B740,Tabla2[CODIGO],Tabla2[MATERIAL],"N/A",0)</f>
        <v>Tuberia Conduflex 3/4"</v>
      </c>
      <c r="D740">
        <v>4</v>
      </c>
      <c r="E740" t="s">
        <v>42</v>
      </c>
      <c r="F740" t="s">
        <v>16</v>
      </c>
      <c r="G740" s="1">
        <v>46220</v>
      </c>
      <c r="I740" s="2"/>
      <c r="J740" t="s">
        <v>289</v>
      </c>
      <c r="K740">
        <v>9966</v>
      </c>
    </row>
    <row r="741" spans="2:11" hidden="1" x14ac:dyDescent="0.25">
      <c r="B741" t="s">
        <v>213</v>
      </c>
      <c r="C741" t="str">
        <f>_xlfn.XLOOKUP(B741,Tabla2[CODIGO],Tabla2[MATERIAL],"N/A",0)</f>
        <v>Tuerca Hexagona 5/8</v>
      </c>
      <c r="D741">
        <v>4</v>
      </c>
      <c r="E741" t="s">
        <v>42</v>
      </c>
      <c r="F741" t="s">
        <v>16</v>
      </c>
      <c r="G741" s="1">
        <v>46220</v>
      </c>
      <c r="I741" s="2"/>
      <c r="J741" t="s">
        <v>289</v>
      </c>
      <c r="K741">
        <v>9966</v>
      </c>
    </row>
    <row r="742" spans="2:11" hidden="1" x14ac:dyDescent="0.25">
      <c r="B742" t="s">
        <v>198</v>
      </c>
      <c r="C742" t="str">
        <f>_xlfn.XLOOKUP(B742,Tabla2[CODIGO],Tabla2[MATERIAL],"N/A",0)</f>
        <v>Varilla cooperweld 2,4m</v>
      </c>
      <c r="D742">
        <v>2</v>
      </c>
      <c r="E742" t="s">
        <v>42</v>
      </c>
      <c r="F742" t="s">
        <v>16</v>
      </c>
      <c r="G742" s="1">
        <v>46220</v>
      </c>
      <c r="I742" s="2"/>
      <c r="J742" t="s">
        <v>289</v>
      </c>
      <c r="K742">
        <v>9966</v>
      </c>
    </row>
    <row r="743" spans="2:11" hidden="1" x14ac:dyDescent="0.25">
      <c r="B743" t="s">
        <v>84</v>
      </c>
      <c r="C743" t="str">
        <f>_xlfn.XLOOKUP(B743,Tabla2[CODIGO],Tabla2[MATERIAL],"N/A",0)</f>
        <v>Luminaria 110w</v>
      </c>
      <c r="D743">
        <v>1</v>
      </c>
      <c r="E743" t="s">
        <v>42</v>
      </c>
      <c r="F743" t="s">
        <v>16</v>
      </c>
      <c r="G743" s="1">
        <v>46220</v>
      </c>
      <c r="H743" t="s">
        <v>64</v>
      </c>
      <c r="I743" s="2" t="s">
        <v>300</v>
      </c>
      <c r="J743" t="s">
        <v>289</v>
      </c>
      <c r="K743">
        <v>9966</v>
      </c>
    </row>
    <row r="744" spans="2:11" hidden="1" x14ac:dyDescent="0.25">
      <c r="B744" t="s">
        <v>84</v>
      </c>
      <c r="C744" t="str">
        <f>_xlfn.XLOOKUP(B744,Tabla2[CODIGO],Tabla2[MATERIAL],"N/A",0)</f>
        <v>Luminaria 110w</v>
      </c>
      <c r="D744">
        <v>1</v>
      </c>
      <c r="E744" t="s">
        <v>42</v>
      </c>
      <c r="F744" t="s">
        <v>16</v>
      </c>
      <c r="G744" s="1">
        <v>46220</v>
      </c>
      <c r="H744" t="s">
        <v>64</v>
      </c>
      <c r="I744" s="2" t="s">
        <v>301</v>
      </c>
      <c r="J744" t="s">
        <v>289</v>
      </c>
      <c r="K744">
        <v>9966</v>
      </c>
    </row>
    <row r="745" spans="2:11" hidden="1" x14ac:dyDescent="0.25">
      <c r="B745" t="s">
        <v>84</v>
      </c>
      <c r="C745" t="str">
        <f>_xlfn.XLOOKUP(B745,Tabla2[CODIGO],Tabla2[MATERIAL],"N/A",0)</f>
        <v>Luminaria 110w</v>
      </c>
      <c r="D745">
        <v>1</v>
      </c>
      <c r="E745" t="s">
        <v>42</v>
      </c>
      <c r="F745" t="s">
        <v>16</v>
      </c>
      <c r="G745" s="1">
        <v>46220</v>
      </c>
      <c r="H745" t="s">
        <v>64</v>
      </c>
      <c r="I745" s="2" t="s">
        <v>302</v>
      </c>
      <c r="J745" t="s">
        <v>289</v>
      </c>
      <c r="K745">
        <v>9966</v>
      </c>
    </row>
    <row r="746" spans="2:11" hidden="1" x14ac:dyDescent="0.25">
      <c r="B746" t="s">
        <v>84</v>
      </c>
      <c r="C746" t="str">
        <f>_xlfn.XLOOKUP(B746,Tabla2[CODIGO],Tabla2[MATERIAL],"N/A",0)</f>
        <v>Luminaria 110w</v>
      </c>
      <c r="D746">
        <v>1</v>
      </c>
      <c r="E746" t="s">
        <v>42</v>
      </c>
      <c r="F746" t="s">
        <v>16</v>
      </c>
      <c r="G746" s="1">
        <v>46220</v>
      </c>
      <c r="H746" t="s">
        <v>64</v>
      </c>
      <c r="I746" s="2" t="s">
        <v>303</v>
      </c>
      <c r="J746" t="s">
        <v>289</v>
      </c>
      <c r="K746">
        <v>9966</v>
      </c>
    </row>
    <row r="747" spans="2:11" hidden="1" x14ac:dyDescent="0.25">
      <c r="B747" t="s">
        <v>304</v>
      </c>
      <c r="C747" t="str">
        <f>_xlfn.XLOOKUP(B747,Tabla2[CODIGO],Tabla2[MATERIAL],"N/A",0)</f>
        <v>Luminaria 75w</v>
      </c>
      <c r="D747">
        <v>1</v>
      </c>
      <c r="E747" t="s">
        <v>42</v>
      </c>
      <c r="F747" t="s">
        <v>16</v>
      </c>
      <c r="G747" s="1">
        <v>46220</v>
      </c>
      <c r="H747" t="s">
        <v>64</v>
      </c>
      <c r="I747" s="2" t="s">
        <v>305</v>
      </c>
      <c r="J747" t="s">
        <v>289</v>
      </c>
      <c r="K747">
        <v>9966</v>
      </c>
    </row>
    <row r="748" spans="2:11" hidden="1" x14ac:dyDescent="0.25">
      <c r="B748" t="s">
        <v>304</v>
      </c>
      <c r="C748" t="str">
        <f>_xlfn.XLOOKUP(B748,Tabla2[CODIGO],Tabla2[MATERIAL],"N/A",0)</f>
        <v>Luminaria 75w</v>
      </c>
      <c r="D748">
        <v>1</v>
      </c>
      <c r="E748" t="s">
        <v>42</v>
      </c>
      <c r="F748" t="s">
        <v>16</v>
      </c>
      <c r="G748" s="1">
        <v>46220</v>
      </c>
      <c r="H748" t="s">
        <v>64</v>
      </c>
      <c r="I748" s="2" t="s">
        <v>306</v>
      </c>
      <c r="J748" t="s">
        <v>289</v>
      </c>
      <c r="K748">
        <v>9966</v>
      </c>
    </row>
    <row r="749" spans="2:11" hidden="1" x14ac:dyDescent="0.25">
      <c r="B749" t="s">
        <v>304</v>
      </c>
      <c r="C749" t="str">
        <f>_xlfn.XLOOKUP(B749,Tabla2[CODIGO],Tabla2[MATERIAL],"N/A",0)</f>
        <v>Luminaria 75w</v>
      </c>
      <c r="D749">
        <v>1</v>
      </c>
      <c r="E749" t="s">
        <v>42</v>
      </c>
      <c r="F749" t="s">
        <v>16</v>
      </c>
      <c r="G749" s="1">
        <v>46220</v>
      </c>
      <c r="H749" t="s">
        <v>64</v>
      </c>
      <c r="I749" s="2" t="s">
        <v>307</v>
      </c>
      <c r="J749" t="s">
        <v>289</v>
      </c>
      <c r="K749">
        <v>9966</v>
      </c>
    </row>
    <row r="750" spans="2:11" hidden="1" x14ac:dyDescent="0.25">
      <c r="B750" t="s">
        <v>304</v>
      </c>
      <c r="C750" t="str">
        <f>_xlfn.XLOOKUP(B750,Tabla2[CODIGO],Tabla2[MATERIAL],"N/A",0)</f>
        <v>Luminaria 75w</v>
      </c>
      <c r="D750">
        <v>1</v>
      </c>
      <c r="E750" t="s">
        <v>42</v>
      </c>
      <c r="F750" t="s">
        <v>16</v>
      </c>
      <c r="G750" s="1">
        <v>46220</v>
      </c>
      <c r="H750" t="s">
        <v>64</v>
      </c>
      <c r="I750" s="2" t="s">
        <v>308</v>
      </c>
      <c r="J750" t="s">
        <v>289</v>
      </c>
      <c r="K750">
        <v>9966</v>
      </c>
    </row>
    <row r="751" spans="2:11" hidden="1" x14ac:dyDescent="0.25">
      <c r="B751" t="s">
        <v>304</v>
      </c>
      <c r="C751" t="str">
        <f>_xlfn.XLOOKUP(B751,Tabla2[CODIGO],Tabla2[MATERIAL],"N/A",0)</f>
        <v>Luminaria 75w</v>
      </c>
      <c r="D751">
        <v>1</v>
      </c>
      <c r="E751" t="s">
        <v>42</v>
      </c>
      <c r="F751" t="s">
        <v>16</v>
      </c>
      <c r="G751" s="1">
        <v>46220</v>
      </c>
      <c r="H751" t="s">
        <v>64</v>
      </c>
      <c r="I751" s="2" t="s">
        <v>309</v>
      </c>
      <c r="J751" t="s">
        <v>289</v>
      </c>
      <c r="K751">
        <v>9966</v>
      </c>
    </row>
    <row r="752" spans="2:11" hidden="1" x14ac:dyDescent="0.25">
      <c r="B752" t="s">
        <v>304</v>
      </c>
      <c r="C752" t="str">
        <f>_xlfn.XLOOKUP(B752,Tabla2[CODIGO],Tabla2[MATERIAL],"N/A",0)</f>
        <v>Luminaria 75w</v>
      </c>
      <c r="D752">
        <v>1</v>
      </c>
      <c r="E752" t="s">
        <v>42</v>
      </c>
      <c r="F752" t="s">
        <v>16</v>
      </c>
      <c r="G752" s="1">
        <v>46220</v>
      </c>
      <c r="H752" t="s">
        <v>64</v>
      </c>
      <c r="I752" s="2" t="s">
        <v>310</v>
      </c>
      <c r="J752" t="s">
        <v>289</v>
      </c>
      <c r="K752">
        <v>9966</v>
      </c>
    </row>
    <row r="753" spans="2:11" hidden="1" x14ac:dyDescent="0.25">
      <c r="B753" t="s">
        <v>304</v>
      </c>
      <c r="C753" t="str">
        <f>_xlfn.XLOOKUP(B753,Tabla2[CODIGO],Tabla2[MATERIAL],"N/A",0)</f>
        <v>Luminaria 75w</v>
      </c>
      <c r="D753">
        <v>1</v>
      </c>
      <c r="E753" t="s">
        <v>42</v>
      </c>
      <c r="F753" t="s">
        <v>16</v>
      </c>
      <c r="G753" s="1">
        <v>46220</v>
      </c>
      <c r="H753" t="s">
        <v>64</v>
      </c>
      <c r="I753" s="2" t="s">
        <v>311</v>
      </c>
      <c r="J753" t="s">
        <v>289</v>
      </c>
      <c r="K753">
        <v>9966</v>
      </c>
    </row>
    <row r="754" spans="2:11" hidden="1" x14ac:dyDescent="0.25">
      <c r="B754" t="s">
        <v>304</v>
      </c>
      <c r="C754" t="str">
        <f>_xlfn.XLOOKUP(B754,Tabla2[CODIGO],Tabla2[MATERIAL],"N/A",0)</f>
        <v>Luminaria 75w</v>
      </c>
      <c r="D754">
        <v>1</v>
      </c>
      <c r="E754" t="s">
        <v>42</v>
      </c>
      <c r="F754" t="s">
        <v>16</v>
      </c>
      <c r="G754" s="1">
        <v>46220</v>
      </c>
      <c r="H754" t="s">
        <v>64</v>
      </c>
      <c r="I754" s="2" t="s">
        <v>312</v>
      </c>
      <c r="J754" t="s">
        <v>289</v>
      </c>
      <c r="K754">
        <v>9966</v>
      </c>
    </row>
    <row r="755" spans="2:11" hidden="1" x14ac:dyDescent="0.25">
      <c r="B755" t="s">
        <v>304</v>
      </c>
      <c r="C755" t="str">
        <f>_xlfn.XLOOKUP(B755,Tabla2[CODIGO],Tabla2[MATERIAL],"N/A",0)</f>
        <v>Luminaria 75w</v>
      </c>
      <c r="D755">
        <v>1</v>
      </c>
      <c r="E755" t="s">
        <v>42</v>
      </c>
      <c r="F755" t="s">
        <v>16</v>
      </c>
      <c r="G755" s="1">
        <v>46220</v>
      </c>
      <c r="H755" t="s">
        <v>64</v>
      </c>
      <c r="I755" s="2" t="s">
        <v>313</v>
      </c>
      <c r="J755" t="s">
        <v>289</v>
      </c>
      <c r="K755">
        <v>9966</v>
      </c>
    </row>
    <row r="756" spans="2:11" hidden="1" x14ac:dyDescent="0.25">
      <c r="B756" t="s">
        <v>304</v>
      </c>
      <c r="C756" t="str">
        <f>_xlfn.XLOOKUP(B756,Tabla2[CODIGO],Tabla2[MATERIAL],"N/A",0)</f>
        <v>Luminaria 75w</v>
      </c>
      <c r="D756">
        <v>1</v>
      </c>
      <c r="E756" t="s">
        <v>42</v>
      </c>
      <c r="F756" t="s">
        <v>16</v>
      </c>
      <c r="G756" s="1">
        <v>46220</v>
      </c>
      <c r="H756" t="s">
        <v>64</v>
      </c>
      <c r="I756" s="2" t="s">
        <v>314</v>
      </c>
      <c r="J756" t="s">
        <v>289</v>
      </c>
      <c r="K756">
        <v>9966</v>
      </c>
    </row>
    <row r="757" spans="2:11" hidden="1" x14ac:dyDescent="0.25">
      <c r="B757" t="s">
        <v>304</v>
      </c>
      <c r="C757" t="str">
        <f>_xlfn.XLOOKUP(B757,Tabla2[CODIGO],Tabla2[MATERIAL],"N/A",0)</f>
        <v>Luminaria 75w</v>
      </c>
      <c r="D757">
        <v>1</v>
      </c>
      <c r="E757" t="s">
        <v>42</v>
      </c>
      <c r="F757" t="s">
        <v>16</v>
      </c>
      <c r="G757" s="1">
        <v>46220</v>
      </c>
      <c r="H757" t="s">
        <v>64</v>
      </c>
      <c r="I757" s="2" t="s">
        <v>315</v>
      </c>
      <c r="J757" t="s">
        <v>289</v>
      </c>
      <c r="K757">
        <v>9966</v>
      </c>
    </row>
    <row r="758" spans="2:11" hidden="1" x14ac:dyDescent="0.25">
      <c r="B758" t="s">
        <v>304</v>
      </c>
      <c r="C758" t="str">
        <f>_xlfn.XLOOKUP(B758,Tabla2[CODIGO],Tabla2[MATERIAL],"N/A",0)</f>
        <v>Luminaria 75w</v>
      </c>
      <c r="D758">
        <v>1</v>
      </c>
      <c r="E758" t="s">
        <v>42</v>
      </c>
      <c r="F758" t="s">
        <v>16</v>
      </c>
      <c r="G758" s="1">
        <v>46220</v>
      </c>
      <c r="H758" t="s">
        <v>64</v>
      </c>
      <c r="I758" s="2" t="s">
        <v>317</v>
      </c>
      <c r="J758" t="s">
        <v>289</v>
      </c>
      <c r="K758">
        <v>9966</v>
      </c>
    </row>
    <row r="759" spans="2:11" hidden="1" x14ac:dyDescent="0.25">
      <c r="B759" t="s">
        <v>304</v>
      </c>
      <c r="C759" t="str">
        <f>_xlfn.XLOOKUP(B759,Tabla2[CODIGO],Tabla2[MATERIAL],"N/A",0)</f>
        <v>Luminaria 75w</v>
      </c>
      <c r="D759">
        <v>1</v>
      </c>
      <c r="E759" t="s">
        <v>42</v>
      </c>
      <c r="F759" t="s">
        <v>16</v>
      </c>
      <c r="G759" s="1">
        <v>46220</v>
      </c>
      <c r="H759" t="s">
        <v>64</v>
      </c>
      <c r="I759" s="2" t="s">
        <v>316</v>
      </c>
      <c r="J759" t="s">
        <v>289</v>
      </c>
      <c r="K759">
        <v>9966</v>
      </c>
    </row>
    <row r="760" spans="2:11" hidden="1" x14ac:dyDescent="0.25">
      <c r="B760" t="s">
        <v>290</v>
      </c>
      <c r="C760" t="str">
        <f>_xlfn.XLOOKUP(B760,Tabla2[CODIGO],Tabla2[MATERIAL],"N/A",0)</f>
        <v>proyector 90w</v>
      </c>
      <c r="D760">
        <v>1</v>
      </c>
      <c r="E760" t="s">
        <v>42</v>
      </c>
      <c r="F760" t="s">
        <v>16</v>
      </c>
      <c r="G760" s="1">
        <v>46220</v>
      </c>
      <c r="H760" t="s">
        <v>64</v>
      </c>
      <c r="I760" s="2" t="s">
        <v>454</v>
      </c>
      <c r="J760" t="s">
        <v>289</v>
      </c>
      <c r="K760">
        <v>9966</v>
      </c>
    </row>
    <row r="761" spans="2:11" hidden="1" x14ac:dyDescent="0.25">
      <c r="B761" t="s">
        <v>290</v>
      </c>
      <c r="C761" t="str">
        <f>_xlfn.XLOOKUP(B761,Tabla2[CODIGO],Tabla2[MATERIAL],"N/A",0)</f>
        <v>proyector 90w</v>
      </c>
      <c r="D761">
        <v>1</v>
      </c>
      <c r="E761" t="s">
        <v>42</v>
      </c>
      <c r="F761" t="s">
        <v>16</v>
      </c>
      <c r="G761" s="1">
        <v>46220</v>
      </c>
      <c r="H761" t="s">
        <v>64</v>
      </c>
      <c r="I761" s="2" t="s">
        <v>455</v>
      </c>
      <c r="J761" t="s">
        <v>289</v>
      </c>
      <c r="K761">
        <v>9966</v>
      </c>
    </row>
    <row r="762" spans="2:11" hidden="1" x14ac:dyDescent="0.25">
      <c r="B762" t="s">
        <v>290</v>
      </c>
      <c r="C762" t="str">
        <f>_xlfn.XLOOKUP(B762,Tabla2[CODIGO],Tabla2[MATERIAL],"N/A",0)</f>
        <v>proyector 90w</v>
      </c>
      <c r="D762">
        <v>1</v>
      </c>
      <c r="E762" t="s">
        <v>42</v>
      </c>
      <c r="F762" t="s">
        <v>16</v>
      </c>
      <c r="G762" s="1">
        <v>46220</v>
      </c>
      <c r="H762" t="s">
        <v>64</v>
      </c>
      <c r="I762" s="2" t="s">
        <v>456</v>
      </c>
      <c r="J762" t="s">
        <v>289</v>
      </c>
      <c r="K762">
        <v>9966</v>
      </c>
    </row>
    <row r="763" spans="2:11" hidden="1" x14ac:dyDescent="0.25">
      <c r="B763" t="s">
        <v>290</v>
      </c>
      <c r="C763" t="str">
        <f>_xlfn.XLOOKUP(B763,Tabla2[CODIGO],Tabla2[MATERIAL],"N/A",0)</f>
        <v>proyector 90w</v>
      </c>
      <c r="D763">
        <v>1</v>
      </c>
      <c r="E763" t="s">
        <v>42</v>
      </c>
      <c r="F763" t="s">
        <v>16</v>
      </c>
      <c r="G763" s="1">
        <v>46220</v>
      </c>
      <c r="H763" t="s">
        <v>64</v>
      </c>
      <c r="I763" s="2" t="s">
        <v>457</v>
      </c>
      <c r="J763" t="s">
        <v>289</v>
      </c>
      <c r="K763">
        <v>9966</v>
      </c>
    </row>
    <row r="764" spans="2:11" hidden="1" x14ac:dyDescent="0.25">
      <c r="B764" t="s">
        <v>290</v>
      </c>
      <c r="C764" t="str">
        <f>_xlfn.XLOOKUP(B764,Tabla2[CODIGO],Tabla2[MATERIAL],"N/A",0)</f>
        <v>proyector 90w</v>
      </c>
      <c r="D764">
        <v>1</v>
      </c>
      <c r="E764" t="s">
        <v>42</v>
      </c>
      <c r="F764" t="s">
        <v>16</v>
      </c>
      <c r="G764" s="1">
        <v>46220</v>
      </c>
      <c r="H764" t="s">
        <v>64</v>
      </c>
      <c r="I764" s="2" t="s">
        <v>458</v>
      </c>
      <c r="J764" t="s">
        <v>289</v>
      </c>
      <c r="K764">
        <v>9966</v>
      </c>
    </row>
    <row r="765" spans="2:11" hidden="1" x14ac:dyDescent="0.25">
      <c r="B765" t="s">
        <v>290</v>
      </c>
      <c r="C765" t="str">
        <f>_xlfn.XLOOKUP(B765,Tabla2[CODIGO],Tabla2[MATERIAL],"N/A",0)</f>
        <v>proyector 90w</v>
      </c>
      <c r="D765">
        <v>1</v>
      </c>
      <c r="E765" t="s">
        <v>42</v>
      </c>
      <c r="F765" t="s">
        <v>16</v>
      </c>
      <c r="G765" s="1">
        <v>46220</v>
      </c>
      <c r="H765" t="s">
        <v>64</v>
      </c>
      <c r="I765" s="2" t="s">
        <v>459</v>
      </c>
      <c r="J765" t="s">
        <v>289</v>
      </c>
      <c r="K765">
        <v>9966</v>
      </c>
    </row>
    <row r="766" spans="2:11" hidden="1" x14ac:dyDescent="0.25">
      <c r="B766" t="s">
        <v>318</v>
      </c>
      <c r="C766" t="str">
        <f>_xlfn.XLOOKUP(B766,Tabla2[CODIGO],Tabla2[MATERIAL],"N/A",0)</f>
        <v>Cable AL aa-8000 4 awg</v>
      </c>
      <c r="D766">
        <v>90</v>
      </c>
      <c r="E766" t="s">
        <v>43</v>
      </c>
      <c r="F766" t="s">
        <v>16</v>
      </c>
      <c r="G766" s="1">
        <v>46220</v>
      </c>
      <c r="I766" s="2"/>
      <c r="J766" t="s">
        <v>289</v>
      </c>
      <c r="K766">
        <v>9966</v>
      </c>
    </row>
    <row r="767" spans="2:11" hidden="1" x14ac:dyDescent="0.25">
      <c r="B767" t="s">
        <v>319</v>
      </c>
      <c r="C767" t="str">
        <f>_xlfn.XLOOKUP(B767,Tabla2[CODIGO],Tabla2[MATERIAL],"N/A",0)</f>
        <v>alambre Cu thhn 14 verde</v>
      </c>
      <c r="D767">
        <v>35</v>
      </c>
      <c r="E767" t="s">
        <v>43</v>
      </c>
      <c r="F767" t="s">
        <v>16</v>
      </c>
      <c r="G767" s="1">
        <v>46220</v>
      </c>
      <c r="I767" s="2"/>
      <c r="J767" t="s">
        <v>289</v>
      </c>
      <c r="K767">
        <v>9966</v>
      </c>
    </row>
    <row r="768" spans="2:11" hidden="1" x14ac:dyDescent="0.25">
      <c r="B768" t="s">
        <v>318</v>
      </c>
      <c r="C768" t="str">
        <f>_xlfn.XLOOKUP(B768,Tabla2[CODIGO],Tabla2[MATERIAL],"N/A",0)</f>
        <v>Cable AL aa-8000 4 awg</v>
      </c>
      <c r="D768">
        <v>160</v>
      </c>
      <c r="E768" t="s">
        <v>43</v>
      </c>
      <c r="F768" t="s">
        <v>16</v>
      </c>
      <c r="G768" s="1">
        <v>46219</v>
      </c>
      <c r="I768" s="2"/>
      <c r="J768" t="s">
        <v>166</v>
      </c>
      <c r="K768">
        <v>9958</v>
      </c>
    </row>
    <row r="769" spans="2:11" hidden="1" x14ac:dyDescent="0.25">
      <c r="B769" t="s">
        <v>319</v>
      </c>
      <c r="C769" t="str">
        <f>_xlfn.XLOOKUP(B769,Tabla2[CODIGO],Tabla2[MATERIAL],"N/A",0)</f>
        <v>alambre Cu thhn 14 verde</v>
      </c>
      <c r="D769">
        <v>80</v>
      </c>
      <c r="E769" t="s">
        <v>43</v>
      </c>
      <c r="F769" t="s">
        <v>16</v>
      </c>
      <c r="G769" s="1">
        <v>46219</v>
      </c>
      <c r="I769" s="2"/>
      <c r="J769" t="s">
        <v>166</v>
      </c>
      <c r="K769">
        <v>9958</v>
      </c>
    </row>
    <row r="770" spans="2:11" hidden="1" x14ac:dyDescent="0.25">
      <c r="B770" t="s">
        <v>53</v>
      </c>
      <c r="C770" t="str">
        <f>_xlfn.XLOOKUP(B770,Tabla2[CODIGO],Tabla2[MATERIAL],"N/A",0)</f>
        <v>Conector de Perforacion ais kz-ep (EP95) pequeño</v>
      </c>
      <c r="D770">
        <v>16</v>
      </c>
      <c r="E770" t="s">
        <v>42</v>
      </c>
      <c r="F770" t="s">
        <v>16</v>
      </c>
      <c r="G770" s="1">
        <v>46219</v>
      </c>
      <c r="I770" s="2"/>
      <c r="J770" t="s">
        <v>166</v>
      </c>
      <c r="K770">
        <v>9958</v>
      </c>
    </row>
    <row r="771" spans="2:11" hidden="1" x14ac:dyDescent="0.25">
      <c r="B771" t="s">
        <v>226</v>
      </c>
      <c r="C771" t="str">
        <f>_xlfn.XLOOKUP(B771,Tabla2[CODIGO],Tabla2[MATERIAL],"N/A",0)</f>
        <v>Abrazadera una salida 6"</v>
      </c>
      <c r="D771">
        <v>6</v>
      </c>
      <c r="E771" t="s">
        <v>42</v>
      </c>
      <c r="F771" t="s">
        <v>16</v>
      </c>
      <c r="G771" s="1">
        <v>46219</v>
      </c>
      <c r="I771" s="2"/>
      <c r="J771" t="s">
        <v>289</v>
      </c>
      <c r="K771">
        <v>9967</v>
      </c>
    </row>
    <row r="772" spans="2:11" hidden="1" x14ac:dyDescent="0.25">
      <c r="B772" t="s">
        <v>261</v>
      </c>
      <c r="C772" t="str">
        <f>_xlfn.XLOOKUP(B772,Tabla2[CODIGO],Tabla2[MATERIAL],"N/A",0)</f>
        <v>Abrazadera sin salida 6"</v>
      </c>
      <c r="D772">
        <v>20</v>
      </c>
      <c r="E772" t="s">
        <v>42</v>
      </c>
      <c r="F772" t="s">
        <v>16</v>
      </c>
      <c r="G772" s="1">
        <v>46219</v>
      </c>
      <c r="I772" s="2"/>
      <c r="J772" t="s">
        <v>289</v>
      </c>
      <c r="K772">
        <v>9967</v>
      </c>
    </row>
    <row r="773" spans="2:11" hidden="1" x14ac:dyDescent="0.25">
      <c r="B773" t="s">
        <v>56</v>
      </c>
      <c r="C773" t="str">
        <f>_xlfn.XLOOKUP(B773,Tabla2[CODIGO],Tabla2[MATERIAL],"N/A",0)</f>
        <v>Aislador Carrreto</v>
      </c>
      <c r="D773">
        <v>6</v>
      </c>
      <c r="E773" t="s">
        <v>42</v>
      </c>
      <c r="F773" t="s">
        <v>16</v>
      </c>
      <c r="G773" s="1">
        <v>46219</v>
      </c>
      <c r="I773" s="2"/>
      <c r="J773" t="s">
        <v>289</v>
      </c>
      <c r="K773">
        <v>9967</v>
      </c>
    </row>
    <row r="774" spans="2:11" hidden="1" x14ac:dyDescent="0.25">
      <c r="B774" t="s">
        <v>217</v>
      </c>
      <c r="C774" t="str">
        <f>_xlfn.XLOOKUP(B774,Tabla2[CODIGO],Tabla2[MATERIAL],"N/A",0)</f>
        <v>Brazo Galvanizado 1 1/2" x 2m</v>
      </c>
      <c r="D774">
        <v>23</v>
      </c>
      <c r="E774" t="s">
        <v>42</v>
      </c>
      <c r="F774" t="s">
        <v>16</v>
      </c>
      <c r="G774" s="1">
        <v>46219</v>
      </c>
      <c r="I774" s="2"/>
      <c r="J774" t="s">
        <v>289</v>
      </c>
      <c r="K774">
        <v>9967</v>
      </c>
    </row>
    <row r="775" spans="2:11" hidden="1" x14ac:dyDescent="0.25">
      <c r="B775" t="s">
        <v>321</v>
      </c>
      <c r="C775" t="str">
        <f>_xlfn.XLOOKUP(B775,Tabla2[CODIGO],Tabla2[MATERIAL],"N/A",0)</f>
        <v>Brazo Galvanizado 1 1/2" tipo L</v>
      </c>
      <c r="D775">
        <v>2</v>
      </c>
      <c r="E775" t="s">
        <v>42</v>
      </c>
      <c r="F775" t="s">
        <v>16</v>
      </c>
      <c r="G775" s="1">
        <v>46219</v>
      </c>
      <c r="I775" s="2"/>
      <c r="J775" t="s">
        <v>289</v>
      </c>
      <c r="K775">
        <v>9967</v>
      </c>
    </row>
    <row r="776" spans="2:11" hidden="1" x14ac:dyDescent="0.25">
      <c r="B776" t="s">
        <v>194</v>
      </c>
      <c r="C776" t="str">
        <f>_xlfn.XLOOKUP(B776,Tabla2[CODIGO],Tabla2[MATERIAL],"N/A",0)</f>
        <v>Cable TPX 2x4 1x4 awg</v>
      </c>
      <c r="D776">
        <v>40</v>
      </c>
      <c r="E776" t="s">
        <v>43</v>
      </c>
      <c r="F776" t="s">
        <v>16</v>
      </c>
      <c r="G776" s="1">
        <v>46219</v>
      </c>
      <c r="I776" s="2"/>
      <c r="J776" t="s">
        <v>289</v>
      </c>
      <c r="K776">
        <v>9967</v>
      </c>
    </row>
    <row r="777" spans="2:11" hidden="1" x14ac:dyDescent="0.25">
      <c r="B777" t="s">
        <v>21</v>
      </c>
      <c r="C777" t="str">
        <f>_xlfn.XLOOKUP(B777,Tabla2[CODIGO],Tabla2[MATERIAL],"N/A",0)</f>
        <v>Cable Encauchetado 3x14 pvc</v>
      </c>
      <c r="D777">
        <v>100</v>
      </c>
      <c r="E777" t="s">
        <v>43</v>
      </c>
      <c r="F777" t="s">
        <v>16</v>
      </c>
      <c r="G777" s="1">
        <v>46219</v>
      </c>
      <c r="I777" s="2"/>
      <c r="J777" t="s">
        <v>289</v>
      </c>
      <c r="K777">
        <v>9967</v>
      </c>
    </row>
    <row r="778" spans="2:11" hidden="1" x14ac:dyDescent="0.25">
      <c r="B778" t="s">
        <v>265</v>
      </c>
      <c r="C778" t="str">
        <f>_xlfn.XLOOKUP(B778,Tabla2[CODIGO],Tabla2[MATERIAL],"N/A",0)</f>
        <v>Cinta Aislante</v>
      </c>
      <c r="D778">
        <v>1</v>
      </c>
      <c r="E778" t="s">
        <v>42</v>
      </c>
      <c r="F778" t="s">
        <v>16</v>
      </c>
      <c r="G778" s="1">
        <v>46219</v>
      </c>
      <c r="I778" s="2"/>
      <c r="J778" t="s">
        <v>289</v>
      </c>
      <c r="K778">
        <v>9967</v>
      </c>
    </row>
    <row r="779" spans="2:11" hidden="1" x14ac:dyDescent="0.25">
      <c r="B779" t="s">
        <v>53</v>
      </c>
      <c r="C779" t="str">
        <f>_xlfn.XLOOKUP(B779,Tabla2[CODIGO],Tabla2[MATERIAL],"N/A",0)</f>
        <v>Conector de Perforacion ais kz-ep (EP95) pequeño</v>
      </c>
      <c r="D779">
        <v>45</v>
      </c>
      <c r="E779" t="s">
        <v>42</v>
      </c>
      <c r="F779" t="s">
        <v>16</v>
      </c>
      <c r="G779" s="1">
        <v>46219</v>
      </c>
      <c r="I779" s="2"/>
      <c r="J779" t="s">
        <v>289</v>
      </c>
      <c r="K779">
        <v>9967</v>
      </c>
    </row>
    <row r="780" spans="2:11" hidden="1" x14ac:dyDescent="0.25">
      <c r="B780" t="s">
        <v>54</v>
      </c>
      <c r="C780" t="str">
        <f>_xlfn.XLOOKUP(B780,Tabla2[CODIGO],Tabla2[MATERIAL],"N/A",0)</f>
        <v>Conector resorte 18-8</v>
      </c>
      <c r="D780">
        <v>30</v>
      </c>
      <c r="E780" t="s">
        <v>42</v>
      </c>
      <c r="F780" t="s">
        <v>16</v>
      </c>
      <c r="G780" s="1">
        <v>46219</v>
      </c>
      <c r="I780" s="2"/>
      <c r="J780" t="s">
        <v>289</v>
      </c>
      <c r="K780">
        <v>9967</v>
      </c>
    </row>
    <row r="781" spans="2:11" hidden="1" x14ac:dyDescent="0.25">
      <c r="B781" t="s">
        <v>224</v>
      </c>
      <c r="C781" t="str">
        <f>_xlfn.XLOOKUP(B781,Tabla2[CODIGO],Tabla2[MATERIAL],"N/A",0)</f>
        <v>Empalme gel ppal 8-4/0 a der 14-2/0 awg (grande)</v>
      </c>
      <c r="D781">
        <v>22</v>
      </c>
      <c r="E781" t="s">
        <v>42</v>
      </c>
      <c r="F781" t="s">
        <v>16</v>
      </c>
      <c r="G781" s="1">
        <v>46219</v>
      </c>
      <c r="I781" s="2"/>
      <c r="J781" t="s">
        <v>289</v>
      </c>
      <c r="K781">
        <v>9967</v>
      </c>
    </row>
    <row r="782" spans="2:11" hidden="1" x14ac:dyDescent="0.25">
      <c r="B782" t="s">
        <v>60</v>
      </c>
      <c r="C782" t="str">
        <f>_xlfn.XLOOKUP(B782,Tabla2[CODIGO],Tabla2[MATERIAL],"N/A",0)</f>
        <v>Fotocelda</v>
      </c>
      <c r="D782">
        <v>25</v>
      </c>
      <c r="E782" t="s">
        <v>42</v>
      </c>
      <c r="F782" t="s">
        <v>16</v>
      </c>
      <c r="G782" s="1">
        <v>46219</v>
      </c>
      <c r="I782" s="2"/>
      <c r="J782" t="s">
        <v>289</v>
      </c>
      <c r="K782">
        <v>9967</v>
      </c>
    </row>
    <row r="783" spans="2:11" hidden="1" x14ac:dyDescent="0.25">
      <c r="B783" t="s">
        <v>212</v>
      </c>
      <c r="C783" t="str">
        <f>_xlfn.XLOOKUP(B783,Tabla2[CODIGO],Tabla2[MATERIAL],"N/A",0)</f>
        <v>Grillete galvanizado 1,1/2</v>
      </c>
      <c r="D783">
        <v>20</v>
      </c>
      <c r="E783" t="s">
        <v>42</v>
      </c>
      <c r="F783" t="s">
        <v>16</v>
      </c>
      <c r="G783" s="1">
        <v>46219</v>
      </c>
      <c r="I783" s="2"/>
      <c r="J783" t="s">
        <v>289</v>
      </c>
      <c r="K783">
        <v>9967</v>
      </c>
    </row>
    <row r="784" spans="2:11" hidden="1" x14ac:dyDescent="0.25">
      <c r="B784" t="s">
        <v>30</v>
      </c>
      <c r="C784" t="str">
        <f>_xlfn.XLOOKUP(B784,Tabla2[CODIGO],Tabla2[MATERIAL],"N/A",0)</f>
        <v>Kit puesta tierra acero inoxidable</v>
      </c>
      <c r="D784">
        <v>3</v>
      </c>
      <c r="E784" t="s">
        <v>42</v>
      </c>
      <c r="F784" t="s">
        <v>16</v>
      </c>
      <c r="G784" s="1">
        <v>46219</v>
      </c>
      <c r="I784" s="2"/>
      <c r="J784" t="s">
        <v>289</v>
      </c>
      <c r="K784">
        <v>9967</v>
      </c>
    </row>
    <row r="785" spans="2:11" hidden="1" x14ac:dyDescent="0.25">
      <c r="B785" t="s">
        <v>50</v>
      </c>
      <c r="C785" t="str">
        <f>_xlfn.XLOOKUP(B785,Tabla2[CODIGO],Tabla2[MATERIAL],"N/A",0)</f>
        <v>Percha galv 1 puesto</v>
      </c>
      <c r="D785">
        <v>6</v>
      </c>
      <c r="E785" t="s">
        <v>42</v>
      </c>
      <c r="F785" t="s">
        <v>16</v>
      </c>
      <c r="G785" s="1">
        <v>46219</v>
      </c>
      <c r="I785" s="2"/>
      <c r="J785" t="s">
        <v>289</v>
      </c>
      <c r="K785">
        <v>9967</v>
      </c>
    </row>
    <row r="786" spans="2:11" hidden="1" x14ac:dyDescent="0.25">
      <c r="B786" t="s">
        <v>47</v>
      </c>
      <c r="C786" t="str">
        <f>_xlfn.XLOOKUP(B786,Tabla2[CODIGO],Tabla2[MATERIAL],"N/A",0)</f>
        <v>Luminaria 75w</v>
      </c>
      <c r="D786">
        <v>1</v>
      </c>
      <c r="E786" t="s">
        <v>42</v>
      </c>
      <c r="F786" t="s">
        <v>16</v>
      </c>
      <c r="G786" s="1">
        <v>46219</v>
      </c>
      <c r="H786" t="s">
        <v>64</v>
      </c>
      <c r="I786" s="2" t="s">
        <v>324</v>
      </c>
      <c r="J786" t="s">
        <v>289</v>
      </c>
      <c r="K786">
        <v>9967</v>
      </c>
    </row>
    <row r="787" spans="2:11" hidden="1" x14ac:dyDescent="0.25">
      <c r="B787" t="s">
        <v>47</v>
      </c>
      <c r="C787" t="str">
        <f>_xlfn.XLOOKUP(B787,Tabla2[CODIGO],Tabla2[MATERIAL],"N/A",0)</f>
        <v>Luminaria 75w</v>
      </c>
      <c r="D787">
        <v>1</v>
      </c>
      <c r="E787" t="s">
        <v>42</v>
      </c>
      <c r="F787" t="s">
        <v>16</v>
      </c>
      <c r="G787" s="1">
        <v>46219</v>
      </c>
      <c r="H787" t="s">
        <v>64</v>
      </c>
      <c r="I787" s="2" t="s">
        <v>325</v>
      </c>
      <c r="J787" t="s">
        <v>289</v>
      </c>
      <c r="K787">
        <v>9967</v>
      </c>
    </row>
    <row r="788" spans="2:11" hidden="1" x14ac:dyDescent="0.25">
      <c r="B788" t="s">
        <v>47</v>
      </c>
      <c r="C788" t="str">
        <f>_xlfn.XLOOKUP(B788,Tabla2[CODIGO],Tabla2[MATERIAL],"N/A",0)</f>
        <v>Luminaria 75w</v>
      </c>
      <c r="D788">
        <v>1</v>
      </c>
      <c r="E788" t="s">
        <v>42</v>
      </c>
      <c r="F788" t="s">
        <v>16</v>
      </c>
      <c r="G788" s="1">
        <v>46219</v>
      </c>
      <c r="H788" t="s">
        <v>64</v>
      </c>
      <c r="I788" s="2" t="s">
        <v>326</v>
      </c>
      <c r="J788" t="s">
        <v>289</v>
      </c>
      <c r="K788">
        <v>9967</v>
      </c>
    </row>
    <row r="789" spans="2:11" hidden="1" x14ac:dyDescent="0.25">
      <c r="B789" t="s">
        <v>47</v>
      </c>
      <c r="C789" t="str">
        <f>_xlfn.XLOOKUP(B789,Tabla2[CODIGO],Tabla2[MATERIAL],"N/A",0)</f>
        <v>Luminaria 75w</v>
      </c>
      <c r="D789">
        <v>1</v>
      </c>
      <c r="E789" t="s">
        <v>42</v>
      </c>
      <c r="F789" t="s">
        <v>16</v>
      </c>
      <c r="G789" s="1">
        <v>46219</v>
      </c>
      <c r="H789" t="s">
        <v>64</v>
      </c>
      <c r="I789" s="2" t="s">
        <v>327</v>
      </c>
      <c r="J789" t="s">
        <v>289</v>
      </c>
      <c r="K789">
        <v>9967</v>
      </c>
    </row>
    <row r="790" spans="2:11" hidden="1" x14ac:dyDescent="0.25">
      <c r="B790" t="s">
        <v>47</v>
      </c>
      <c r="C790" t="str">
        <f>_xlfn.XLOOKUP(B790,Tabla2[CODIGO],Tabla2[MATERIAL],"N/A",0)</f>
        <v>Luminaria 75w</v>
      </c>
      <c r="D790">
        <v>1</v>
      </c>
      <c r="E790" t="s">
        <v>42</v>
      </c>
      <c r="F790" t="s">
        <v>16</v>
      </c>
      <c r="G790" s="1">
        <v>46219</v>
      </c>
      <c r="H790" t="s">
        <v>64</v>
      </c>
      <c r="I790" s="2" t="s">
        <v>328</v>
      </c>
      <c r="J790" t="s">
        <v>289</v>
      </c>
      <c r="K790">
        <v>9967</v>
      </c>
    </row>
    <row r="791" spans="2:11" hidden="1" x14ac:dyDescent="0.25">
      <c r="B791" t="s">
        <v>47</v>
      </c>
      <c r="C791" t="str">
        <f>_xlfn.XLOOKUP(B791,Tabla2[CODIGO],Tabla2[MATERIAL],"N/A",0)</f>
        <v>Luminaria 75w</v>
      </c>
      <c r="D791">
        <v>1</v>
      </c>
      <c r="E791" t="s">
        <v>42</v>
      </c>
      <c r="F791" t="s">
        <v>16</v>
      </c>
      <c r="G791" s="1">
        <v>46219</v>
      </c>
      <c r="H791" t="s">
        <v>64</v>
      </c>
      <c r="I791" s="2" t="s">
        <v>329</v>
      </c>
      <c r="J791" t="s">
        <v>289</v>
      </c>
      <c r="K791">
        <v>9967</v>
      </c>
    </row>
    <row r="792" spans="2:11" hidden="1" x14ac:dyDescent="0.25">
      <c r="B792" t="s">
        <v>47</v>
      </c>
      <c r="C792" t="str">
        <f>_xlfn.XLOOKUP(B792,Tabla2[CODIGO],Tabla2[MATERIAL],"N/A",0)</f>
        <v>Luminaria 75w</v>
      </c>
      <c r="D792">
        <v>1</v>
      </c>
      <c r="E792" t="s">
        <v>42</v>
      </c>
      <c r="F792" t="s">
        <v>16</v>
      </c>
      <c r="G792" s="1">
        <v>46219</v>
      </c>
      <c r="H792" t="s">
        <v>64</v>
      </c>
      <c r="I792" s="2" t="s">
        <v>330</v>
      </c>
      <c r="J792" t="s">
        <v>289</v>
      </c>
      <c r="K792">
        <v>9967</v>
      </c>
    </row>
    <row r="793" spans="2:11" hidden="1" x14ac:dyDescent="0.25">
      <c r="B793" t="s">
        <v>47</v>
      </c>
      <c r="C793" t="str">
        <f>_xlfn.XLOOKUP(B793,Tabla2[CODIGO],Tabla2[MATERIAL],"N/A",0)</f>
        <v>Luminaria 75w</v>
      </c>
      <c r="D793">
        <v>1</v>
      </c>
      <c r="E793" t="s">
        <v>42</v>
      </c>
      <c r="F793" t="s">
        <v>16</v>
      </c>
      <c r="G793" s="1">
        <v>46219</v>
      </c>
      <c r="H793" t="s">
        <v>64</v>
      </c>
      <c r="I793" s="2" t="s">
        <v>331</v>
      </c>
      <c r="J793" t="s">
        <v>289</v>
      </c>
      <c r="K793">
        <v>9967</v>
      </c>
    </row>
    <row r="794" spans="2:11" hidden="1" x14ac:dyDescent="0.25">
      <c r="B794" t="s">
        <v>47</v>
      </c>
      <c r="C794" t="str">
        <f>_xlfn.XLOOKUP(B794,Tabla2[CODIGO],Tabla2[MATERIAL],"N/A",0)</f>
        <v>Luminaria 75w</v>
      </c>
      <c r="D794">
        <v>1</v>
      </c>
      <c r="E794" t="s">
        <v>42</v>
      </c>
      <c r="F794" t="s">
        <v>16</v>
      </c>
      <c r="G794" s="1">
        <v>46219</v>
      </c>
      <c r="H794" t="s">
        <v>64</v>
      </c>
      <c r="I794" s="2" t="s">
        <v>332</v>
      </c>
      <c r="J794" t="s">
        <v>289</v>
      </c>
      <c r="K794">
        <v>9967</v>
      </c>
    </row>
    <row r="795" spans="2:11" hidden="1" x14ac:dyDescent="0.25">
      <c r="B795" t="s">
        <v>47</v>
      </c>
      <c r="C795" t="str">
        <f>_xlfn.XLOOKUP(B795,Tabla2[CODIGO],Tabla2[MATERIAL],"N/A",0)</f>
        <v>Luminaria 75w</v>
      </c>
      <c r="D795">
        <v>1</v>
      </c>
      <c r="E795" t="s">
        <v>42</v>
      </c>
      <c r="F795" t="s">
        <v>16</v>
      </c>
      <c r="G795" s="1">
        <v>46219</v>
      </c>
      <c r="H795" t="s">
        <v>64</v>
      </c>
      <c r="I795" s="2" t="s">
        <v>333</v>
      </c>
      <c r="J795" t="s">
        <v>289</v>
      </c>
      <c r="K795">
        <v>9967</v>
      </c>
    </row>
    <row r="796" spans="2:11" hidden="1" x14ac:dyDescent="0.25">
      <c r="B796" t="s">
        <v>47</v>
      </c>
      <c r="C796" t="str">
        <f>_xlfn.XLOOKUP(B796,Tabla2[CODIGO],Tabla2[MATERIAL],"N/A",0)</f>
        <v>Luminaria 75w</v>
      </c>
      <c r="D796">
        <v>1</v>
      </c>
      <c r="E796" t="s">
        <v>42</v>
      </c>
      <c r="F796" t="s">
        <v>16</v>
      </c>
      <c r="G796" s="1">
        <v>46219</v>
      </c>
      <c r="H796" t="s">
        <v>64</v>
      </c>
      <c r="I796" s="2" t="s">
        <v>334</v>
      </c>
      <c r="J796" t="s">
        <v>289</v>
      </c>
      <c r="K796">
        <v>9967</v>
      </c>
    </row>
    <row r="797" spans="2:11" hidden="1" x14ac:dyDescent="0.25">
      <c r="B797" t="s">
        <v>47</v>
      </c>
      <c r="C797" t="str">
        <f>_xlfn.XLOOKUP(B797,Tabla2[CODIGO],Tabla2[MATERIAL],"N/A",0)</f>
        <v>Luminaria 75w</v>
      </c>
      <c r="D797">
        <v>1</v>
      </c>
      <c r="E797" t="s">
        <v>42</v>
      </c>
      <c r="F797" t="s">
        <v>16</v>
      </c>
      <c r="G797" s="1">
        <v>46219</v>
      </c>
      <c r="H797" t="s">
        <v>64</v>
      </c>
      <c r="I797" s="2" t="s">
        <v>335</v>
      </c>
      <c r="J797" t="s">
        <v>289</v>
      </c>
      <c r="K797">
        <v>9967</v>
      </c>
    </row>
    <row r="798" spans="2:11" hidden="1" x14ac:dyDescent="0.25">
      <c r="B798" t="s">
        <v>47</v>
      </c>
      <c r="C798" t="str">
        <f>_xlfn.XLOOKUP(B798,Tabla2[CODIGO],Tabla2[MATERIAL],"N/A",0)</f>
        <v>Luminaria 75w</v>
      </c>
      <c r="D798">
        <v>1</v>
      </c>
      <c r="E798" t="s">
        <v>42</v>
      </c>
      <c r="F798" t="s">
        <v>16</v>
      </c>
      <c r="G798" s="1">
        <v>46219</v>
      </c>
      <c r="H798" t="s">
        <v>64</v>
      </c>
      <c r="I798" s="2" t="s">
        <v>336</v>
      </c>
      <c r="J798" t="s">
        <v>289</v>
      </c>
      <c r="K798">
        <v>9967</v>
      </c>
    </row>
    <row r="799" spans="2:11" hidden="1" x14ac:dyDescent="0.25">
      <c r="B799" t="s">
        <v>47</v>
      </c>
      <c r="C799" t="str">
        <f>_xlfn.XLOOKUP(B799,Tabla2[CODIGO],Tabla2[MATERIAL],"N/A",0)</f>
        <v>Luminaria 75w</v>
      </c>
      <c r="D799">
        <v>1</v>
      </c>
      <c r="E799" t="s">
        <v>42</v>
      </c>
      <c r="F799" t="s">
        <v>16</v>
      </c>
      <c r="G799" s="1">
        <v>46219</v>
      </c>
      <c r="H799" t="s">
        <v>64</v>
      </c>
      <c r="I799" s="2" t="s">
        <v>337</v>
      </c>
      <c r="J799" t="s">
        <v>289</v>
      </c>
      <c r="K799">
        <v>9967</v>
      </c>
    </row>
    <row r="800" spans="2:11" hidden="1" x14ac:dyDescent="0.25">
      <c r="B800" t="s">
        <v>47</v>
      </c>
      <c r="C800" t="str">
        <f>_xlfn.XLOOKUP(B800,Tabla2[CODIGO],Tabla2[MATERIAL],"N/A",0)</f>
        <v>Luminaria 75w</v>
      </c>
      <c r="D800">
        <v>1</v>
      </c>
      <c r="E800" t="s">
        <v>42</v>
      </c>
      <c r="F800" t="s">
        <v>16</v>
      </c>
      <c r="G800" s="1">
        <v>46219</v>
      </c>
      <c r="H800" t="s">
        <v>64</v>
      </c>
      <c r="I800" s="2" t="s">
        <v>338</v>
      </c>
      <c r="J800" t="s">
        <v>289</v>
      </c>
      <c r="K800">
        <v>9967</v>
      </c>
    </row>
    <row r="801" spans="2:14" hidden="1" x14ac:dyDescent="0.25">
      <c r="B801" t="s">
        <v>47</v>
      </c>
      <c r="C801" t="str">
        <f>_xlfn.XLOOKUP(B801,Tabla2[CODIGO],Tabla2[MATERIAL],"N/A",0)</f>
        <v>Luminaria 75w</v>
      </c>
      <c r="D801">
        <v>1</v>
      </c>
      <c r="E801" t="s">
        <v>42</v>
      </c>
      <c r="F801" t="s">
        <v>16</v>
      </c>
      <c r="G801" s="1">
        <v>46219</v>
      </c>
      <c r="H801" t="s">
        <v>64</v>
      </c>
      <c r="I801" s="2" t="s">
        <v>339</v>
      </c>
      <c r="J801" t="s">
        <v>289</v>
      </c>
      <c r="K801">
        <v>9967</v>
      </c>
    </row>
    <row r="802" spans="2:14" hidden="1" x14ac:dyDescent="0.25">
      <c r="B802" t="s">
        <v>47</v>
      </c>
      <c r="C802" t="str">
        <f>_xlfn.XLOOKUP(B802,Tabla2[CODIGO],Tabla2[MATERIAL],"N/A",0)</f>
        <v>Luminaria 75w</v>
      </c>
      <c r="D802">
        <v>1</v>
      </c>
      <c r="E802" t="s">
        <v>42</v>
      </c>
      <c r="F802" t="s">
        <v>16</v>
      </c>
      <c r="G802" s="1">
        <v>46219</v>
      </c>
      <c r="H802" t="s">
        <v>64</v>
      </c>
      <c r="I802" s="2" t="s">
        <v>340</v>
      </c>
      <c r="J802" t="s">
        <v>289</v>
      </c>
      <c r="K802">
        <v>9967</v>
      </c>
    </row>
    <row r="803" spans="2:14" hidden="1" x14ac:dyDescent="0.25">
      <c r="B803" t="s">
        <v>47</v>
      </c>
      <c r="C803" t="str">
        <f>_xlfn.XLOOKUP(B803,Tabla2[CODIGO],Tabla2[MATERIAL],"N/A",0)</f>
        <v>Luminaria 75w</v>
      </c>
      <c r="D803">
        <v>1</v>
      </c>
      <c r="E803" t="s">
        <v>42</v>
      </c>
      <c r="F803" t="s">
        <v>16</v>
      </c>
      <c r="G803" s="1">
        <v>46219</v>
      </c>
      <c r="H803" t="s">
        <v>64</v>
      </c>
      <c r="I803" s="2" t="s">
        <v>341</v>
      </c>
      <c r="J803" t="s">
        <v>289</v>
      </c>
      <c r="K803">
        <v>9967</v>
      </c>
    </row>
    <row r="804" spans="2:14" hidden="1" x14ac:dyDescent="0.25">
      <c r="B804" t="s">
        <v>47</v>
      </c>
      <c r="C804" t="str">
        <f>_xlfn.XLOOKUP(B804,Tabla2[CODIGO],Tabla2[MATERIAL],"N/A",0)</f>
        <v>Luminaria 75w</v>
      </c>
      <c r="D804">
        <v>1</v>
      </c>
      <c r="E804" t="s">
        <v>42</v>
      </c>
      <c r="F804" t="s">
        <v>16</v>
      </c>
      <c r="G804" s="1">
        <v>46219</v>
      </c>
      <c r="H804" t="s">
        <v>64</v>
      </c>
      <c r="I804" s="2" t="s">
        <v>342</v>
      </c>
      <c r="J804" t="s">
        <v>289</v>
      </c>
      <c r="K804">
        <v>9967</v>
      </c>
    </row>
    <row r="805" spans="2:14" hidden="1" x14ac:dyDescent="0.25">
      <c r="B805" t="s">
        <v>47</v>
      </c>
      <c r="C805" t="str">
        <f>_xlfn.XLOOKUP(B805,Tabla2[CODIGO],Tabla2[MATERIAL],"N/A",0)</f>
        <v>Luminaria 75w</v>
      </c>
      <c r="D805">
        <v>1</v>
      </c>
      <c r="E805" t="s">
        <v>42</v>
      </c>
      <c r="F805" t="s">
        <v>16</v>
      </c>
      <c r="G805" s="1">
        <v>46219</v>
      </c>
      <c r="H805" t="s">
        <v>64</v>
      </c>
      <c r="I805" s="2" t="s">
        <v>343</v>
      </c>
      <c r="J805" t="s">
        <v>289</v>
      </c>
      <c r="K805">
        <v>9967</v>
      </c>
    </row>
    <row r="806" spans="2:14" hidden="1" x14ac:dyDescent="0.25">
      <c r="B806" t="s">
        <v>47</v>
      </c>
      <c r="C806" t="str">
        <f>_xlfn.XLOOKUP(B806,Tabla2[CODIGO],Tabla2[MATERIAL],"N/A",0)</f>
        <v>Luminaria 75w</v>
      </c>
      <c r="D806">
        <v>1</v>
      </c>
      <c r="E806" t="s">
        <v>42</v>
      </c>
      <c r="F806" t="s">
        <v>16</v>
      </c>
      <c r="G806" s="1">
        <v>46219</v>
      </c>
      <c r="H806" t="s">
        <v>64</v>
      </c>
      <c r="I806" s="2" t="s">
        <v>344</v>
      </c>
      <c r="J806" t="s">
        <v>289</v>
      </c>
      <c r="K806">
        <v>9967</v>
      </c>
    </row>
    <row r="807" spans="2:14" hidden="1" x14ac:dyDescent="0.25">
      <c r="B807" t="s">
        <v>47</v>
      </c>
      <c r="C807" t="str">
        <f>_xlfn.XLOOKUP(B807,Tabla2[CODIGO],Tabla2[MATERIAL],"N/A",0)</f>
        <v>Luminaria 75w</v>
      </c>
      <c r="D807">
        <v>1</v>
      </c>
      <c r="E807" t="s">
        <v>42</v>
      </c>
      <c r="F807" t="s">
        <v>16</v>
      </c>
      <c r="G807" s="1">
        <v>46219</v>
      </c>
      <c r="H807" t="s">
        <v>64</v>
      </c>
      <c r="I807" s="2" t="s">
        <v>345</v>
      </c>
      <c r="J807" t="s">
        <v>289</v>
      </c>
      <c r="K807">
        <v>9967</v>
      </c>
    </row>
    <row r="808" spans="2:14" hidden="1" x14ac:dyDescent="0.25">
      <c r="B808" t="s">
        <v>47</v>
      </c>
      <c r="C808" t="str">
        <f>_xlfn.XLOOKUP(B808,Tabla2[CODIGO],Tabla2[MATERIAL],"N/A",0)</f>
        <v>Luminaria 75w</v>
      </c>
      <c r="D808">
        <v>1</v>
      </c>
      <c r="E808" t="s">
        <v>42</v>
      </c>
      <c r="F808" t="s">
        <v>16</v>
      </c>
      <c r="G808" s="1">
        <v>46219</v>
      </c>
      <c r="H808" t="s">
        <v>64</v>
      </c>
      <c r="I808" s="2" t="s">
        <v>346</v>
      </c>
      <c r="J808" t="s">
        <v>289</v>
      </c>
      <c r="K808">
        <v>9967</v>
      </c>
    </row>
    <row r="809" spans="2:14" hidden="1" x14ac:dyDescent="0.25">
      <c r="B809" t="s">
        <v>47</v>
      </c>
      <c r="C809" t="str">
        <f>_xlfn.XLOOKUP(B809,Tabla2[CODIGO],Tabla2[MATERIAL],"N/A",0)</f>
        <v>Luminaria 75w</v>
      </c>
      <c r="D809">
        <v>1</v>
      </c>
      <c r="E809" t="s">
        <v>42</v>
      </c>
      <c r="F809" t="s">
        <v>16</v>
      </c>
      <c r="G809" s="1">
        <v>46219</v>
      </c>
      <c r="H809" t="s">
        <v>64</v>
      </c>
      <c r="I809" s="2" t="s">
        <v>347</v>
      </c>
      <c r="J809" t="s">
        <v>289</v>
      </c>
      <c r="K809">
        <v>9967</v>
      </c>
    </row>
    <row r="810" spans="2:14" hidden="1" x14ac:dyDescent="0.25">
      <c r="B810" t="s">
        <v>47</v>
      </c>
      <c r="C810" t="str">
        <f>_xlfn.XLOOKUP(B810,Tabla2[CODIGO],Tabla2[MATERIAL],"N/A",0)</f>
        <v>Luminaria 75w</v>
      </c>
      <c r="D810">
        <v>1</v>
      </c>
      <c r="E810" t="s">
        <v>42</v>
      </c>
      <c r="F810" t="s">
        <v>16</v>
      </c>
      <c r="G810" s="1">
        <v>46219</v>
      </c>
      <c r="H810" t="s">
        <v>64</v>
      </c>
      <c r="I810" s="2" t="s">
        <v>348</v>
      </c>
      <c r="J810" t="s">
        <v>289</v>
      </c>
      <c r="K810">
        <v>9967</v>
      </c>
    </row>
    <row r="811" spans="2:14" hidden="1" x14ac:dyDescent="0.25">
      <c r="B811" t="s">
        <v>237</v>
      </c>
      <c r="C811" t="str">
        <f>_xlfn.XLOOKUP(B811,Tabla2[CODIGO],Tabla2[MATERIAL],"N/A",0)</f>
        <v>coraza ame metalica 3-4"</v>
      </c>
      <c r="D811">
        <v>0.8</v>
      </c>
      <c r="E811" t="s">
        <v>43</v>
      </c>
      <c r="F811" t="s">
        <v>62</v>
      </c>
      <c r="G811" s="1">
        <v>46200</v>
      </c>
      <c r="I811" s="2"/>
      <c r="J811" t="s">
        <v>166</v>
      </c>
      <c r="K811">
        <v>9961</v>
      </c>
      <c r="L811" t="s">
        <v>165</v>
      </c>
      <c r="M811">
        <v>6532281</v>
      </c>
      <c r="N811">
        <v>3</v>
      </c>
    </row>
    <row r="812" spans="2:14" hidden="1" x14ac:dyDescent="0.25">
      <c r="B812" t="s">
        <v>237</v>
      </c>
      <c r="C812" t="str">
        <f>_xlfn.XLOOKUP(B812,Tabla2[CODIGO],Tabla2[MATERIAL],"N/A",0)</f>
        <v>coraza ame metalica 3-4"</v>
      </c>
      <c r="D812">
        <v>0.3</v>
      </c>
      <c r="E812" t="s">
        <v>43</v>
      </c>
      <c r="F812" t="s">
        <v>62</v>
      </c>
      <c r="G812" s="1">
        <v>46200</v>
      </c>
      <c r="I812" s="2"/>
      <c r="J812" t="s">
        <v>166</v>
      </c>
      <c r="K812">
        <v>9961</v>
      </c>
      <c r="L812" t="s">
        <v>165</v>
      </c>
      <c r="M812">
        <v>6532306</v>
      </c>
      <c r="N812">
        <v>5</v>
      </c>
    </row>
    <row r="813" spans="2:14" hidden="1" x14ac:dyDescent="0.25">
      <c r="B813" t="s">
        <v>237</v>
      </c>
      <c r="C813" t="str">
        <f>_xlfn.XLOOKUP(B813,Tabla2[CODIGO],Tabla2[MATERIAL],"N/A",0)</f>
        <v>coraza ame metalica 3-4"</v>
      </c>
      <c r="D813">
        <v>2</v>
      </c>
      <c r="E813" t="s">
        <v>43</v>
      </c>
      <c r="F813" t="s">
        <v>62</v>
      </c>
      <c r="G813" s="1">
        <v>46200</v>
      </c>
      <c r="I813" s="2"/>
      <c r="J813" t="s">
        <v>166</v>
      </c>
      <c r="K813">
        <v>9961</v>
      </c>
      <c r="L813" t="s">
        <v>165</v>
      </c>
      <c r="M813">
        <v>6522233</v>
      </c>
      <c r="N813">
        <v>7</v>
      </c>
    </row>
    <row r="814" spans="2:14" hidden="1" x14ac:dyDescent="0.25">
      <c r="B814" t="s">
        <v>237</v>
      </c>
      <c r="C814" t="str">
        <f>_xlfn.XLOOKUP(B814,Tabla2[CODIGO],Tabla2[MATERIAL],"N/A",0)</f>
        <v>coraza ame metalica 3-4"</v>
      </c>
      <c r="D814">
        <v>0.8</v>
      </c>
      <c r="E814" t="s">
        <v>43</v>
      </c>
      <c r="F814" t="s">
        <v>62</v>
      </c>
      <c r="G814" s="1">
        <v>46200</v>
      </c>
      <c r="I814" s="2"/>
      <c r="J814" t="s">
        <v>166</v>
      </c>
      <c r="K814">
        <v>9961</v>
      </c>
      <c r="L814" t="s">
        <v>165</v>
      </c>
      <c r="M814">
        <v>6535241</v>
      </c>
      <c r="N814">
        <v>9</v>
      </c>
    </row>
    <row r="815" spans="2:14" hidden="1" x14ac:dyDescent="0.25">
      <c r="B815" t="s">
        <v>38</v>
      </c>
      <c r="C815" t="str">
        <f>_xlfn.XLOOKUP(B815,Tabla2[CODIGO],Tabla2[MATERIAL],"N/A",0)</f>
        <v>Tuberia Conduflex 3/4"</v>
      </c>
      <c r="D815">
        <v>2</v>
      </c>
      <c r="E815" t="s">
        <v>42</v>
      </c>
      <c r="F815" t="s">
        <v>62</v>
      </c>
      <c r="G815" s="1">
        <v>46200</v>
      </c>
      <c r="I815" s="2"/>
      <c r="J815" t="s">
        <v>166</v>
      </c>
      <c r="K815">
        <v>9961</v>
      </c>
      <c r="L815" t="s">
        <v>165</v>
      </c>
      <c r="M815">
        <v>6532281</v>
      </c>
      <c r="N815">
        <v>17</v>
      </c>
    </row>
    <row r="816" spans="2:14" hidden="1" x14ac:dyDescent="0.25">
      <c r="B816" t="s">
        <v>38</v>
      </c>
      <c r="C816" t="str">
        <f>_xlfn.XLOOKUP(B816,Tabla2[CODIGO],Tabla2[MATERIAL],"N/A",0)</f>
        <v>Tuberia Conduflex 3/4"</v>
      </c>
      <c r="D816">
        <v>3</v>
      </c>
      <c r="E816" t="s">
        <v>42</v>
      </c>
      <c r="F816" t="s">
        <v>62</v>
      </c>
      <c r="G816" s="1">
        <v>46200</v>
      </c>
      <c r="I816" s="2"/>
      <c r="J816" t="s">
        <v>166</v>
      </c>
      <c r="K816">
        <v>9961</v>
      </c>
      <c r="L816" t="s">
        <v>165</v>
      </c>
      <c r="M816">
        <v>2173221</v>
      </c>
      <c r="N816">
        <v>15</v>
      </c>
    </row>
    <row r="817" spans="2:14" hidden="1" x14ac:dyDescent="0.25">
      <c r="B817" t="s">
        <v>349</v>
      </c>
      <c r="C817" t="str">
        <f>_xlfn.XLOOKUP(B817,Tabla2[CODIGO],Tabla2[MATERIAL],"N/A",0)</f>
        <v>Cinta Bandit 1/2"</v>
      </c>
      <c r="D817">
        <v>5</v>
      </c>
      <c r="E817" t="s">
        <v>43</v>
      </c>
      <c r="F817" t="s">
        <v>62</v>
      </c>
      <c r="G817" s="1">
        <v>46200</v>
      </c>
      <c r="I817" s="2"/>
      <c r="J817" t="s">
        <v>166</v>
      </c>
      <c r="K817">
        <v>9961</v>
      </c>
      <c r="L817" t="s">
        <v>165</v>
      </c>
      <c r="M817">
        <v>2173221</v>
      </c>
      <c r="N817">
        <v>15</v>
      </c>
    </row>
    <row r="818" spans="2:14" hidden="1" x14ac:dyDescent="0.25">
      <c r="B818" t="s">
        <v>37</v>
      </c>
      <c r="C818" t="str">
        <f>_xlfn.XLOOKUP(B818,Tabla2[CODIGO],Tabla2[MATERIAL],"N/A",0)</f>
        <v>Hebilla para cinta bandit 1/2"</v>
      </c>
      <c r="D818">
        <v>3</v>
      </c>
      <c r="E818" t="s">
        <v>42</v>
      </c>
      <c r="F818" t="s">
        <v>62</v>
      </c>
      <c r="G818" s="1">
        <v>46200</v>
      </c>
      <c r="I818" s="2"/>
      <c r="J818" t="s">
        <v>166</v>
      </c>
      <c r="K818">
        <v>9961</v>
      </c>
      <c r="L818" t="s">
        <v>165</v>
      </c>
      <c r="M818">
        <v>2173221</v>
      </c>
      <c r="N818">
        <v>15</v>
      </c>
    </row>
    <row r="819" spans="2:14" hidden="1" x14ac:dyDescent="0.25">
      <c r="B819" t="s">
        <v>349</v>
      </c>
      <c r="C819" t="str">
        <f>_xlfn.XLOOKUP(B819,Tabla2[CODIGO],Tabla2[MATERIAL],"N/A",0)</f>
        <v>Cinta Bandit 1/2"</v>
      </c>
      <c r="D819">
        <v>3</v>
      </c>
      <c r="E819" t="s">
        <v>43</v>
      </c>
      <c r="F819" t="s">
        <v>62</v>
      </c>
      <c r="G819" s="1">
        <v>46200</v>
      </c>
      <c r="I819" s="2"/>
      <c r="J819" t="s">
        <v>166</v>
      </c>
      <c r="K819">
        <v>9961</v>
      </c>
      <c r="L819" t="s">
        <v>165</v>
      </c>
      <c r="M819">
        <v>6535241</v>
      </c>
      <c r="N819">
        <v>5</v>
      </c>
    </row>
    <row r="820" spans="2:14" hidden="1" x14ac:dyDescent="0.25">
      <c r="B820" t="s">
        <v>37</v>
      </c>
      <c r="C820" t="str">
        <f>_xlfn.XLOOKUP(B820,Tabla2[CODIGO],Tabla2[MATERIAL],"N/A",0)</f>
        <v>Hebilla para cinta bandit 1/2"</v>
      </c>
      <c r="D820">
        <v>5</v>
      </c>
      <c r="E820" t="s">
        <v>42</v>
      </c>
      <c r="F820" t="s">
        <v>62</v>
      </c>
      <c r="G820" s="1">
        <v>46200</v>
      </c>
      <c r="I820" s="2"/>
      <c r="J820" t="s">
        <v>166</v>
      </c>
      <c r="K820">
        <v>9961</v>
      </c>
      <c r="L820" t="s">
        <v>165</v>
      </c>
      <c r="M820">
        <v>6535241</v>
      </c>
      <c r="N820">
        <v>5</v>
      </c>
    </row>
    <row r="821" spans="2:14" hidden="1" x14ac:dyDescent="0.25">
      <c r="B821" t="s">
        <v>223</v>
      </c>
      <c r="C821" t="str">
        <f>_xlfn.XLOOKUP(B821,Tabla2[CODIGO],Tabla2[MATERIAL],"N/A",0)</f>
        <v>Conector resorte 18-8</v>
      </c>
      <c r="D821">
        <v>3</v>
      </c>
      <c r="E821" t="s">
        <v>42</v>
      </c>
      <c r="F821" t="s">
        <v>62</v>
      </c>
      <c r="G821" s="1">
        <v>46200</v>
      </c>
      <c r="I821" s="2"/>
      <c r="J821" t="s">
        <v>166</v>
      </c>
      <c r="K821">
        <v>9961</v>
      </c>
      <c r="L821" t="s">
        <v>165</v>
      </c>
      <c r="M821">
        <v>2257815</v>
      </c>
      <c r="N821">
        <v>2</v>
      </c>
    </row>
    <row r="822" spans="2:14" hidden="1" x14ac:dyDescent="0.25">
      <c r="B822" t="s">
        <v>223</v>
      </c>
      <c r="C822" t="str">
        <f>_xlfn.XLOOKUP(B822,Tabla2[CODIGO],Tabla2[MATERIAL],"N/A",0)</f>
        <v>Conector resorte 18-8</v>
      </c>
      <c r="D822">
        <v>3</v>
      </c>
      <c r="E822" t="s">
        <v>42</v>
      </c>
      <c r="F822" t="s">
        <v>62</v>
      </c>
      <c r="G822" s="1">
        <v>46200</v>
      </c>
      <c r="I822" s="2"/>
      <c r="J822" t="s">
        <v>166</v>
      </c>
      <c r="K822">
        <v>9961</v>
      </c>
      <c r="L822" t="s">
        <v>165</v>
      </c>
      <c r="M822">
        <v>2258897</v>
      </c>
      <c r="N822">
        <v>4</v>
      </c>
    </row>
    <row r="823" spans="2:14" hidden="1" x14ac:dyDescent="0.25">
      <c r="B823" t="s">
        <v>223</v>
      </c>
      <c r="C823" t="str">
        <f>_xlfn.XLOOKUP(B823,Tabla2[CODIGO],Tabla2[MATERIAL],"N/A",0)</f>
        <v>Conector resorte 18-8</v>
      </c>
      <c r="D823">
        <v>3</v>
      </c>
      <c r="E823" t="s">
        <v>42</v>
      </c>
      <c r="F823" t="s">
        <v>62</v>
      </c>
      <c r="G823" s="1">
        <v>46200</v>
      </c>
      <c r="I823" s="2"/>
      <c r="J823" t="s">
        <v>166</v>
      </c>
      <c r="K823">
        <v>9961</v>
      </c>
      <c r="L823" t="s">
        <v>165</v>
      </c>
      <c r="M823">
        <v>6535241</v>
      </c>
      <c r="N823">
        <v>5</v>
      </c>
    </row>
    <row r="824" spans="2:14" hidden="1" x14ac:dyDescent="0.25">
      <c r="B824" t="s">
        <v>223</v>
      </c>
      <c r="C824" t="str">
        <f>_xlfn.XLOOKUP(B824,Tabla2[CODIGO],Tabla2[MATERIAL],"N/A",0)</f>
        <v>Conector resorte 18-8</v>
      </c>
      <c r="D824">
        <v>3</v>
      </c>
      <c r="E824" t="s">
        <v>42</v>
      </c>
      <c r="F824" t="s">
        <v>62</v>
      </c>
      <c r="G824" s="1">
        <v>46200</v>
      </c>
      <c r="I824" s="2"/>
      <c r="J824" t="s">
        <v>166</v>
      </c>
      <c r="K824">
        <v>9961</v>
      </c>
      <c r="L824" t="s">
        <v>165</v>
      </c>
      <c r="M824">
        <v>6532292</v>
      </c>
      <c r="N824">
        <v>13</v>
      </c>
    </row>
    <row r="825" spans="2:14" hidden="1" x14ac:dyDescent="0.25">
      <c r="B825" t="s">
        <v>223</v>
      </c>
      <c r="C825" t="str">
        <f>_xlfn.XLOOKUP(B825,Tabla2[CODIGO],Tabla2[MATERIAL],"N/A",0)</f>
        <v>Conector resorte 18-8</v>
      </c>
      <c r="D825">
        <v>3</v>
      </c>
      <c r="E825" t="s">
        <v>42</v>
      </c>
      <c r="F825" t="s">
        <v>62</v>
      </c>
      <c r="G825" s="1">
        <v>46200</v>
      </c>
      <c r="I825" s="2"/>
      <c r="J825" t="s">
        <v>166</v>
      </c>
      <c r="K825">
        <v>9961</v>
      </c>
      <c r="L825" t="s">
        <v>165</v>
      </c>
      <c r="M825">
        <v>2173221</v>
      </c>
      <c r="N825">
        <v>16</v>
      </c>
    </row>
    <row r="826" spans="2:14" hidden="1" x14ac:dyDescent="0.25">
      <c r="B826" t="s">
        <v>223</v>
      </c>
      <c r="C826" t="str">
        <f>_xlfn.XLOOKUP(B826,Tabla2[CODIGO],Tabla2[MATERIAL],"N/A",0)</f>
        <v>Conector resorte 18-8</v>
      </c>
      <c r="D826">
        <v>3</v>
      </c>
      <c r="E826" t="s">
        <v>42</v>
      </c>
      <c r="F826" t="s">
        <v>62</v>
      </c>
      <c r="G826" s="1">
        <v>46200</v>
      </c>
      <c r="I826" s="2"/>
      <c r="J826" t="s">
        <v>166</v>
      </c>
      <c r="K826">
        <v>9961</v>
      </c>
      <c r="L826" t="s">
        <v>165</v>
      </c>
      <c r="M826">
        <v>6532281</v>
      </c>
      <c r="N826">
        <v>18</v>
      </c>
    </row>
    <row r="827" spans="2:14" hidden="1" x14ac:dyDescent="0.25">
      <c r="B827" t="s">
        <v>223</v>
      </c>
      <c r="C827" t="str">
        <f>_xlfn.XLOOKUP(B827,Tabla2[CODIGO],Tabla2[MATERIAL],"N/A",0)</f>
        <v>Conector resorte 18-8</v>
      </c>
      <c r="D827">
        <v>3</v>
      </c>
      <c r="E827" t="s">
        <v>42</v>
      </c>
      <c r="F827" t="s">
        <v>62</v>
      </c>
      <c r="G827" s="1">
        <v>46200</v>
      </c>
      <c r="I827" s="2"/>
      <c r="J827" t="s">
        <v>166</v>
      </c>
      <c r="K827">
        <v>9961</v>
      </c>
      <c r="L827" t="s">
        <v>165</v>
      </c>
      <c r="M827">
        <v>6522233</v>
      </c>
      <c r="N827">
        <v>20</v>
      </c>
    </row>
    <row r="828" spans="2:14" hidden="1" x14ac:dyDescent="0.25">
      <c r="B828" t="s">
        <v>223</v>
      </c>
      <c r="C828" t="str">
        <f>_xlfn.XLOOKUP(B828,Tabla2[CODIGO],Tabla2[MATERIAL],"N/A",0)</f>
        <v>Conector resorte 18-8</v>
      </c>
      <c r="D828">
        <v>3</v>
      </c>
      <c r="E828" t="s">
        <v>42</v>
      </c>
      <c r="F828" t="s">
        <v>62</v>
      </c>
      <c r="G828" s="1">
        <v>46200</v>
      </c>
      <c r="I828" s="2"/>
      <c r="J828" t="s">
        <v>166</v>
      </c>
      <c r="K828">
        <v>9961</v>
      </c>
      <c r="L828" t="s">
        <v>165</v>
      </c>
      <c r="M828">
        <v>6532225</v>
      </c>
      <c r="N828">
        <v>23</v>
      </c>
    </row>
    <row r="829" spans="2:14" hidden="1" x14ac:dyDescent="0.25">
      <c r="B829" t="s">
        <v>224</v>
      </c>
      <c r="C829" t="str">
        <f>_xlfn.XLOOKUP(B829,Tabla2[CODIGO],Tabla2[MATERIAL],"N/A",0)</f>
        <v>Empalme gel ppal 8-4/0 a der 14-2/0 awg (grande)</v>
      </c>
      <c r="D829">
        <v>2</v>
      </c>
      <c r="E829" t="s">
        <v>42</v>
      </c>
      <c r="F829" t="s">
        <v>62</v>
      </c>
      <c r="G829" s="1">
        <v>46200</v>
      </c>
      <c r="I829" s="2"/>
      <c r="J829" t="s">
        <v>166</v>
      </c>
      <c r="K829">
        <v>9961</v>
      </c>
      <c r="L829" t="s">
        <v>165</v>
      </c>
      <c r="M829">
        <v>2257815</v>
      </c>
      <c r="N829">
        <v>2</v>
      </c>
    </row>
    <row r="830" spans="2:14" hidden="1" x14ac:dyDescent="0.25">
      <c r="B830" t="s">
        <v>224</v>
      </c>
      <c r="C830" t="str">
        <f>_xlfn.XLOOKUP(B830,Tabla2[CODIGO],Tabla2[MATERIAL],"N/A",0)</f>
        <v>Empalme gel ppal 8-4/0 a der 14-2/0 awg (grande)</v>
      </c>
      <c r="D830">
        <v>2</v>
      </c>
      <c r="E830" t="s">
        <v>42</v>
      </c>
      <c r="F830" t="s">
        <v>62</v>
      </c>
      <c r="G830" s="1">
        <v>46200</v>
      </c>
      <c r="I830" s="2"/>
      <c r="J830" t="s">
        <v>166</v>
      </c>
      <c r="K830">
        <v>9961</v>
      </c>
      <c r="L830" t="s">
        <v>165</v>
      </c>
      <c r="M830">
        <v>2258897</v>
      </c>
      <c r="N830">
        <v>4</v>
      </c>
    </row>
    <row r="831" spans="2:14" hidden="1" x14ac:dyDescent="0.25">
      <c r="B831" t="s">
        <v>224</v>
      </c>
      <c r="C831" t="str">
        <f>_xlfn.XLOOKUP(B831,Tabla2[CODIGO],Tabla2[MATERIAL],"N/A",0)</f>
        <v>Empalme gel ppal 8-4/0 a der 14-2/0 awg (grande)</v>
      </c>
      <c r="D831">
        <v>2</v>
      </c>
      <c r="E831" t="s">
        <v>42</v>
      </c>
      <c r="F831" t="s">
        <v>62</v>
      </c>
      <c r="G831" s="1">
        <v>46200</v>
      </c>
      <c r="I831" s="2"/>
      <c r="J831" t="s">
        <v>166</v>
      </c>
      <c r="K831">
        <v>9961</v>
      </c>
      <c r="L831" t="s">
        <v>165</v>
      </c>
      <c r="M831">
        <v>6535241</v>
      </c>
      <c r="N831">
        <v>5</v>
      </c>
    </row>
    <row r="832" spans="2:14" hidden="1" x14ac:dyDescent="0.25">
      <c r="B832" t="s">
        <v>224</v>
      </c>
      <c r="C832" t="str">
        <f>_xlfn.XLOOKUP(B832,Tabla2[CODIGO],Tabla2[MATERIAL],"N/A",0)</f>
        <v>Empalme gel ppal 8-4/0 a der 14-2/0 awg (grande)</v>
      </c>
      <c r="D832">
        <v>2</v>
      </c>
      <c r="E832" t="s">
        <v>42</v>
      </c>
      <c r="F832" t="s">
        <v>62</v>
      </c>
      <c r="G832" s="1">
        <v>46200</v>
      </c>
      <c r="I832" s="2"/>
      <c r="J832" t="s">
        <v>166</v>
      </c>
      <c r="K832">
        <v>9961</v>
      </c>
      <c r="L832" t="s">
        <v>165</v>
      </c>
      <c r="M832">
        <v>6532292</v>
      </c>
      <c r="N832">
        <v>13</v>
      </c>
    </row>
    <row r="833" spans="2:14" hidden="1" x14ac:dyDescent="0.25">
      <c r="B833" t="s">
        <v>224</v>
      </c>
      <c r="C833" t="str">
        <f>_xlfn.XLOOKUP(B833,Tabla2[CODIGO],Tabla2[MATERIAL],"N/A",0)</f>
        <v>Empalme gel ppal 8-4/0 a der 14-2/0 awg (grande)</v>
      </c>
      <c r="D833">
        <v>2</v>
      </c>
      <c r="E833" t="s">
        <v>42</v>
      </c>
      <c r="F833" t="s">
        <v>62</v>
      </c>
      <c r="G833" s="1">
        <v>46200</v>
      </c>
      <c r="I833" s="2"/>
      <c r="J833" t="s">
        <v>166</v>
      </c>
      <c r="K833">
        <v>9961</v>
      </c>
      <c r="L833" t="s">
        <v>165</v>
      </c>
      <c r="M833">
        <v>2173221</v>
      </c>
      <c r="N833">
        <v>16</v>
      </c>
    </row>
    <row r="834" spans="2:14" hidden="1" x14ac:dyDescent="0.25">
      <c r="B834" t="s">
        <v>224</v>
      </c>
      <c r="C834" t="str">
        <f>_xlfn.XLOOKUP(B834,Tabla2[CODIGO],Tabla2[MATERIAL],"N/A",0)</f>
        <v>Empalme gel ppal 8-4/0 a der 14-2/0 awg (grande)</v>
      </c>
      <c r="D834">
        <v>2</v>
      </c>
      <c r="E834" t="s">
        <v>42</v>
      </c>
      <c r="F834" t="s">
        <v>62</v>
      </c>
      <c r="G834" s="1">
        <v>46200</v>
      </c>
      <c r="I834" s="2"/>
      <c r="J834" t="s">
        <v>166</v>
      </c>
      <c r="K834">
        <v>9961</v>
      </c>
      <c r="L834" t="s">
        <v>165</v>
      </c>
      <c r="M834">
        <v>6532281</v>
      </c>
      <c r="N834">
        <v>18</v>
      </c>
    </row>
    <row r="835" spans="2:14" hidden="1" x14ac:dyDescent="0.25">
      <c r="B835" t="s">
        <v>224</v>
      </c>
      <c r="C835" t="str">
        <f>_xlfn.XLOOKUP(B835,Tabla2[CODIGO],Tabla2[MATERIAL],"N/A",0)</f>
        <v>Empalme gel ppal 8-4/0 a der 14-2/0 awg (grande)</v>
      </c>
      <c r="D835">
        <v>2</v>
      </c>
      <c r="E835" t="s">
        <v>42</v>
      </c>
      <c r="F835" t="s">
        <v>62</v>
      </c>
      <c r="G835" s="1">
        <v>46200</v>
      </c>
      <c r="I835" s="2"/>
      <c r="J835" t="s">
        <v>166</v>
      </c>
      <c r="K835">
        <v>9961</v>
      </c>
      <c r="L835" t="s">
        <v>165</v>
      </c>
      <c r="M835">
        <v>6522233</v>
      </c>
      <c r="N835">
        <v>20</v>
      </c>
    </row>
    <row r="836" spans="2:14" hidden="1" x14ac:dyDescent="0.25">
      <c r="B836" t="s">
        <v>224</v>
      </c>
      <c r="C836" t="str">
        <f>_xlfn.XLOOKUP(B836,Tabla2[CODIGO],Tabla2[MATERIAL],"N/A",0)</f>
        <v>Empalme gel ppal 8-4/0 a der 14-2/0 awg (grande)</v>
      </c>
      <c r="D836">
        <v>4</v>
      </c>
      <c r="E836" t="s">
        <v>42</v>
      </c>
      <c r="F836" t="s">
        <v>62</v>
      </c>
      <c r="G836" s="1">
        <v>46200</v>
      </c>
      <c r="I836" s="2"/>
      <c r="J836" t="s">
        <v>166</v>
      </c>
      <c r="K836">
        <v>9961</v>
      </c>
      <c r="L836" t="s">
        <v>165</v>
      </c>
      <c r="M836">
        <v>2258935</v>
      </c>
      <c r="N836">
        <v>21</v>
      </c>
    </row>
    <row r="837" spans="2:14" hidden="1" x14ac:dyDescent="0.25">
      <c r="B837" t="s">
        <v>224</v>
      </c>
      <c r="C837" t="str">
        <f>_xlfn.XLOOKUP(B837,Tabla2[CODIGO],Tabla2[MATERIAL],"N/A",0)</f>
        <v>Empalme gel ppal 8-4/0 a der 14-2/0 awg (grande)</v>
      </c>
      <c r="D837">
        <v>2</v>
      </c>
      <c r="E837" t="s">
        <v>42</v>
      </c>
      <c r="F837" t="s">
        <v>62</v>
      </c>
      <c r="G837" s="1">
        <v>46200</v>
      </c>
      <c r="I837" s="2"/>
      <c r="J837" t="s">
        <v>166</v>
      </c>
      <c r="K837">
        <v>9961</v>
      </c>
      <c r="L837" t="s">
        <v>165</v>
      </c>
      <c r="M837">
        <v>6532225</v>
      </c>
      <c r="N837">
        <v>23</v>
      </c>
    </row>
    <row r="838" spans="2:14" hidden="1" x14ac:dyDescent="0.25">
      <c r="B838" t="s">
        <v>194</v>
      </c>
      <c r="C838" t="str">
        <f>_xlfn.XLOOKUP(B838,Tabla2[CODIGO],Tabla2[MATERIAL],"N/A",0)</f>
        <v>Cable TPX 2x4 1x4 awg</v>
      </c>
      <c r="D838">
        <v>10</v>
      </c>
      <c r="E838" t="s">
        <v>43</v>
      </c>
      <c r="F838" t="s">
        <v>62</v>
      </c>
      <c r="G838" s="1">
        <v>46200</v>
      </c>
      <c r="I838" s="2"/>
      <c r="J838" t="s">
        <v>166</v>
      </c>
      <c r="K838">
        <v>9961</v>
      </c>
      <c r="L838" t="s">
        <v>165</v>
      </c>
      <c r="M838">
        <v>2258935</v>
      </c>
      <c r="N838">
        <v>21</v>
      </c>
    </row>
    <row r="839" spans="2:14" hidden="1" x14ac:dyDescent="0.25">
      <c r="B839" t="s">
        <v>21</v>
      </c>
      <c r="C839" t="str">
        <f>_xlfn.XLOOKUP(B839,Tabla2[CODIGO],Tabla2[MATERIAL],"N/A",0)</f>
        <v>Cable Encauchetado 3x14 pvc</v>
      </c>
      <c r="D839">
        <v>9</v>
      </c>
      <c r="E839" t="s">
        <v>43</v>
      </c>
      <c r="F839" t="s">
        <v>62</v>
      </c>
      <c r="G839" s="1">
        <v>46200</v>
      </c>
      <c r="I839" s="2"/>
      <c r="J839" t="s">
        <v>166</v>
      </c>
      <c r="K839">
        <v>9961</v>
      </c>
      <c r="L839" t="s">
        <v>165</v>
      </c>
      <c r="M839">
        <v>2257815</v>
      </c>
      <c r="N839">
        <v>2</v>
      </c>
    </row>
    <row r="840" spans="2:14" hidden="1" x14ac:dyDescent="0.25">
      <c r="B840" t="s">
        <v>21</v>
      </c>
      <c r="C840" t="str">
        <f>_xlfn.XLOOKUP(B840,Tabla2[CODIGO],Tabla2[MATERIAL],"N/A",0)</f>
        <v>Cable Encauchetado 3x14 pvc</v>
      </c>
      <c r="D840">
        <v>9</v>
      </c>
      <c r="E840" t="s">
        <v>43</v>
      </c>
      <c r="F840" t="s">
        <v>62</v>
      </c>
      <c r="G840" s="1">
        <v>46200</v>
      </c>
      <c r="I840" s="2"/>
      <c r="J840" t="s">
        <v>166</v>
      </c>
      <c r="K840">
        <v>9961</v>
      </c>
      <c r="L840" t="s">
        <v>165</v>
      </c>
      <c r="M840">
        <v>2258897</v>
      </c>
      <c r="N840">
        <v>4</v>
      </c>
    </row>
    <row r="841" spans="2:14" hidden="1" x14ac:dyDescent="0.25">
      <c r="B841" t="s">
        <v>21</v>
      </c>
      <c r="C841" t="str">
        <f>_xlfn.XLOOKUP(B841,Tabla2[CODIGO],Tabla2[MATERIAL],"N/A",0)</f>
        <v>Cable Encauchetado 3x14 pvc</v>
      </c>
      <c r="D841">
        <v>9</v>
      </c>
      <c r="E841" t="s">
        <v>43</v>
      </c>
      <c r="F841" t="s">
        <v>62</v>
      </c>
      <c r="G841" s="1">
        <v>46200</v>
      </c>
      <c r="I841" s="2"/>
      <c r="J841" t="s">
        <v>166</v>
      </c>
      <c r="K841">
        <v>9961</v>
      </c>
      <c r="L841" t="s">
        <v>165</v>
      </c>
      <c r="M841">
        <v>6535241</v>
      </c>
      <c r="N841">
        <v>5</v>
      </c>
    </row>
    <row r="842" spans="2:14" hidden="1" x14ac:dyDescent="0.25">
      <c r="B842" t="s">
        <v>21</v>
      </c>
      <c r="C842" t="str">
        <f>_xlfn.XLOOKUP(B842,Tabla2[CODIGO],Tabla2[MATERIAL],"N/A",0)</f>
        <v>Cable Encauchetado 3x14 pvc</v>
      </c>
      <c r="D842">
        <v>9</v>
      </c>
      <c r="E842" t="s">
        <v>43</v>
      </c>
      <c r="F842" t="s">
        <v>62</v>
      </c>
      <c r="G842" s="1">
        <v>46200</v>
      </c>
      <c r="I842" s="2"/>
      <c r="J842" t="s">
        <v>166</v>
      </c>
      <c r="K842">
        <v>9961</v>
      </c>
      <c r="L842" t="s">
        <v>165</v>
      </c>
      <c r="M842">
        <v>6532292</v>
      </c>
      <c r="N842">
        <v>13</v>
      </c>
    </row>
    <row r="843" spans="2:14" hidden="1" x14ac:dyDescent="0.25">
      <c r="B843" t="s">
        <v>21</v>
      </c>
      <c r="C843" t="str">
        <f>_xlfn.XLOOKUP(B843,Tabla2[CODIGO],Tabla2[MATERIAL],"N/A",0)</f>
        <v>Cable Encauchetado 3x14 pvc</v>
      </c>
      <c r="D843">
        <v>15</v>
      </c>
      <c r="E843" t="s">
        <v>43</v>
      </c>
      <c r="F843" t="s">
        <v>62</v>
      </c>
      <c r="G843" s="1">
        <v>46200</v>
      </c>
      <c r="I843" s="2"/>
      <c r="J843" t="s">
        <v>166</v>
      </c>
      <c r="K843">
        <v>9961</v>
      </c>
      <c r="L843" t="s">
        <v>165</v>
      </c>
      <c r="M843">
        <v>2173221</v>
      </c>
      <c r="N843">
        <v>16</v>
      </c>
    </row>
    <row r="844" spans="2:14" hidden="1" x14ac:dyDescent="0.25">
      <c r="B844" t="s">
        <v>21</v>
      </c>
      <c r="C844" t="str">
        <f>_xlfn.XLOOKUP(B844,Tabla2[CODIGO],Tabla2[MATERIAL],"N/A",0)</f>
        <v>Cable Encauchetado 3x14 pvc</v>
      </c>
      <c r="D844">
        <v>9</v>
      </c>
      <c r="E844" t="s">
        <v>43</v>
      </c>
      <c r="F844" t="s">
        <v>62</v>
      </c>
      <c r="G844" s="1">
        <v>46200</v>
      </c>
      <c r="I844" s="2"/>
      <c r="J844" t="s">
        <v>166</v>
      </c>
      <c r="K844">
        <v>9961</v>
      </c>
      <c r="L844" t="s">
        <v>165</v>
      </c>
      <c r="M844">
        <v>6532281</v>
      </c>
      <c r="N844">
        <v>18</v>
      </c>
    </row>
    <row r="845" spans="2:14" hidden="1" x14ac:dyDescent="0.25">
      <c r="B845" t="s">
        <v>21</v>
      </c>
      <c r="C845" t="str">
        <f>_xlfn.XLOOKUP(B845,Tabla2[CODIGO],Tabla2[MATERIAL],"N/A",0)</f>
        <v>Cable Encauchetado 3x14 pvc</v>
      </c>
      <c r="D845">
        <v>9</v>
      </c>
      <c r="E845" t="s">
        <v>43</v>
      </c>
      <c r="F845" t="s">
        <v>62</v>
      </c>
      <c r="G845" s="1">
        <v>46200</v>
      </c>
      <c r="I845" s="2"/>
      <c r="J845" t="s">
        <v>166</v>
      </c>
      <c r="K845">
        <v>9961</v>
      </c>
      <c r="L845" t="s">
        <v>165</v>
      </c>
      <c r="M845">
        <v>6522233</v>
      </c>
      <c r="N845">
        <v>20</v>
      </c>
    </row>
    <row r="846" spans="2:14" hidden="1" x14ac:dyDescent="0.25">
      <c r="B846" t="s">
        <v>21</v>
      </c>
      <c r="C846" t="str">
        <f>_xlfn.XLOOKUP(B846,Tabla2[CODIGO],Tabla2[MATERIAL],"N/A",0)</f>
        <v>Cable Encauchetado 3x14 pvc</v>
      </c>
      <c r="D846">
        <v>9</v>
      </c>
      <c r="E846" t="s">
        <v>43</v>
      </c>
      <c r="F846" t="s">
        <v>62</v>
      </c>
      <c r="G846" s="1">
        <v>46200</v>
      </c>
      <c r="I846" s="2"/>
      <c r="J846" t="s">
        <v>166</v>
      </c>
      <c r="K846">
        <v>9961</v>
      </c>
      <c r="L846" t="s">
        <v>165</v>
      </c>
      <c r="M846">
        <v>6532225</v>
      </c>
      <c r="N846">
        <v>23</v>
      </c>
    </row>
    <row r="847" spans="2:14" hidden="1" x14ac:dyDescent="0.25">
      <c r="B847" t="s">
        <v>30</v>
      </c>
      <c r="C847" t="str">
        <f>_xlfn.XLOOKUP(B847,Tabla2[CODIGO],Tabla2[MATERIAL],"N/A",0)</f>
        <v>Kit puesta tierra acero inoxidable</v>
      </c>
      <c r="D847">
        <v>1</v>
      </c>
      <c r="E847" t="s">
        <v>42</v>
      </c>
      <c r="F847" t="s">
        <v>62</v>
      </c>
      <c r="G847" s="1">
        <v>46200</v>
      </c>
      <c r="I847" s="2"/>
      <c r="J847" t="s">
        <v>166</v>
      </c>
      <c r="K847">
        <v>9961</v>
      </c>
      <c r="L847" t="s">
        <v>165</v>
      </c>
      <c r="M847">
        <v>6535241</v>
      </c>
      <c r="N847">
        <v>5</v>
      </c>
    </row>
    <row r="848" spans="2:14" hidden="1" x14ac:dyDescent="0.25">
      <c r="B848" t="s">
        <v>30</v>
      </c>
      <c r="C848" t="str">
        <f>_xlfn.XLOOKUP(B848,Tabla2[CODIGO],Tabla2[MATERIAL],"N/A",0)</f>
        <v>Kit puesta tierra acero inoxidable</v>
      </c>
      <c r="D848">
        <v>1</v>
      </c>
      <c r="E848" t="s">
        <v>42</v>
      </c>
      <c r="F848" t="s">
        <v>62</v>
      </c>
      <c r="G848" s="1">
        <v>46200</v>
      </c>
      <c r="I848" s="2"/>
      <c r="J848" t="s">
        <v>166</v>
      </c>
      <c r="K848">
        <v>9961</v>
      </c>
      <c r="L848" t="s">
        <v>165</v>
      </c>
      <c r="M848">
        <v>2173239</v>
      </c>
      <c r="N848">
        <v>9</v>
      </c>
    </row>
    <row r="849" spans="2:14" hidden="1" x14ac:dyDescent="0.25">
      <c r="B849" t="s">
        <v>30</v>
      </c>
      <c r="C849" t="str">
        <f>_xlfn.XLOOKUP(B849,Tabla2[CODIGO],Tabla2[MATERIAL],"N/A",0)</f>
        <v>Kit puesta tierra acero inoxidable</v>
      </c>
      <c r="D849">
        <v>1</v>
      </c>
      <c r="E849" t="s">
        <v>42</v>
      </c>
      <c r="F849" t="s">
        <v>62</v>
      </c>
      <c r="G849" s="1">
        <v>46200</v>
      </c>
      <c r="I849" s="2"/>
      <c r="J849" t="s">
        <v>166</v>
      </c>
      <c r="K849">
        <v>9961</v>
      </c>
      <c r="L849" t="s">
        <v>165</v>
      </c>
      <c r="M849">
        <v>6532292</v>
      </c>
      <c r="N849">
        <v>12</v>
      </c>
    </row>
    <row r="850" spans="2:14" hidden="1" x14ac:dyDescent="0.25">
      <c r="B850" t="s">
        <v>30</v>
      </c>
      <c r="C850" t="str">
        <f>_xlfn.XLOOKUP(B850,Tabla2[CODIGO],Tabla2[MATERIAL],"N/A",0)</f>
        <v>Kit puesta tierra acero inoxidable</v>
      </c>
      <c r="D850">
        <v>1</v>
      </c>
      <c r="E850" t="s">
        <v>42</v>
      </c>
      <c r="F850" t="s">
        <v>62</v>
      </c>
      <c r="G850" s="1">
        <v>46200</v>
      </c>
      <c r="I850" s="2"/>
      <c r="J850" t="s">
        <v>166</v>
      </c>
      <c r="K850">
        <v>9961</v>
      </c>
      <c r="L850" t="s">
        <v>165</v>
      </c>
      <c r="M850">
        <v>2173221</v>
      </c>
      <c r="N850">
        <v>16</v>
      </c>
    </row>
    <row r="851" spans="2:14" hidden="1" x14ac:dyDescent="0.25">
      <c r="B851" t="s">
        <v>30</v>
      </c>
      <c r="C851" t="str">
        <f>_xlfn.XLOOKUP(B851,Tabla2[CODIGO],Tabla2[MATERIAL],"N/A",0)</f>
        <v>Kit puesta tierra acero inoxidable</v>
      </c>
      <c r="D851">
        <v>1</v>
      </c>
      <c r="E851" t="s">
        <v>42</v>
      </c>
      <c r="F851" t="s">
        <v>62</v>
      </c>
      <c r="G851" s="1">
        <v>46200</v>
      </c>
      <c r="I851" s="2"/>
      <c r="J851" t="s">
        <v>166</v>
      </c>
      <c r="K851">
        <v>9961</v>
      </c>
      <c r="L851" t="s">
        <v>165</v>
      </c>
      <c r="M851">
        <v>1588419</v>
      </c>
      <c r="N851">
        <v>26</v>
      </c>
    </row>
    <row r="852" spans="2:14" hidden="1" x14ac:dyDescent="0.25">
      <c r="B852" t="s">
        <v>198</v>
      </c>
      <c r="C852" t="str">
        <f>_xlfn.XLOOKUP(B852,Tabla2[CODIGO],Tabla2[MATERIAL],"N/A",0)</f>
        <v>Varilla cooperweld 2,4m</v>
      </c>
      <c r="D852">
        <v>1</v>
      </c>
      <c r="E852" t="s">
        <v>42</v>
      </c>
      <c r="F852" t="s">
        <v>62</v>
      </c>
      <c r="G852" s="1">
        <v>46200</v>
      </c>
      <c r="I852" s="2"/>
      <c r="J852" t="s">
        <v>166</v>
      </c>
      <c r="K852">
        <v>9961</v>
      </c>
      <c r="L852" t="s">
        <v>165</v>
      </c>
      <c r="M852">
        <v>2257815</v>
      </c>
      <c r="N852">
        <v>2</v>
      </c>
    </row>
    <row r="853" spans="2:14" hidden="1" x14ac:dyDescent="0.25">
      <c r="B853" t="s">
        <v>198</v>
      </c>
      <c r="C853" t="str">
        <f>_xlfn.XLOOKUP(B853,Tabla2[CODIGO],Tabla2[MATERIAL],"N/A",0)</f>
        <v>Varilla cooperweld 2,4m</v>
      </c>
      <c r="D853">
        <v>1</v>
      </c>
      <c r="E853" t="s">
        <v>42</v>
      </c>
      <c r="F853" t="s">
        <v>62</v>
      </c>
      <c r="G853" s="1">
        <v>46200</v>
      </c>
      <c r="I853" s="2"/>
      <c r="J853" t="s">
        <v>166</v>
      </c>
      <c r="K853">
        <v>9961</v>
      </c>
      <c r="L853" t="s">
        <v>165</v>
      </c>
      <c r="M853">
        <v>2258897</v>
      </c>
      <c r="N853">
        <v>4</v>
      </c>
    </row>
    <row r="854" spans="2:14" hidden="1" x14ac:dyDescent="0.25">
      <c r="B854" t="s">
        <v>198</v>
      </c>
      <c r="C854" t="str">
        <f>_xlfn.XLOOKUP(B854,Tabla2[CODIGO],Tabla2[MATERIAL],"N/A",0)</f>
        <v>Varilla cooperweld 2,4m</v>
      </c>
      <c r="D854">
        <v>1</v>
      </c>
      <c r="E854" t="s">
        <v>42</v>
      </c>
      <c r="F854" t="s">
        <v>62</v>
      </c>
      <c r="G854" s="1">
        <v>46200</v>
      </c>
      <c r="I854" s="2"/>
      <c r="J854" t="s">
        <v>166</v>
      </c>
      <c r="K854">
        <v>9961</v>
      </c>
      <c r="L854" t="s">
        <v>165</v>
      </c>
      <c r="M854">
        <v>6535241</v>
      </c>
      <c r="N854">
        <v>5</v>
      </c>
    </row>
    <row r="855" spans="2:14" hidden="1" x14ac:dyDescent="0.25">
      <c r="B855" t="s">
        <v>198</v>
      </c>
      <c r="C855" t="str">
        <f>_xlfn.XLOOKUP(B855,Tabla2[CODIGO],Tabla2[MATERIAL],"N/A",0)</f>
        <v>Varilla cooperweld 2,4m</v>
      </c>
      <c r="D855">
        <v>1</v>
      </c>
      <c r="E855" t="s">
        <v>42</v>
      </c>
      <c r="F855" t="s">
        <v>62</v>
      </c>
      <c r="G855" s="1">
        <v>46200</v>
      </c>
      <c r="I855" s="2"/>
      <c r="J855" t="s">
        <v>166</v>
      </c>
      <c r="K855">
        <v>9961</v>
      </c>
      <c r="L855" t="s">
        <v>165</v>
      </c>
      <c r="M855">
        <v>6532306</v>
      </c>
      <c r="N855">
        <v>7</v>
      </c>
    </row>
    <row r="856" spans="2:14" hidden="1" x14ac:dyDescent="0.25">
      <c r="B856" t="s">
        <v>198</v>
      </c>
      <c r="C856" t="str">
        <f>_xlfn.XLOOKUP(B856,Tabla2[CODIGO],Tabla2[MATERIAL],"N/A",0)</f>
        <v>Varilla cooperweld 2,4m</v>
      </c>
      <c r="D856">
        <v>1</v>
      </c>
      <c r="E856" t="s">
        <v>42</v>
      </c>
      <c r="F856" t="s">
        <v>62</v>
      </c>
      <c r="G856" s="1">
        <v>46200</v>
      </c>
      <c r="I856" s="2"/>
      <c r="J856" t="s">
        <v>166</v>
      </c>
      <c r="K856">
        <v>9961</v>
      </c>
      <c r="L856" t="s">
        <v>165</v>
      </c>
      <c r="M856">
        <v>2173239</v>
      </c>
      <c r="N856">
        <v>9</v>
      </c>
    </row>
    <row r="857" spans="2:14" hidden="1" x14ac:dyDescent="0.25">
      <c r="B857" t="s">
        <v>198</v>
      </c>
      <c r="C857" t="str">
        <f>_xlfn.XLOOKUP(B857,Tabla2[CODIGO],Tabla2[MATERIAL],"N/A",0)</f>
        <v>Varilla cooperweld 2,4m</v>
      </c>
      <c r="D857">
        <v>1</v>
      </c>
      <c r="E857" t="s">
        <v>42</v>
      </c>
      <c r="F857" t="s">
        <v>62</v>
      </c>
      <c r="G857" s="1">
        <v>46200</v>
      </c>
      <c r="I857" s="2"/>
      <c r="J857" t="s">
        <v>166</v>
      </c>
      <c r="K857">
        <v>9961</v>
      </c>
      <c r="L857" t="s">
        <v>165</v>
      </c>
      <c r="M857">
        <v>6532292</v>
      </c>
      <c r="N857">
        <v>12</v>
      </c>
    </row>
    <row r="858" spans="2:14" hidden="1" x14ac:dyDescent="0.25">
      <c r="B858" t="s">
        <v>198</v>
      </c>
      <c r="C858" t="str">
        <f>_xlfn.XLOOKUP(B858,Tabla2[CODIGO],Tabla2[MATERIAL],"N/A",0)</f>
        <v>Varilla cooperweld 2,4m</v>
      </c>
      <c r="D858">
        <v>1</v>
      </c>
      <c r="E858" t="s">
        <v>42</v>
      </c>
      <c r="F858" t="s">
        <v>62</v>
      </c>
      <c r="G858" s="1">
        <v>46200</v>
      </c>
      <c r="I858" s="2"/>
      <c r="J858" t="s">
        <v>166</v>
      </c>
      <c r="K858">
        <v>9961</v>
      </c>
      <c r="L858" t="s">
        <v>165</v>
      </c>
      <c r="M858">
        <v>2173221</v>
      </c>
      <c r="N858">
        <v>16</v>
      </c>
    </row>
    <row r="859" spans="2:14" hidden="1" x14ac:dyDescent="0.25">
      <c r="B859" t="s">
        <v>198</v>
      </c>
      <c r="C859" t="str">
        <f>_xlfn.XLOOKUP(B859,Tabla2[CODIGO],Tabla2[MATERIAL],"N/A",0)</f>
        <v>Varilla cooperweld 2,4m</v>
      </c>
      <c r="D859">
        <v>1</v>
      </c>
      <c r="E859" t="s">
        <v>42</v>
      </c>
      <c r="F859" t="s">
        <v>62</v>
      </c>
      <c r="G859" s="1">
        <v>46200</v>
      </c>
      <c r="I859" s="2"/>
      <c r="J859" t="s">
        <v>166</v>
      </c>
      <c r="K859">
        <v>9961</v>
      </c>
      <c r="L859" t="s">
        <v>165</v>
      </c>
      <c r="M859">
        <v>6532281</v>
      </c>
      <c r="N859">
        <v>18</v>
      </c>
    </row>
    <row r="860" spans="2:14" hidden="1" x14ac:dyDescent="0.25">
      <c r="B860" t="s">
        <v>198</v>
      </c>
      <c r="C860" t="str">
        <f>_xlfn.XLOOKUP(B860,Tabla2[CODIGO],Tabla2[MATERIAL],"N/A",0)</f>
        <v>Varilla cooperweld 2,4m</v>
      </c>
      <c r="D860">
        <v>1</v>
      </c>
      <c r="E860" t="s">
        <v>42</v>
      </c>
      <c r="F860" t="s">
        <v>62</v>
      </c>
      <c r="G860" s="1">
        <v>46200</v>
      </c>
      <c r="I860" s="2"/>
      <c r="J860" t="s">
        <v>166</v>
      </c>
      <c r="K860">
        <v>9961</v>
      </c>
      <c r="L860" t="s">
        <v>165</v>
      </c>
      <c r="M860">
        <v>6522233</v>
      </c>
      <c r="N860">
        <v>20</v>
      </c>
    </row>
    <row r="861" spans="2:14" hidden="1" x14ac:dyDescent="0.25">
      <c r="B861" t="s">
        <v>198</v>
      </c>
      <c r="C861" t="str">
        <f>_xlfn.XLOOKUP(B861,Tabla2[CODIGO],Tabla2[MATERIAL],"N/A",0)</f>
        <v>Varilla cooperweld 2,4m</v>
      </c>
      <c r="D861">
        <v>1</v>
      </c>
      <c r="E861" t="s">
        <v>42</v>
      </c>
      <c r="F861" t="s">
        <v>62</v>
      </c>
      <c r="G861" s="1">
        <v>46200</v>
      </c>
      <c r="I861" s="2"/>
      <c r="J861" t="s">
        <v>166</v>
      </c>
      <c r="K861">
        <v>9961</v>
      </c>
      <c r="L861" t="s">
        <v>165</v>
      </c>
      <c r="M861">
        <v>2258935</v>
      </c>
      <c r="N861">
        <v>21</v>
      </c>
    </row>
    <row r="862" spans="2:14" hidden="1" x14ac:dyDescent="0.25">
      <c r="B862" t="s">
        <v>198</v>
      </c>
      <c r="C862" t="str">
        <f>_xlfn.XLOOKUP(B862,Tabla2[CODIGO],Tabla2[MATERIAL],"N/A",0)</f>
        <v>Varilla cooperweld 2,4m</v>
      </c>
      <c r="D862">
        <v>1</v>
      </c>
      <c r="E862" t="s">
        <v>42</v>
      </c>
      <c r="F862" t="s">
        <v>62</v>
      </c>
      <c r="G862" s="1">
        <v>46200</v>
      </c>
      <c r="I862" s="2"/>
      <c r="J862" t="s">
        <v>166</v>
      </c>
      <c r="K862">
        <v>9961</v>
      </c>
      <c r="L862" t="s">
        <v>165</v>
      </c>
      <c r="M862">
        <v>6532225</v>
      </c>
      <c r="N862">
        <v>23</v>
      </c>
    </row>
    <row r="863" spans="2:14" hidden="1" x14ac:dyDescent="0.25">
      <c r="B863" t="s">
        <v>256</v>
      </c>
      <c r="C863" t="str">
        <f>_xlfn.XLOOKUP(B863,Tabla2[CODIGO],Tabla2[MATERIAL],"N/A",0)</f>
        <v>Poste fibra 10m x 510kg</v>
      </c>
      <c r="D863">
        <v>1</v>
      </c>
      <c r="E863" t="s">
        <v>42</v>
      </c>
      <c r="F863" t="s">
        <v>62</v>
      </c>
      <c r="G863" s="1">
        <v>46211</v>
      </c>
      <c r="I863" s="2"/>
      <c r="J863" t="s">
        <v>166</v>
      </c>
      <c r="K863">
        <v>9962</v>
      </c>
      <c r="L863" t="s">
        <v>286</v>
      </c>
      <c r="M863">
        <v>3018792</v>
      </c>
      <c r="N863">
        <v>1</v>
      </c>
    </row>
    <row r="864" spans="2:14" hidden="1" x14ac:dyDescent="0.25">
      <c r="B864" t="s">
        <v>256</v>
      </c>
      <c r="C864" t="str">
        <f>_xlfn.XLOOKUP(B864,Tabla2[CODIGO],Tabla2[MATERIAL],"N/A",0)</f>
        <v>Poste fibra 10m x 510kg</v>
      </c>
      <c r="D864">
        <v>1</v>
      </c>
      <c r="E864" t="s">
        <v>42</v>
      </c>
      <c r="F864" t="s">
        <v>62</v>
      </c>
      <c r="G864" s="1">
        <v>46211</v>
      </c>
      <c r="I864" s="2"/>
      <c r="J864" t="s">
        <v>166</v>
      </c>
      <c r="K864">
        <v>9962</v>
      </c>
      <c r="L864" t="s">
        <v>286</v>
      </c>
      <c r="M864">
        <v>3018784</v>
      </c>
      <c r="N864">
        <v>2</v>
      </c>
    </row>
    <row r="865" spans="2:14" hidden="1" x14ac:dyDescent="0.25">
      <c r="B865" t="s">
        <v>256</v>
      </c>
      <c r="C865" t="str">
        <f>_xlfn.XLOOKUP(B865,Tabla2[CODIGO],Tabla2[MATERIAL],"N/A",0)</f>
        <v>Poste fibra 10m x 510kg</v>
      </c>
      <c r="D865">
        <v>1</v>
      </c>
      <c r="E865" t="s">
        <v>42</v>
      </c>
      <c r="F865" t="s">
        <v>62</v>
      </c>
      <c r="G865" s="1">
        <v>46211</v>
      </c>
      <c r="I865" s="2"/>
      <c r="J865" t="s">
        <v>166</v>
      </c>
      <c r="K865">
        <v>9962</v>
      </c>
      <c r="L865" t="s">
        <v>286</v>
      </c>
      <c r="M865">
        <v>3018776</v>
      </c>
      <c r="N865">
        <v>3</v>
      </c>
    </row>
    <row r="866" spans="2:14" hidden="1" x14ac:dyDescent="0.25">
      <c r="B866" t="s">
        <v>256</v>
      </c>
      <c r="C866" t="str">
        <f>_xlfn.XLOOKUP(B866,Tabla2[CODIGO],Tabla2[MATERIAL],"N/A",0)</f>
        <v>Poste fibra 10m x 510kg</v>
      </c>
      <c r="D866">
        <v>1</v>
      </c>
      <c r="E866" t="s">
        <v>42</v>
      </c>
      <c r="F866" t="s">
        <v>62</v>
      </c>
      <c r="G866" s="1">
        <v>46211</v>
      </c>
      <c r="I866" s="2"/>
      <c r="J866" t="s">
        <v>166</v>
      </c>
      <c r="K866">
        <v>9962</v>
      </c>
      <c r="L866" t="s">
        <v>286</v>
      </c>
      <c r="M866">
        <v>3018750</v>
      </c>
      <c r="N866">
        <v>4</v>
      </c>
    </row>
    <row r="867" spans="2:14" hidden="1" x14ac:dyDescent="0.25">
      <c r="B867" t="s">
        <v>256</v>
      </c>
      <c r="C867" t="str">
        <f>_xlfn.XLOOKUP(B867,Tabla2[CODIGO],Tabla2[MATERIAL],"N/A",0)</f>
        <v>Poste fibra 10m x 510kg</v>
      </c>
      <c r="D867">
        <v>1</v>
      </c>
      <c r="E867" t="s">
        <v>42</v>
      </c>
      <c r="F867" t="s">
        <v>62</v>
      </c>
      <c r="G867" s="1">
        <v>46211</v>
      </c>
      <c r="I867" s="2"/>
      <c r="J867" t="s">
        <v>166</v>
      </c>
      <c r="K867">
        <v>9962</v>
      </c>
      <c r="L867" t="s">
        <v>286</v>
      </c>
      <c r="M867">
        <v>3018741</v>
      </c>
      <c r="N867">
        <v>5</v>
      </c>
    </row>
    <row r="868" spans="2:14" hidden="1" x14ac:dyDescent="0.25">
      <c r="B868" t="s">
        <v>256</v>
      </c>
      <c r="C868" t="str">
        <f>_xlfn.XLOOKUP(B868,Tabla2[CODIGO],Tabla2[MATERIAL],"N/A",0)</f>
        <v>Poste fibra 10m x 510kg</v>
      </c>
      <c r="D868">
        <v>1</v>
      </c>
      <c r="E868" t="s">
        <v>42</v>
      </c>
      <c r="F868" t="s">
        <v>62</v>
      </c>
      <c r="G868" s="1">
        <v>46211</v>
      </c>
      <c r="I868" s="2"/>
      <c r="J868" t="s">
        <v>166</v>
      </c>
      <c r="K868">
        <v>9962</v>
      </c>
      <c r="L868" t="s">
        <v>286</v>
      </c>
      <c r="M868">
        <v>3018733</v>
      </c>
      <c r="N868">
        <v>6</v>
      </c>
    </row>
    <row r="869" spans="2:14" hidden="1" x14ac:dyDescent="0.25">
      <c r="B869" t="s">
        <v>256</v>
      </c>
      <c r="C869" t="str">
        <f>_xlfn.XLOOKUP(B869,Tabla2[CODIGO],Tabla2[MATERIAL],"N/A",0)</f>
        <v>Poste fibra 10m x 510kg</v>
      </c>
      <c r="D869">
        <v>1</v>
      </c>
      <c r="E869" t="s">
        <v>42</v>
      </c>
      <c r="F869" t="s">
        <v>62</v>
      </c>
      <c r="G869" s="1">
        <v>46211</v>
      </c>
      <c r="I869" s="2"/>
      <c r="J869" t="s">
        <v>166</v>
      </c>
      <c r="K869">
        <v>9962</v>
      </c>
      <c r="L869" t="s">
        <v>286</v>
      </c>
      <c r="M869">
        <v>3018679</v>
      </c>
      <c r="N869">
        <v>7</v>
      </c>
    </row>
    <row r="870" spans="2:14" hidden="1" x14ac:dyDescent="0.25">
      <c r="B870" t="s">
        <v>256</v>
      </c>
      <c r="C870" t="str">
        <f>_xlfn.XLOOKUP(B870,Tabla2[CODIGO],Tabla2[MATERIAL],"N/A",0)</f>
        <v>Poste fibra 10m x 510kg</v>
      </c>
      <c r="D870">
        <v>1</v>
      </c>
      <c r="E870" t="s">
        <v>42</v>
      </c>
      <c r="F870" t="s">
        <v>62</v>
      </c>
      <c r="G870" s="1">
        <v>46211</v>
      </c>
      <c r="I870" s="2"/>
      <c r="J870" t="s">
        <v>166</v>
      </c>
      <c r="K870">
        <v>9962</v>
      </c>
      <c r="L870" t="s">
        <v>286</v>
      </c>
      <c r="M870">
        <v>3018687</v>
      </c>
      <c r="N870">
        <v>8</v>
      </c>
    </row>
    <row r="871" spans="2:14" hidden="1" x14ac:dyDescent="0.25">
      <c r="B871" t="s">
        <v>256</v>
      </c>
      <c r="C871" t="str">
        <f>_xlfn.XLOOKUP(B871,Tabla2[CODIGO],Tabla2[MATERIAL],"N/A",0)</f>
        <v>Poste fibra 10m x 510kg</v>
      </c>
      <c r="D871">
        <v>1</v>
      </c>
      <c r="E871" t="s">
        <v>42</v>
      </c>
      <c r="F871" t="s">
        <v>62</v>
      </c>
      <c r="G871" s="1">
        <v>46211</v>
      </c>
      <c r="I871" s="2"/>
      <c r="J871" t="s">
        <v>166</v>
      </c>
      <c r="K871">
        <v>9962</v>
      </c>
      <c r="L871" t="s">
        <v>286</v>
      </c>
      <c r="M871">
        <v>3018695</v>
      </c>
      <c r="N871">
        <v>9</v>
      </c>
    </row>
    <row r="872" spans="2:14" hidden="1" x14ac:dyDescent="0.25">
      <c r="B872" t="s">
        <v>256</v>
      </c>
      <c r="C872" t="str">
        <f>_xlfn.XLOOKUP(B872,Tabla2[CODIGO],Tabla2[MATERIAL],"N/A",0)</f>
        <v>Poste fibra 10m x 510kg</v>
      </c>
      <c r="D872">
        <v>1</v>
      </c>
      <c r="E872" t="s">
        <v>42</v>
      </c>
      <c r="F872" t="s">
        <v>62</v>
      </c>
      <c r="G872" s="1">
        <v>46211</v>
      </c>
      <c r="I872" s="2"/>
      <c r="J872" t="s">
        <v>166</v>
      </c>
      <c r="K872">
        <v>9962</v>
      </c>
      <c r="L872" t="s">
        <v>286</v>
      </c>
      <c r="M872">
        <v>3018709</v>
      </c>
      <c r="N872">
        <v>10</v>
      </c>
    </row>
    <row r="873" spans="2:14" hidden="1" x14ac:dyDescent="0.25">
      <c r="B873" t="s">
        <v>256</v>
      </c>
      <c r="C873" t="str">
        <f>_xlfn.XLOOKUP(B873,Tabla2[CODIGO],Tabla2[MATERIAL],"N/A",0)</f>
        <v>Poste fibra 10m x 510kg</v>
      </c>
      <c r="D873">
        <v>1</v>
      </c>
      <c r="E873" t="s">
        <v>42</v>
      </c>
      <c r="F873" t="s">
        <v>62</v>
      </c>
      <c r="G873" s="1">
        <v>46211</v>
      </c>
      <c r="I873" s="2"/>
      <c r="J873" t="s">
        <v>166</v>
      </c>
      <c r="K873">
        <v>9962</v>
      </c>
      <c r="L873" t="s">
        <v>286</v>
      </c>
      <c r="M873">
        <v>3018717</v>
      </c>
      <c r="N873">
        <v>11</v>
      </c>
    </row>
    <row r="874" spans="2:14" hidden="1" x14ac:dyDescent="0.25">
      <c r="B874" t="s">
        <v>256</v>
      </c>
      <c r="C874" t="str">
        <f>_xlfn.XLOOKUP(B874,Tabla2[CODIGO],Tabla2[MATERIAL],"N/A",0)</f>
        <v>Poste fibra 10m x 510kg</v>
      </c>
      <c r="D874">
        <v>1</v>
      </c>
      <c r="E874" t="s">
        <v>42</v>
      </c>
      <c r="F874" t="s">
        <v>62</v>
      </c>
      <c r="G874" s="1">
        <v>46211</v>
      </c>
      <c r="I874" s="2"/>
      <c r="J874" t="s">
        <v>166</v>
      </c>
      <c r="K874">
        <v>9962</v>
      </c>
      <c r="L874" t="s">
        <v>286</v>
      </c>
      <c r="M874">
        <v>3018725</v>
      </c>
      <c r="N874">
        <v>12</v>
      </c>
    </row>
    <row r="875" spans="2:14" hidden="1" x14ac:dyDescent="0.25">
      <c r="B875" t="s">
        <v>60</v>
      </c>
      <c r="C875" t="str">
        <f>_xlfn.XLOOKUP(B875,Tabla2[CODIGO],Tabla2[MATERIAL],"N/A",0)</f>
        <v>Fotocelda</v>
      </c>
      <c r="D875">
        <v>1</v>
      </c>
      <c r="E875" t="s">
        <v>42</v>
      </c>
      <c r="F875" t="s">
        <v>62</v>
      </c>
      <c r="G875" s="1">
        <v>46204</v>
      </c>
      <c r="I875" s="2"/>
      <c r="J875" t="s">
        <v>166</v>
      </c>
      <c r="K875">
        <v>9963</v>
      </c>
      <c r="L875" t="s">
        <v>247</v>
      </c>
      <c r="M875">
        <v>6529607</v>
      </c>
      <c r="N875">
        <v>1</v>
      </c>
    </row>
    <row r="876" spans="2:14" hidden="1" x14ac:dyDescent="0.25">
      <c r="B876" t="s">
        <v>60</v>
      </c>
      <c r="C876" t="str">
        <f>_xlfn.XLOOKUP(B876,Tabla2[CODIGO],Tabla2[MATERIAL],"N/A",0)</f>
        <v>Fotocelda</v>
      </c>
      <c r="D876">
        <v>1</v>
      </c>
      <c r="E876" t="s">
        <v>42</v>
      </c>
      <c r="F876" t="s">
        <v>62</v>
      </c>
      <c r="G876" s="1">
        <v>46204</v>
      </c>
      <c r="I876" s="2"/>
      <c r="J876" t="s">
        <v>166</v>
      </c>
      <c r="K876">
        <v>9963</v>
      </c>
      <c r="L876" t="s">
        <v>247</v>
      </c>
      <c r="M876">
        <v>6529607</v>
      </c>
      <c r="N876">
        <v>2</v>
      </c>
    </row>
    <row r="877" spans="2:14" hidden="1" x14ac:dyDescent="0.25">
      <c r="B877" t="s">
        <v>60</v>
      </c>
      <c r="C877" t="str">
        <f>_xlfn.XLOOKUP(B877,Tabla2[CODIGO],Tabla2[MATERIAL],"N/A",0)</f>
        <v>Fotocelda</v>
      </c>
      <c r="D877">
        <v>1</v>
      </c>
      <c r="E877" t="s">
        <v>42</v>
      </c>
      <c r="F877" t="s">
        <v>62</v>
      </c>
      <c r="G877" s="1">
        <v>46204</v>
      </c>
      <c r="I877" s="2"/>
      <c r="J877" t="s">
        <v>166</v>
      </c>
      <c r="K877">
        <v>9963</v>
      </c>
      <c r="L877" t="s">
        <v>247</v>
      </c>
      <c r="M877">
        <v>2147696</v>
      </c>
      <c r="N877">
        <v>3</v>
      </c>
    </row>
    <row r="878" spans="2:14" hidden="1" x14ac:dyDescent="0.25">
      <c r="B878" t="s">
        <v>60</v>
      </c>
      <c r="C878" t="str">
        <f>_xlfn.XLOOKUP(B878,Tabla2[CODIGO],Tabla2[MATERIAL],"N/A",0)</f>
        <v>Fotocelda</v>
      </c>
      <c r="D878">
        <v>1</v>
      </c>
      <c r="E878" t="s">
        <v>42</v>
      </c>
      <c r="F878" t="s">
        <v>62</v>
      </c>
      <c r="G878" s="1">
        <v>46204</v>
      </c>
      <c r="I878" s="2"/>
      <c r="J878" t="s">
        <v>166</v>
      </c>
      <c r="K878">
        <v>9963</v>
      </c>
      <c r="L878" t="s">
        <v>247</v>
      </c>
      <c r="M878">
        <v>2147696</v>
      </c>
      <c r="N878">
        <v>4</v>
      </c>
    </row>
    <row r="879" spans="2:14" hidden="1" x14ac:dyDescent="0.25">
      <c r="B879" t="s">
        <v>60</v>
      </c>
      <c r="C879" t="str">
        <f>_xlfn.XLOOKUP(B879,Tabla2[CODIGO],Tabla2[MATERIAL],"N/A",0)</f>
        <v>Fotocelda</v>
      </c>
      <c r="D879">
        <v>1</v>
      </c>
      <c r="E879" t="s">
        <v>42</v>
      </c>
      <c r="F879" t="s">
        <v>62</v>
      </c>
      <c r="G879" s="1">
        <v>46204</v>
      </c>
      <c r="I879" s="2"/>
      <c r="J879" t="s">
        <v>166</v>
      </c>
      <c r="K879">
        <v>9963</v>
      </c>
      <c r="L879" t="s">
        <v>247</v>
      </c>
      <c r="M879">
        <v>2295580</v>
      </c>
      <c r="N879">
        <v>5</v>
      </c>
    </row>
    <row r="880" spans="2:14" hidden="1" x14ac:dyDescent="0.25">
      <c r="B880" t="s">
        <v>60</v>
      </c>
      <c r="C880" t="str">
        <f>_xlfn.XLOOKUP(B880,Tabla2[CODIGO],Tabla2[MATERIAL],"N/A",0)</f>
        <v>Fotocelda</v>
      </c>
      <c r="D880">
        <v>1</v>
      </c>
      <c r="E880" t="s">
        <v>42</v>
      </c>
      <c r="F880" t="s">
        <v>62</v>
      </c>
      <c r="G880" s="1">
        <v>46204</v>
      </c>
      <c r="I880" s="2"/>
      <c r="J880" t="s">
        <v>166</v>
      </c>
      <c r="K880">
        <v>9963</v>
      </c>
      <c r="L880" t="s">
        <v>247</v>
      </c>
      <c r="M880">
        <v>2295580</v>
      </c>
      <c r="N880">
        <v>6</v>
      </c>
    </row>
    <row r="881" spans="2:14" hidden="1" x14ac:dyDescent="0.25">
      <c r="B881" t="s">
        <v>60</v>
      </c>
      <c r="C881" t="str">
        <f>_xlfn.XLOOKUP(B881,Tabla2[CODIGO],Tabla2[MATERIAL],"N/A",0)</f>
        <v>Fotocelda</v>
      </c>
      <c r="D881">
        <v>1</v>
      </c>
      <c r="E881" t="s">
        <v>42</v>
      </c>
      <c r="F881" t="s">
        <v>62</v>
      </c>
      <c r="G881" s="1">
        <v>46204</v>
      </c>
      <c r="I881" s="2"/>
      <c r="J881" t="s">
        <v>166</v>
      </c>
      <c r="K881">
        <v>9963</v>
      </c>
      <c r="L881" t="s">
        <v>247</v>
      </c>
      <c r="M881">
        <v>2295580</v>
      </c>
      <c r="N881">
        <v>7</v>
      </c>
    </row>
    <row r="882" spans="2:14" hidden="1" x14ac:dyDescent="0.25">
      <c r="B882" t="s">
        <v>60</v>
      </c>
      <c r="C882" t="str">
        <f>_xlfn.XLOOKUP(B882,Tabla2[CODIGO],Tabla2[MATERIAL],"N/A",0)</f>
        <v>Fotocelda</v>
      </c>
      <c r="D882">
        <v>1</v>
      </c>
      <c r="E882" t="s">
        <v>42</v>
      </c>
      <c r="F882" t="s">
        <v>62</v>
      </c>
      <c r="G882" s="1">
        <v>46204</v>
      </c>
      <c r="I882" s="2"/>
      <c r="J882" t="s">
        <v>166</v>
      </c>
      <c r="K882">
        <v>9963</v>
      </c>
      <c r="L882" t="s">
        <v>247</v>
      </c>
      <c r="M882">
        <v>2295628</v>
      </c>
      <c r="N882">
        <v>8</v>
      </c>
    </row>
    <row r="883" spans="2:14" hidden="1" x14ac:dyDescent="0.25">
      <c r="B883" t="s">
        <v>60</v>
      </c>
      <c r="C883" t="str">
        <f>_xlfn.XLOOKUP(B883,Tabla2[CODIGO],Tabla2[MATERIAL],"N/A",0)</f>
        <v>Fotocelda</v>
      </c>
      <c r="D883">
        <v>1</v>
      </c>
      <c r="E883" t="s">
        <v>42</v>
      </c>
      <c r="F883" t="s">
        <v>62</v>
      </c>
      <c r="G883" s="1">
        <v>46204</v>
      </c>
      <c r="I883" s="2"/>
      <c r="J883" t="s">
        <v>166</v>
      </c>
      <c r="K883">
        <v>9963</v>
      </c>
      <c r="L883" t="s">
        <v>247</v>
      </c>
      <c r="M883">
        <v>2295628</v>
      </c>
      <c r="N883">
        <v>9</v>
      </c>
    </row>
    <row r="884" spans="2:14" hidden="1" x14ac:dyDescent="0.25">
      <c r="B884" t="s">
        <v>60</v>
      </c>
      <c r="C884" t="str">
        <f>_xlfn.XLOOKUP(B884,Tabla2[CODIGO],Tabla2[MATERIAL],"N/A",0)</f>
        <v>Fotocelda</v>
      </c>
      <c r="D884">
        <v>1</v>
      </c>
      <c r="E884" t="s">
        <v>42</v>
      </c>
      <c r="F884" t="s">
        <v>62</v>
      </c>
      <c r="G884" s="1">
        <v>46204</v>
      </c>
      <c r="I884" s="2"/>
      <c r="J884" t="s">
        <v>166</v>
      </c>
      <c r="K884">
        <v>9963</v>
      </c>
      <c r="L884" t="s">
        <v>247</v>
      </c>
      <c r="M884">
        <v>2295628</v>
      </c>
      <c r="N884">
        <v>10</v>
      </c>
    </row>
    <row r="885" spans="2:14" hidden="1" x14ac:dyDescent="0.25">
      <c r="B885" t="s">
        <v>30</v>
      </c>
      <c r="C885" t="str">
        <f>_xlfn.XLOOKUP(B885,Tabla2[CODIGO],Tabla2[MATERIAL],"N/A",0)</f>
        <v>Kit puesta tierra acero inoxidable</v>
      </c>
      <c r="D885">
        <v>1</v>
      </c>
      <c r="E885" t="s">
        <v>42</v>
      </c>
      <c r="F885" t="s">
        <v>62</v>
      </c>
      <c r="G885" s="1">
        <v>46204</v>
      </c>
      <c r="I885" s="2"/>
      <c r="J885" t="s">
        <v>166</v>
      </c>
      <c r="K885">
        <v>9963</v>
      </c>
      <c r="L885" t="s">
        <v>247</v>
      </c>
      <c r="M885">
        <v>2295580</v>
      </c>
      <c r="N885">
        <v>5</v>
      </c>
    </row>
    <row r="886" spans="2:14" hidden="1" x14ac:dyDescent="0.25">
      <c r="B886" t="s">
        <v>30</v>
      </c>
      <c r="C886" t="str">
        <f>_xlfn.XLOOKUP(B886,Tabla2[CODIGO],Tabla2[MATERIAL],"N/A",0)</f>
        <v>Kit puesta tierra acero inoxidable</v>
      </c>
      <c r="D886">
        <v>1</v>
      </c>
      <c r="E886" t="s">
        <v>42</v>
      </c>
      <c r="F886" t="s">
        <v>62</v>
      </c>
      <c r="G886" s="1">
        <v>46204</v>
      </c>
      <c r="I886" s="2"/>
      <c r="J886" t="s">
        <v>166</v>
      </c>
      <c r="K886">
        <v>9963</v>
      </c>
      <c r="L886" t="s">
        <v>247</v>
      </c>
      <c r="M886">
        <v>2295628</v>
      </c>
      <c r="N886">
        <v>8</v>
      </c>
    </row>
    <row r="887" spans="2:14" hidden="1" x14ac:dyDescent="0.25">
      <c r="B887" t="s">
        <v>268</v>
      </c>
      <c r="C887" t="str">
        <f>_xlfn.XLOOKUP(B887,Tabla2[CODIGO],Tabla2[MATERIAL],"N/A",0)</f>
        <v>Tornillo Maquina 1/2*1 1/2</v>
      </c>
      <c r="D887">
        <v>2</v>
      </c>
      <c r="E887" t="s">
        <v>42</v>
      </c>
      <c r="F887" t="s">
        <v>62</v>
      </c>
      <c r="G887" s="1">
        <v>46204</v>
      </c>
      <c r="I887" s="2"/>
      <c r="J887" t="s">
        <v>166</v>
      </c>
      <c r="K887">
        <v>9963</v>
      </c>
      <c r="L887" t="s">
        <v>247</v>
      </c>
      <c r="M887">
        <v>2295580</v>
      </c>
      <c r="N887">
        <v>5</v>
      </c>
    </row>
    <row r="888" spans="2:14" hidden="1" x14ac:dyDescent="0.25">
      <c r="B888" t="s">
        <v>268</v>
      </c>
      <c r="C888" t="str">
        <f>_xlfn.XLOOKUP(B888,Tabla2[CODIGO],Tabla2[MATERIAL],"N/A",0)</f>
        <v>Tornillo Maquina 1/2*1 1/2</v>
      </c>
      <c r="D888">
        <v>2</v>
      </c>
      <c r="E888" t="s">
        <v>42</v>
      </c>
      <c r="F888" t="s">
        <v>62</v>
      </c>
      <c r="G888" s="1">
        <v>46204</v>
      </c>
      <c r="I888" s="2"/>
      <c r="J888" t="s">
        <v>166</v>
      </c>
      <c r="K888">
        <v>9963</v>
      </c>
      <c r="L888" t="s">
        <v>247</v>
      </c>
      <c r="M888">
        <v>2295628</v>
      </c>
      <c r="N888">
        <v>8</v>
      </c>
    </row>
    <row r="889" spans="2:14" hidden="1" x14ac:dyDescent="0.25">
      <c r="B889" t="s">
        <v>226</v>
      </c>
      <c r="C889" t="str">
        <f>_xlfn.XLOOKUP(B889,Tabla2[CODIGO],Tabla2[MATERIAL],"N/A",0)</f>
        <v>Abrazadera una salida 6"</v>
      </c>
      <c r="D889">
        <v>2</v>
      </c>
      <c r="E889" t="s">
        <v>42</v>
      </c>
      <c r="F889" t="s">
        <v>16</v>
      </c>
      <c r="G889" s="1">
        <v>46221</v>
      </c>
      <c r="I889" s="2"/>
      <c r="J889" t="s">
        <v>289</v>
      </c>
      <c r="K889">
        <v>9968</v>
      </c>
    </row>
    <row r="890" spans="2:14" hidden="1" x14ac:dyDescent="0.25">
      <c r="B890" t="s">
        <v>261</v>
      </c>
      <c r="C890" t="str">
        <f>_xlfn.XLOOKUP(B890,Tabla2[CODIGO],Tabla2[MATERIAL],"N/A",0)</f>
        <v>Abrazadera sin salida 6"</v>
      </c>
      <c r="D890">
        <v>10</v>
      </c>
      <c r="E890" t="s">
        <v>42</v>
      </c>
      <c r="F890" t="s">
        <v>16</v>
      </c>
      <c r="G890" s="1">
        <v>46221</v>
      </c>
      <c r="I890" s="2"/>
      <c r="J890" t="s">
        <v>289</v>
      </c>
      <c r="K890">
        <v>9968</v>
      </c>
    </row>
    <row r="891" spans="2:14" hidden="1" x14ac:dyDescent="0.25">
      <c r="B891" t="s">
        <v>217</v>
      </c>
      <c r="C891" t="str">
        <f>_xlfn.XLOOKUP(B891,Tabla2[CODIGO],Tabla2[MATERIAL],"N/A",0)</f>
        <v>Brazo Galvanizado 1 1/2" x 2m</v>
      </c>
      <c r="D891">
        <v>9</v>
      </c>
      <c r="E891" t="s">
        <v>42</v>
      </c>
      <c r="F891" t="s">
        <v>16</v>
      </c>
      <c r="G891" s="1">
        <v>46221</v>
      </c>
      <c r="I891" s="2"/>
      <c r="J891" t="s">
        <v>289</v>
      </c>
      <c r="K891">
        <v>9968</v>
      </c>
    </row>
    <row r="892" spans="2:14" hidden="1" x14ac:dyDescent="0.25">
      <c r="B892" t="s">
        <v>318</v>
      </c>
      <c r="C892" t="str">
        <f>_xlfn.XLOOKUP(B892,Tabla2[CODIGO],Tabla2[MATERIAL],"N/A",0)</f>
        <v>Cable AL aa-8000 4 awg</v>
      </c>
      <c r="D892">
        <v>120</v>
      </c>
      <c r="E892" t="s">
        <v>43</v>
      </c>
      <c r="F892" t="s">
        <v>16</v>
      </c>
      <c r="G892" s="1">
        <v>46221</v>
      </c>
      <c r="I892" s="2"/>
      <c r="J892" t="s">
        <v>289</v>
      </c>
      <c r="K892">
        <v>9968</v>
      </c>
    </row>
    <row r="893" spans="2:14" hidden="1" x14ac:dyDescent="0.25">
      <c r="B893" t="s">
        <v>21</v>
      </c>
      <c r="C893" t="str">
        <f>_xlfn.XLOOKUP(B893,Tabla2[CODIGO],Tabla2[MATERIAL],"N/A",0)</f>
        <v>Cable Encauchetado 3x14 pvc</v>
      </c>
      <c r="D893">
        <v>50</v>
      </c>
      <c r="E893" t="s">
        <v>42</v>
      </c>
      <c r="F893" t="s">
        <v>16</v>
      </c>
      <c r="G893" s="1">
        <v>46221</v>
      </c>
      <c r="I893" s="2"/>
      <c r="J893" t="s">
        <v>289</v>
      </c>
      <c r="K893">
        <v>9968</v>
      </c>
    </row>
    <row r="894" spans="2:14" hidden="1" x14ac:dyDescent="0.25">
      <c r="B894" t="s">
        <v>241</v>
      </c>
      <c r="C894" t="str">
        <f>_xlfn.XLOOKUP(B894,Tabla2[CODIGO],Tabla2[MATERIAL],"N/A",0)</f>
        <v>capacete tuberia imc 3/4"</v>
      </c>
      <c r="D894">
        <v>3</v>
      </c>
      <c r="E894" t="s">
        <v>42</v>
      </c>
      <c r="F894" t="s">
        <v>16</v>
      </c>
      <c r="G894" s="1">
        <v>46221</v>
      </c>
      <c r="I894" s="2"/>
      <c r="J894" t="s">
        <v>289</v>
      </c>
      <c r="K894">
        <v>9968</v>
      </c>
    </row>
    <row r="895" spans="2:14" hidden="1" x14ac:dyDescent="0.25">
      <c r="B895" t="s">
        <v>265</v>
      </c>
      <c r="C895" t="str">
        <f>_xlfn.XLOOKUP(B895,Tabla2[CODIGO],Tabla2[MATERIAL],"N/A",0)</f>
        <v>Cinta Aislante</v>
      </c>
      <c r="D895">
        <v>1</v>
      </c>
      <c r="E895" t="s">
        <v>42</v>
      </c>
      <c r="F895" t="s">
        <v>16</v>
      </c>
      <c r="G895" s="1">
        <v>46221</v>
      </c>
      <c r="I895" s="2"/>
      <c r="J895" t="s">
        <v>289</v>
      </c>
      <c r="K895">
        <v>9968</v>
      </c>
    </row>
    <row r="896" spans="2:14" hidden="1" x14ac:dyDescent="0.25">
      <c r="B896" t="s">
        <v>36</v>
      </c>
      <c r="C896" t="str">
        <f>_xlfn.XLOOKUP(B896,Tabla2[CODIGO],Tabla2[MATERIAL],"N/A",0)</f>
        <v>Cinta Bandit 1/2"</v>
      </c>
      <c r="D896">
        <v>10</v>
      </c>
      <c r="E896" t="s">
        <v>43</v>
      </c>
      <c r="F896" t="s">
        <v>16</v>
      </c>
      <c r="G896" s="1">
        <v>46221</v>
      </c>
      <c r="I896" s="2"/>
      <c r="J896" t="s">
        <v>289</v>
      </c>
      <c r="K896">
        <v>9968</v>
      </c>
    </row>
    <row r="897" spans="2:11" hidden="1" x14ac:dyDescent="0.25">
      <c r="B897" t="s">
        <v>351</v>
      </c>
      <c r="C897" t="str">
        <f>_xlfn.XLOOKUP(B897,Tabla2[CODIGO],Tabla2[MATERIAL],"N/A",0)</f>
        <v>concertina inox diametro 45cmx6m</v>
      </c>
      <c r="D897">
        <v>30</v>
      </c>
      <c r="E897" t="s">
        <v>43</v>
      </c>
      <c r="F897" t="s">
        <v>16</v>
      </c>
      <c r="G897" s="1">
        <v>46221</v>
      </c>
      <c r="I897" s="2"/>
      <c r="J897" t="s">
        <v>289</v>
      </c>
      <c r="K897">
        <v>9968</v>
      </c>
    </row>
    <row r="898" spans="2:11" hidden="1" x14ac:dyDescent="0.25">
      <c r="B898" t="s">
        <v>53</v>
      </c>
      <c r="C898" t="str">
        <f>_xlfn.XLOOKUP(B898,Tabla2[CODIGO],Tabla2[MATERIAL],"N/A",0)</f>
        <v>Conector de Perforacion ais kz-ep (EP95) pequeño</v>
      </c>
      <c r="D898">
        <v>30</v>
      </c>
      <c r="E898" t="s">
        <v>42</v>
      </c>
      <c r="F898" t="s">
        <v>16</v>
      </c>
      <c r="G898" s="1">
        <v>46221</v>
      </c>
      <c r="I898" s="2"/>
      <c r="J898" t="s">
        <v>289</v>
      </c>
      <c r="K898">
        <v>9968</v>
      </c>
    </row>
    <row r="899" spans="2:11" hidden="1" x14ac:dyDescent="0.25">
      <c r="B899" t="s">
        <v>54</v>
      </c>
      <c r="C899" t="str">
        <f>_xlfn.XLOOKUP(B899,Tabla2[CODIGO],Tabla2[MATERIAL],"N/A",0)</f>
        <v>Conector resorte 18-8</v>
      </c>
      <c r="D899">
        <v>15</v>
      </c>
      <c r="E899" t="s">
        <v>42</v>
      </c>
      <c r="F899" t="s">
        <v>16</v>
      </c>
      <c r="G899" s="1">
        <v>46221</v>
      </c>
      <c r="I899" s="2"/>
      <c r="J899" t="s">
        <v>289</v>
      </c>
      <c r="K899">
        <v>9968</v>
      </c>
    </row>
    <row r="900" spans="2:11" hidden="1" x14ac:dyDescent="0.25">
      <c r="B900" t="s">
        <v>210</v>
      </c>
      <c r="C900" t="str">
        <f>_xlfn.XLOOKUP(B900,Tabla2[CODIGO],Tabla2[MATERIAL],"N/A",0)</f>
        <v>Conector Varilla cooperw.</v>
      </c>
      <c r="D900">
        <v>1</v>
      </c>
      <c r="E900" t="s">
        <v>42</v>
      </c>
      <c r="F900" t="s">
        <v>16</v>
      </c>
      <c r="G900" s="1">
        <v>46221</v>
      </c>
      <c r="I900" s="2"/>
      <c r="J900" t="s">
        <v>289</v>
      </c>
      <c r="K900">
        <v>9968</v>
      </c>
    </row>
    <row r="901" spans="2:11" hidden="1" x14ac:dyDescent="0.25">
      <c r="B901" t="s">
        <v>76</v>
      </c>
      <c r="C901" t="str">
        <f>_xlfn.XLOOKUP(B901,Tabla2[CODIGO],Tabla2[MATERIAL],"N/A",0)</f>
        <v>Empalme gel ppal 8-4/0 a der 14-2/0 awg (grande)</v>
      </c>
      <c r="D901">
        <v>16</v>
      </c>
      <c r="E901" t="s">
        <v>42</v>
      </c>
      <c r="F901" t="s">
        <v>16</v>
      </c>
      <c r="G901" s="1">
        <v>46221</v>
      </c>
      <c r="I901" s="2"/>
      <c r="J901" t="s">
        <v>289</v>
      </c>
      <c r="K901">
        <v>9968</v>
      </c>
    </row>
    <row r="902" spans="2:11" hidden="1" x14ac:dyDescent="0.25">
      <c r="B902" t="s">
        <v>60</v>
      </c>
      <c r="C902" t="str">
        <f>_xlfn.XLOOKUP(B902,Tabla2[CODIGO],Tabla2[MATERIAL],"N/A",0)</f>
        <v>Fotocelda</v>
      </c>
      <c r="D902">
        <v>23</v>
      </c>
      <c r="E902" t="s">
        <v>42</v>
      </c>
      <c r="F902" t="s">
        <v>16</v>
      </c>
      <c r="G902" s="1">
        <v>46221</v>
      </c>
      <c r="I902" s="2"/>
      <c r="J902" t="s">
        <v>289</v>
      </c>
      <c r="K902">
        <v>9968</v>
      </c>
    </row>
    <row r="903" spans="2:11" hidden="1" x14ac:dyDescent="0.25">
      <c r="B903" t="s">
        <v>212</v>
      </c>
      <c r="C903" t="str">
        <f>_xlfn.XLOOKUP(B903,Tabla2[CODIGO],Tabla2[MATERIAL],"N/A",0)</f>
        <v>Grillete galvanizado 1,1/2</v>
      </c>
      <c r="D903">
        <v>18</v>
      </c>
      <c r="E903" t="s">
        <v>42</v>
      </c>
      <c r="F903" t="s">
        <v>16</v>
      </c>
      <c r="G903" s="1">
        <v>46221</v>
      </c>
      <c r="I903" s="2"/>
      <c r="J903" t="s">
        <v>289</v>
      </c>
      <c r="K903">
        <v>9968</v>
      </c>
    </row>
    <row r="904" spans="2:11" hidden="1" x14ac:dyDescent="0.25">
      <c r="B904" t="s">
        <v>37</v>
      </c>
      <c r="C904" t="str">
        <f>_xlfn.XLOOKUP(B904,Tabla2[CODIGO],Tabla2[MATERIAL],"N/A",0)</f>
        <v>Hebilla para cinta bandit 1/2"</v>
      </c>
      <c r="D904">
        <v>20</v>
      </c>
      <c r="E904" t="s">
        <v>42</v>
      </c>
      <c r="F904" t="s">
        <v>16</v>
      </c>
      <c r="G904" s="1">
        <v>46221</v>
      </c>
      <c r="I904" s="2"/>
      <c r="J904" t="s">
        <v>289</v>
      </c>
      <c r="K904">
        <v>9968</v>
      </c>
    </row>
    <row r="905" spans="2:11" hidden="1" x14ac:dyDescent="0.25">
      <c r="B905" t="s">
        <v>47</v>
      </c>
      <c r="C905" t="str">
        <f>_xlfn.XLOOKUP(B905,Tabla2[CODIGO],Tabla2[MATERIAL],"N/A",0)</f>
        <v>Luminaria 75w</v>
      </c>
      <c r="D905">
        <v>9</v>
      </c>
      <c r="E905" t="s">
        <v>42</v>
      </c>
      <c r="F905" t="s">
        <v>16</v>
      </c>
      <c r="G905" s="1">
        <v>46221</v>
      </c>
      <c r="I905" s="2"/>
      <c r="J905" t="s">
        <v>289</v>
      </c>
      <c r="K905">
        <v>9968</v>
      </c>
    </row>
    <row r="906" spans="2:11" hidden="1" x14ac:dyDescent="0.25">
      <c r="B906" t="s">
        <v>256</v>
      </c>
      <c r="C906" t="str">
        <f>_xlfn.XLOOKUP(B906,Tabla2[CODIGO],Tabla2[MATERIAL],"N/A",0)</f>
        <v>Poste fibra 10m x 510kg</v>
      </c>
      <c r="D906">
        <v>1</v>
      </c>
      <c r="E906" t="s">
        <v>42</v>
      </c>
      <c r="F906" t="s">
        <v>16</v>
      </c>
      <c r="G906" s="1">
        <v>46221</v>
      </c>
      <c r="I906" s="2"/>
      <c r="J906" t="s">
        <v>289</v>
      </c>
      <c r="K906">
        <v>9968</v>
      </c>
    </row>
    <row r="907" spans="2:11" hidden="1" x14ac:dyDescent="0.25">
      <c r="B907" t="s">
        <v>38</v>
      </c>
      <c r="C907" t="str">
        <f>_xlfn.XLOOKUP(B907,Tabla2[CODIGO],Tabla2[MATERIAL],"N/A",0)</f>
        <v>Tuberia Conduflex 3/4"</v>
      </c>
      <c r="D907">
        <v>2</v>
      </c>
      <c r="E907" t="s">
        <v>42</v>
      </c>
      <c r="F907" t="s">
        <v>16</v>
      </c>
      <c r="G907" s="1">
        <v>46221</v>
      </c>
      <c r="I907" s="2"/>
      <c r="J907" t="s">
        <v>289</v>
      </c>
      <c r="K907">
        <v>9968</v>
      </c>
    </row>
    <row r="908" spans="2:11" hidden="1" x14ac:dyDescent="0.25">
      <c r="B908" t="s">
        <v>239</v>
      </c>
      <c r="C908" t="str">
        <f>_xlfn.XLOOKUP(B908,Tabla2[CODIGO],Tabla2[MATERIAL],"N/A",0)</f>
        <v>Tubo Conduit imc 3/4"</v>
      </c>
      <c r="D908">
        <v>6</v>
      </c>
      <c r="E908" t="s">
        <v>42</v>
      </c>
      <c r="F908" t="s">
        <v>16</v>
      </c>
      <c r="G908" s="1">
        <v>46221</v>
      </c>
      <c r="I908" s="2"/>
      <c r="J908" t="s">
        <v>289</v>
      </c>
      <c r="K908">
        <v>9968</v>
      </c>
    </row>
    <row r="909" spans="2:11" hidden="1" x14ac:dyDescent="0.25">
      <c r="B909" t="s">
        <v>353</v>
      </c>
      <c r="C909" t="str">
        <f>_xlfn.XLOOKUP(B909,Tabla2[CODIGO],Tabla2[MATERIAL],"N/A",0)</f>
        <v>tubo pvc conduit 2"x6m</v>
      </c>
      <c r="D909">
        <v>6</v>
      </c>
      <c r="E909" t="s">
        <v>42</v>
      </c>
      <c r="F909" t="s">
        <v>16</v>
      </c>
      <c r="G909" s="1">
        <v>46221</v>
      </c>
      <c r="I909" s="2"/>
      <c r="J909" t="s">
        <v>289</v>
      </c>
      <c r="K909">
        <v>9968</v>
      </c>
    </row>
    <row r="910" spans="2:11" hidden="1" x14ac:dyDescent="0.25">
      <c r="B910" t="s">
        <v>213</v>
      </c>
      <c r="C910" t="str">
        <f>_xlfn.XLOOKUP(B910,Tabla2[CODIGO],Tabla2[MATERIAL],"N/A",0)</f>
        <v>Tuerca Hexagona 5/8</v>
      </c>
      <c r="D910">
        <v>14</v>
      </c>
      <c r="E910" t="s">
        <v>42</v>
      </c>
      <c r="F910" t="s">
        <v>16</v>
      </c>
      <c r="G910" s="1">
        <v>46221</v>
      </c>
      <c r="I910" s="2"/>
      <c r="J910" t="s">
        <v>289</v>
      </c>
      <c r="K910">
        <v>9968</v>
      </c>
    </row>
    <row r="911" spans="2:11" hidden="1" x14ac:dyDescent="0.25">
      <c r="B911" t="s">
        <v>198</v>
      </c>
      <c r="C911" t="str">
        <f>_xlfn.XLOOKUP(B911,Tabla2[CODIGO],Tabla2[MATERIAL],"N/A",0)</f>
        <v>Varilla cooperweld 2,4m</v>
      </c>
      <c r="D911">
        <v>1</v>
      </c>
      <c r="E911" t="s">
        <v>42</v>
      </c>
      <c r="F911" t="s">
        <v>16</v>
      </c>
      <c r="G911" s="1">
        <v>46221</v>
      </c>
      <c r="I911" s="2"/>
      <c r="J911" t="s">
        <v>289</v>
      </c>
      <c r="K911">
        <v>9968</v>
      </c>
    </row>
    <row r="912" spans="2:11" hidden="1" x14ac:dyDescent="0.25">
      <c r="B912" t="s">
        <v>290</v>
      </c>
      <c r="C912" t="str">
        <f>_xlfn.XLOOKUP(B912,Tabla2[CODIGO],Tabla2[MATERIAL],"N/A",0)</f>
        <v>proyector 90w</v>
      </c>
      <c r="D912">
        <v>1</v>
      </c>
      <c r="E912" t="s">
        <v>42</v>
      </c>
      <c r="F912" t="s">
        <v>16</v>
      </c>
      <c r="G912" s="1">
        <v>46221</v>
      </c>
      <c r="H912" t="s">
        <v>64</v>
      </c>
      <c r="I912" t="s">
        <v>356</v>
      </c>
      <c r="J912" t="s">
        <v>289</v>
      </c>
      <c r="K912">
        <v>9968</v>
      </c>
    </row>
    <row r="913" spans="2:14" hidden="1" x14ac:dyDescent="0.25">
      <c r="B913" t="s">
        <v>290</v>
      </c>
      <c r="C913" t="str">
        <f>_xlfn.XLOOKUP(B913,Tabla2[CODIGO],Tabla2[MATERIAL],"N/A",0)</f>
        <v>proyector 90w</v>
      </c>
      <c r="D913">
        <v>1</v>
      </c>
      <c r="E913" t="s">
        <v>42</v>
      </c>
      <c r="F913" t="s">
        <v>16</v>
      </c>
      <c r="G913" s="1">
        <v>46221</v>
      </c>
      <c r="H913" t="s">
        <v>64</v>
      </c>
      <c r="I913" t="s">
        <v>357</v>
      </c>
      <c r="J913" t="s">
        <v>289</v>
      </c>
      <c r="K913">
        <v>9968</v>
      </c>
    </row>
    <row r="914" spans="2:14" hidden="1" x14ac:dyDescent="0.25">
      <c r="B914" t="s">
        <v>290</v>
      </c>
      <c r="C914" t="str">
        <f>_xlfn.XLOOKUP(B914,Tabla2[CODIGO],Tabla2[MATERIAL],"N/A",0)</f>
        <v>proyector 90w</v>
      </c>
      <c r="D914">
        <v>1</v>
      </c>
      <c r="E914" t="s">
        <v>42</v>
      </c>
      <c r="F914" t="s">
        <v>16</v>
      </c>
      <c r="G914" s="1">
        <v>46221</v>
      </c>
      <c r="H914" t="s">
        <v>64</v>
      </c>
      <c r="I914" t="s">
        <v>358</v>
      </c>
      <c r="J914" t="s">
        <v>289</v>
      </c>
      <c r="K914">
        <v>9968</v>
      </c>
    </row>
    <row r="915" spans="2:14" hidden="1" x14ac:dyDescent="0.25">
      <c r="B915" t="s">
        <v>290</v>
      </c>
      <c r="C915" t="str">
        <f>_xlfn.XLOOKUP(B915,Tabla2[CODIGO],Tabla2[MATERIAL],"N/A",0)</f>
        <v>proyector 90w</v>
      </c>
      <c r="D915">
        <v>1</v>
      </c>
      <c r="E915" t="s">
        <v>42</v>
      </c>
      <c r="F915" t="s">
        <v>16</v>
      </c>
      <c r="G915" s="1">
        <v>46221</v>
      </c>
      <c r="H915" t="s">
        <v>64</v>
      </c>
      <c r="I915" t="s">
        <v>359</v>
      </c>
      <c r="J915" t="s">
        <v>289</v>
      </c>
      <c r="K915">
        <v>9968</v>
      </c>
    </row>
    <row r="916" spans="2:14" hidden="1" x14ac:dyDescent="0.25">
      <c r="B916" t="s">
        <v>290</v>
      </c>
      <c r="C916" t="str">
        <f>_xlfn.XLOOKUP(B916,Tabla2[CODIGO],Tabla2[MATERIAL],"N/A",0)</f>
        <v>proyector 90w</v>
      </c>
      <c r="D916">
        <v>1</v>
      </c>
      <c r="E916" t="s">
        <v>42</v>
      </c>
      <c r="F916" t="s">
        <v>16</v>
      </c>
      <c r="G916" s="1">
        <v>46221</v>
      </c>
      <c r="H916" t="s">
        <v>64</v>
      </c>
      <c r="I916" t="s">
        <v>360</v>
      </c>
      <c r="J916" t="s">
        <v>289</v>
      </c>
      <c r="K916">
        <v>9968</v>
      </c>
    </row>
    <row r="917" spans="2:14" hidden="1" x14ac:dyDescent="0.25">
      <c r="B917" t="s">
        <v>290</v>
      </c>
      <c r="C917" t="str">
        <f>_xlfn.XLOOKUP(B917,Tabla2[CODIGO],Tabla2[MATERIAL],"N/A",0)</f>
        <v>proyector 90w</v>
      </c>
      <c r="D917">
        <v>1</v>
      </c>
      <c r="E917" t="s">
        <v>42</v>
      </c>
      <c r="F917" t="s">
        <v>16</v>
      </c>
      <c r="G917" s="1">
        <v>46221</v>
      </c>
      <c r="H917" t="s">
        <v>64</v>
      </c>
      <c r="I917" t="s">
        <v>361</v>
      </c>
      <c r="J917" t="s">
        <v>289</v>
      </c>
      <c r="K917">
        <v>9968</v>
      </c>
    </row>
    <row r="918" spans="2:14" hidden="1" x14ac:dyDescent="0.25">
      <c r="B918" s="8" t="s">
        <v>82</v>
      </c>
      <c r="C918" t="str">
        <f>_xlfn.XLOOKUP(B918,Tabla2[CODIGO],Tabla2[MATERIAL],"N/A",0)</f>
        <v>proyector 190w</v>
      </c>
      <c r="D918">
        <v>1</v>
      </c>
      <c r="E918" t="s">
        <v>42</v>
      </c>
      <c r="F918" t="s">
        <v>62</v>
      </c>
      <c r="H918" t="s">
        <v>64</v>
      </c>
      <c r="I918" s="2" t="s">
        <v>108</v>
      </c>
      <c r="J918" t="s">
        <v>166</v>
      </c>
      <c r="K918">
        <v>9959</v>
      </c>
      <c r="N918">
        <v>17</v>
      </c>
    </row>
    <row r="919" spans="2:14" hidden="1" x14ac:dyDescent="0.25">
      <c r="B919" s="8" t="s">
        <v>82</v>
      </c>
      <c r="C919" t="str">
        <f>_xlfn.XLOOKUP(B919,Tabla2[CODIGO],Tabla2[MATERIAL],"N/A",0)</f>
        <v>proyector 190w</v>
      </c>
      <c r="D919">
        <v>1</v>
      </c>
      <c r="E919" t="s">
        <v>42</v>
      </c>
      <c r="F919" t="s">
        <v>16</v>
      </c>
      <c r="G919" s="1">
        <v>46198</v>
      </c>
      <c r="H919" t="s">
        <v>64</v>
      </c>
      <c r="I919" s="2" t="s">
        <v>108</v>
      </c>
      <c r="J919" t="s">
        <v>166</v>
      </c>
      <c r="K919">
        <v>9959</v>
      </c>
      <c r="L919" t="s">
        <v>100</v>
      </c>
    </row>
    <row r="920" spans="2:14" hidden="1" x14ac:dyDescent="0.25">
      <c r="B920" s="8" t="s">
        <v>82</v>
      </c>
      <c r="C920" t="str">
        <f>_xlfn.XLOOKUP(B920,Tabla2[CODIGO],Tabla2[MATERIAL],"N/A",0)</f>
        <v>proyector 190w</v>
      </c>
      <c r="D920">
        <v>1</v>
      </c>
      <c r="E920" t="s">
        <v>42</v>
      </c>
      <c r="F920" t="s">
        <v>62</v>
      </c>
      <c r="H920" t="s">
        <v>64</v>
      </c>
      <c r="I920" s="2" t="s">
        <v>109</v>
      </c>
      <c r="J920" t="s">
        <v>166</v>
      </c>
      <c r="K920">
        <v>9959</v>
      </c>
      <c r="N920">
        <v>10</v>
      </c>
    </row>
    <row r="921" spans="2:14" hidden="1" x14ac:dyDescent="0.25">
      <c r="B921" s="8" t="s">
        <v>82</v>
      </c>
      <c r="C921" t="str">
        <f>_xlfn.XLOOKUP(B921,Tabla2[CODIGO],Tabla2[MATERIAL],"N/A",0)</f>
        <v>proyector 190w</v>
      </c>
      <c r="D921">
        <v>1</v>
      </c>
      <c r="E921" t="s">
        <v>42</v>
      </c>
      <c r="F921" t="s">
        <v>16</v>
      </c>
      <c r="G921" s="1">
        <v>46198</v>
      </c>
      <c r="H921" t="s">
        <v>64</v>
      </c>
      <c r="I921" s="2" t="s">
        <v>109</v>
      </c>
      <c r="J921" t="s">
        <v>166</v>
      </c>
      <c r="K921">
        <v>9959</v>
      </c>
      <c r="L921" t="s">
        <v>100</v>
      </c>
    </row>
    <row r="922" spans="2:14" hidden="1" x14ac:dyDescent="0.25">
      <c r="B922" s="8" t="s">
        <v>82</v>
      </c>
      <c r="C922" t="str">
        <f>_xlfn.XLOOKUP(B922,Tabla2[CODIGO],Tabla2[MATERIAL],"N/A",0)</f>
        <v>proyector 190w</v>
      </c>
      <c r="D922">
        <v>1</v>
      </c>
      <c r="E922" t="s">
        <v>42</v>
      </c>
      <c r="F922" t="s">
        <v>62</v>
      </c>
      <c r="H922" t="s">
        <v>64</v>
      </c>
      <c r="I922" s="2" t="s">
        <v>110</v>
      </c>
      <c r="J922" t="s">
        <v>166</v>
      </c>
      <c r="K922">
        <v>9959</v>
      </c>
      <c r="N922">
        <v>5</v>
      </c>
    </row>
    <row r="923" spans="2:14" hidden="1" x14ac:dyDescent="0.25">
      <c r="B923" s="8" t="s">
        <v>82</v>
      </c>
      <c r="C923" t="str">
        <f>_xlfn.XLOOKUP(B923,Tabla2[CODIGO],Tabla2[MATERIAL],"N/A",0)</f>
        <v>proyector 190w</v>
      </c>
      <c r="D923">
        <v>1</v>
      </c>
      <c r="E923" t="s">
        <v>42</v>
      </c>
      <c r="F923" t="s">
        <v>16</v>
      </c>
      <c r="G923" s="1">
        <v>46198</v>
      </c>
      <c r="H923" t="s">
        <v>64</v>
      </c>
      <c r="I923" s="2" t="s">
        <v>110</v>
      </c>
      <c r="J923" t="s">
        <v>166</v>
      </c>
      <c r="K923">
        <v>9959</v>
      </c>
      <c r="L923" t="s">
        <v>100</v>
      </c>
    </row>
    <row r="924" spans="2:14" hidden="1" x14ac:dyDescent="0.25">
      <c r="B924" s="8" t="s">
        <v>82</v>
      </c>
      <c r="C924" t="str">
        <f>_xlfn.XLOOKUP(B924,Tabla2[CODIGO],Tabla2[MATERIAL],"N/A",0)</f>
        <v>proyector 190w</v>
      </c>
      <c r="D924">
        <v>1</v>
      </c>
      <c r="E924" t="s">
        <v>42</v>
      </c>
      <c r="F924" t="s">
        <v>62</v>
      </c>
      <c r="H924" t="s">
        <v>64</v>
      </c>
      <c r="I924" s="2" t="s">
        <v>111</v>
      </c>
      <c r="J924" t="s">
        <v>166</v>
      </c>
      <c r="K924">
        <v>9959</v>
      </c>
      <c r="N924">
        <v>11</v>
      </c>
    </row>
    <row r="925" spans="2:14" hidden="1" x14ac:dyDescent="0.25">
      <c r="B925" s="8" t="s">
        <v>82</v>
      </c>
      <c r="C925" t="str">
        <f>_xlfn.XLOOKUP(B925,Tabla2[CODIGO],Tabla2[MATERIAL],"N/A",0)</f>
        <v>proyector 190w</v>
      </c>
      <c r="D925">
        <v>1</v>
      </c>
      <c r="E925" t="s">
        <v>42</v>
      </c>
      <c r="F925" t="s">
        <v>16</v>
      </c>
      <c r="G925" s="1">
        <v>46198</v>
      </c>
      <c r="H925" t="s">
        <v>64</v>
      </c>
      <c r="I925" s="2" t="s">
        <v>111</v>
      </c>
      <c r="J925" t="s">
        <v>166</v>
      </c>
      <c r="K925">
        <v>9959</v>
      </c>
      <c r="L925" t="s">
        <v>100</v>
      </c>
    </row>
    <row r="926" spans="2:14" hidden="1" x14ac:dyDescent="0.25">
      <c r="B926" s="9" t="s">
        <v>261</v>
      </c>
      <c r="C926" t="str">
        <f>_xlfn.XLOOKUP(B926,Tabla2[CODIGO],Tabla2[MATERIAL],"N/A",0)</f>
        <v>Abrazadera sin salida 6"</v>
      </c>
      <c r="D926">
        <v>10</v>
      </c>
      <c r="E926" t="s">
        <v>42</v>
      </c>
      <c r="F926" t="s">
        <v>16</v>
      </c>
      <c r="G926" s="1">
        <v>46221</v>
      </c>
      <c r="I926" s="2"/>
      <c r="J926" t="s">
        <v>289</v>
      </c>
      <c r="K926">
        <v>9971</v>
      </c>
    </row>
    <row r="927" spans="2:14" hidden="1" x14ac:dyDescent="0.25">
      <c r="B927" s="9" t="s">
        <v>21</v>
      </c>
      <c r="C927" t="str">
        <f>_xlfn.XLOOKUP(B927,Tabla2[CODIGO],Tabla2[MATERIAL],"N/A",0)</f>
        <v>Cable Encauchetado 3x14 pvc</v>
      </c>
      <c r="D927">
        <v>90</v>
      </c>
      <c r="E927" t="s">
        <v>43</v>
      </c>
      <c r="F927" t="s">
        <v>16</v>
      </c>
      <c r="G927" s="1">
        <v>46221</v>
      </c>
      <c r="I927" s="2"/>
      <c r="J927" t="s">
        <v>289</v>
      </c>
      <c r="K927">
        <v>9971</v>
      </c>
    </row>
    <row r="928" spans="2:14" hidden="1" x14ac:dyDescent="0.25">
      <c r="B928" s="9" t="s">
        <v>265</v>
      </c>
      <c r="C928" t="str">
        <f>_xlfn.XLOOKUP(B928,Tabla2[CODIGO],Tabla2[MATERIAL],"N/A",0)</f>
        <v>Cinta Aislante</v>
      </c>
      <c r="D928">
        <v>1</v>
      </c>
      <c r="E928" t="s">
        <v>42</v>
      </c>
      <c r="F928" t="s">
        <v>16</v>
      </c>
      <c r="G928" s="1">
        <v>46221</v>
      </c>
      <c r="I928" s="2"/>
      <c r="J928" t="s">
        <v>289</v>
      </c>
      <c r="K928">
        <v>9971</v>
      </c>
    </row>
    <row r="929" spans="2:11" hidden="1" x14ac:dyDescent="0.25">
      <c r="B929" s="9" t="s">
        <v>351</v>
      </c>
      <c r="C929" t="str">
        <f>_xlfn.XLOOKUP(B929,Tabla2[CODIGO],Tabla2[MATERIAL],"N/A",0)</f>
        <v>concertina inox diametro 45cmx6m</v>
      </c>
      <c r="D929">
        <v>24</v>
      </c>
      <c r="E929" t="s">
        <v>43</v>
      </c>
      <c r="F929" t="s">
        <v>16</v>
      </c>
      <c r="G929" s="1">
        <v>46221</v>
      </c>
      <c r="I929" s="2"/>
      <c r="J929" t="s">
        <v>289</v>
      </c>
      <c r="K929">
        <v>9971</v>
      </c>
    </row>
    <row r="930" spans="2:11" hidden="1" x14ac:dyDescent="0.25">
      <c r="B930" s="9" t="s">
        <v>54</v>
      </c>
      <c r="C930" t="str">
        <f>_xlfn.XLOOKUP(B930,Tabla2[CODIGO],Tabla2[MATERIAL],"N/A",0)</f>
        <v>Conector resorte 18-8</v>
      </c>
      <c r="D930">
        <v>27</v>
      </c>
      <c r="E930" t="s">
        <v>42</v>
      </c>
      <c r="F930" t="s">
        <v>16</v>
      </c>
      <c r="G930" s="1">
        <v>46221</v>
      </c>
      <c r="I930" s="2"/>
      <c r="J930" t="s">
        <v>289</v>
      </c>
      <c r="K930">
        <v>9971</v>
      </c>
    </row>
    <row r="931" spans="2:11" hidden="1" x14ac:dyDescent="0.25">
      <c r="B931" s="9" t="s">
        <v>210</v>
      </c>
      <c r="C931" t="str">
        <f>_xlfn.XLOOKUP(B931,Tabla2[CODIGO],Tabla2[MATERIAL],"N/A",0)</f>
        <v>Conector Varilla cooperw.</v>
      </c>
      <c r="D931">
        <v>3</v>
      </c>
      <c r="E931" t="s">
        <v>42</v>
      </c>
      <c r="F931" t="s">
        <v>16</v>
      </c>
      <c r="G931" s="1">
        <v>46221</v>
      </c>
      <c r="I931" s="2"/>
      <c r="J931" t="s">
        <v>289</v>
      </c>
      <c r="K931">
        <v>9971</v>
      </c>
    </row>
    <row r="932" spans="2:11" hidden="1" x14ac:dyDescent="0.25">
      <c r="B932" s="9" t="s">
        <v>76</v>
      </c>
      <c r="C932" t="str">
        <f>_xlfn.XLOOKUP(B932,Tabla2[CODIGO],Tabla2[MATERIAL],"N/A",0)</f>
        <v>Empalme gel ppal 8-4/0 a der 14-2/0 awg (grande)</v>
      </c>
      <c r="D932">
        <v>18</v>
      </c>
      <c r="E932" t="s">
        <v>42</v>
      </c>
      <c r="F932" t="s">
        <v>16</v>
      </c>
      <c r="G932" s="1">
        <v>46221</v>
      </c>
      <c r="I932" s="2"/>
      <c r="J932" t="s">
        <v>289</v>
      </c>
      <c r="K932">
        <v>9971</v>
      </c>
    </row>
    <row r="933" spans="2:11" hidden="1" x14ac:dyDescent="0.25">
      <c r="B933" t="s">
        <v>60</v>
      </c>
      <c r="C933" t="str">
        <f>_xlfn.XLOOKUP(B933,Tabla2[CODIGO],Tabla2[MATERIAL],"N/A",0)</f>
        <v>Fotocelda</v>
      </c>
      <c r="D933">
        <v>19</v>
      </c>
      <c r="E933" t="s">
        <v>42</v>
      </c>
      <c r="F933" t="s">
        <v>16</v>
      </c>
      <c r="G933" s="1">
        <v>46221</v>
      </c>
      <c r="I933" s="2"/>
      <c r="J933" t="s">
        <v>289</v>
      </c>
      <c r="K933">
        <v>9971</v>
      </c>
    </row>
    <row r="934" spans="2:11" hidden="1" x14ac:dyDescent="0.25">
      <c r="B934" t="s">
        <v>212</v>
      </c>
      <c r="C934" t="str">
        <f>_xlfn.XLOOKUP(B934,Tabla2[CODIGO],Tabla2[MATERIAL],"N/A",0)</f>
        <v>Grillete galvanizado 1,1/2</v>
      </c>
      <c r="D934">
        <v>38</v>
      </c>
      <c r="E934" t="s">
        <v>42</v>
      </c>
      <c r="F934" t="s">
        <v>16</v>
      </c>
      <c r="G934" s="1">
        <v>46221</v>
      </c>
      <c r="I934" s="2"/>
      <c r="J934" t="s">
        <v>289</v>
      </c>
      <c r="K934">
        <v>9971</v>
      </c>
    </row>
    <row r="935" spans="2:11" hidden="1" x14ac:dyDescent="0.25">
      <c r="B935" t="s">
        <v>198</v>
      </c>
      <c r="C935" t="str">
        <f>_xlfn.XLOOKUP(B935,Tabla2[CODIGO],Tabla2[MATERIAL],"N/A",0)</f>
        <v>Varilla cooperweld 2,4m</v>
      </c>
      <c r="D935">
        <v>3</v>
      </c>
      <c r="E935" t="s">
        <v>42</v>
      </c>
      <c r="F935" t="s">
        <v>16</v>
      </c>
      <c r="G935" s="1">
        <v>46221</v>
      </c>
      <c r="I935" s="2"/>
      <c r="J935" t="s">
        <v>289</v>
      </c>
      <c r="K935">
        <v>9971</v>
      </c>
    </row>
    <row r="936" spans="2:11" hidden="1" x14ac:dyDescent="0.25">
      <c r="B936" t="s">
        <v>47</v>
      </c>
      <c r="C936" t="str">
        <f>_xlfn.XLOOKUP(B936,Tabla2[CODIGO],Tabla2[MATERIAL],"N/A",0)</f>
        <v>Luminaria 75w</v>
      </c>
      <c r="D936">
        <v>1</v>
      </c>
      <c r="E936" t="s">
        <v>42</v>
      </c>
      <c r="F936" t="s">
        <v>16</v>
      </c>
      <c r="G936" s="1">
        <v>46221</v>
      </c>
      <c r="H936" t="s">
        <v>64</v>
      </c>
      <c r="I936" s="2" t="s">
        <v>370</v>
      </c>
      <c r="J936" t="s">
        <v>289</v>
      </c>
      <c r="K936">
        <v>9971</v>
      </c>
    </row>
    <row r="937" spans="2:11" hidden="1" x14ac:dyDescent="0.25">
      <c r="B937" t="s">
        <v>47</v>
      </c>
      <c r="C937" t="str">
        <f>_xlfn.XLOOKUP(B937,Tabla2[CODIGO],Tabla2[MATERIAL],"N/A",0)</f>
        <v>Luminaria 75w</v>
      </c>
      <c r="D937">
        <v>1</v>
      </c>
      <c r="E937" t="s">
        <v>42</v>
      </c>
      <c r="F937" t="s">
        <v>16</v>
      </c>
      <c r="G937" s="1">
        <v>46221</v>
      </c>
      <c r="H937" t="s">
        <v>64</v>
      </c>
      <c r="I937" s="2" t="s">
        <v>371</v>
      </c>
      <c r="J937" t="s">
        <v>289</v>
      </c>
      <c r="K937">
        <v>9971</v>
      </c>
    </row>
    <row r="938" spans="2:11" hidden="1" x14ac:dyDescent="0.25">
      <c r="B938" t="s">
        <v>47</v>
      </c>
      <c r="C938" t="str">
        <f>_xlfn.XLOOKUP(B938,Tabla2[CODIGO],Tabla2[MATERIAL],"N/A",0)</f>
        <v>Luminaria 75w</v>
      </c>
      <c r="D938">
        <v>1</v>
      </c>
      <c r="E938" t="s">
        <v>42</v>
      </c>
      <c r="F938" t="s">
        <v>16</v>
      </c>
      <c r="G938" s="1">
        <v>46221</v>
      </c>
      <c r="H938" t="s">
        <v>64</v>
      </c>
      <c r="I938" s="2" t="s">
        <v>372</v>
      </c>
      <c r="J938" t="s">
        <v>289</v>
      </c>
      <c r="K938">
        <v>9971</v>
      </c>
    </row>
    <row r="939" spans="2:11" hidden="1" x14ac:dyDescent="0.25">
      <c r="B939" t="s">
        <v>47</v>
      </c>
      <c r="C939" t="str">
        <f>_xlfn.XLOOKUP(B939,Tabla2[CODIGO],Tabla2[MATERIAL],"N/A",0)</f>
        <v>Luminaria 75w</v>
      </c>
      <c r="D939">
        <v>1</v>
      </c>
      <c r="E939" t="s">
        <v>42</v>
      </c>
      <c r="F939" t="s">
        <v>16</v>
      </c>
      <c r="G939" s="1">
        <v>46221</v>
      </c>
      <c r="H939" t="s">
        <v>64</v>
      </c>
      <c r="I939" s="2" t="s">
        <v>373</v>
      </c>
      <c r="J939" t="s">
        <v>289</v>
      </c>
      <c r="K939">
        <v>9971</v>
      </c>
    </row>
    <row r="940" spans="2:11" hidden="1" x14ac:dyDescent="0.25">
      <c r="B940" t="s">
        <v>47</v>
      </c>
      <c r="C940" t="str">
        <f>_xlfn.XLOOKUP(B940,Tabla2[CODIGO],Tabla2[MATERIAL],"N/A",0)</f>
        <v>Luminaria 75w</v>
      </c>
      <c r="D940">
        <v>1</v>
      </c>
      <c r="E940" t="s">
        <v>42</v>
      </c>
      <c r="F940" t="s">
        <v>16</v>
      </c>
      <c r="G940" s="1">
        <v>46221</v>
      </c>
      <c r="H940" t="s">
        <v>64</v>
      </c>
      <c r="I940" s="2" t="s">
        <v>374</v>
      </c>
      <c r="J940" t="s">
        <v>289</v>
      </c>
      <c r="K940">
        <v>9971</v>
      </c>
    </row>
    <row r="941" spans="2:11" hidden="1" x14ac:dyDescent="0.25">
      <c r="B941" t="s">
        <v>47</v>
      </c>
      <c r="C941" t="str">
        <f>_xlfn.XLOOKUP(B941,Tabla2[CODIGO],Tabla2[MATERIAL],"N/A",0)</f>
        <v>Luminaria 75w</v>
      </c>
      <c r="D941">
        <v>1</v>
      </c>
      <c r="E941" t="s">
        <v>42</v>
      </c>
      <c r="F941" t="s">
        <v>16</v>
      </c>
      <c r="G941" s="1">
        <v>46221</v>
      </c>
      <c r="H941" t="s">
        <v>64</v>
      </c>
      <c r="I941" s="2" t="s">
        <v>375</v>
      </c>
      <c r="J941" t="s">
        <v>289</v>
      </c>
      <c r="K941">
        <v>9971</v>
      </c>
    </row>
    <row r="942" spans="2:11" hidden="1" x14ac:dyDescent="0.25">
      <c r="B942" t="s">
        <v>47</v>
      </c>
      <c r="C942" t="str">
        <f>_xlfn.XLOOKUP(B942,Tabla2[CODIGO],Tabla2[MATERIAL],"N/A",0)</f>
        <v>Luminaria 75w</v>
      </c>
      <c r="D942">
        <v>1</v>
      </c>
      <c r="E942" t="s">
        <v>42</v>
      </c>
      <c r="F942" t="s">
        <v>16</v>
      </c>
      <c r="G942" s="1">
        <v>46221</v>
      </c>
      <c r="H942" t="s">
        <v>64</v>
      </c>
      <c r="I942" s="2" t="s">
        <v>376</v>
      </c>
      <c r="J942" t="s">
        <v>289</v>
      </c>
      <c r="K942">
        <v>9971</v>
      </c>
    </row>
    <row r="943" spans="2:11" hidden="1" x14ac:dyDescent="0.25">
      <c r="B943" t="s">
        <v>47</v>
      </c>
      <c r="C943" t="str">
        <f>_xlfn.XLOOKUP(B943,Tabla2[CODIGO],Tabla2[MATERIAL],"N/A",0)</f>
        <v>Luminaria 75w</v>
      </c>
      <c r="D943">
        <v>1</v>
      </c>
      <c r="E943" t="s">
        <v>42</v>
      </c>
      <c r="F943" t="s">
        <v>16</v>
      </c>
      <c r="G943" s="1">
        <v>46221</v>
      </c>
      <c r="H943" t="s">
        <v>64</v>
      </c>
      <c r="I943" s="2" t="s">
        <v>377</v>
      </c>
      <c r="J943" t="s">
        <v>289</v>
      </c>
      <c r="K943">
        <v>9971</v>
      </c>
    </row>
    <row r="944" spans="2:11" hidden="1" x14ac:dyDescent="0.25">
      <c r="B944" t="s">
        <v>47</v>
      </c>
      <c r="C944" t="str">
        <f>_xlfn.XLOOKUP(B944,Tabla2[CODIGO],Tabla2[MATERIAL],"N/A",0)</f>
        <v>Luminaria 75w</v>
      </c>
      <c r="D944">
        <v>1</v>
      </c>
      <c r="E944" t="s">
        <v>42</v>
      </c>
      <c r="F944" t="s">
        <v>16</v>
      </c>
      <c r="G944" s="1">
        <v>46221</v>
      </c>
      <c r="H944" t="s">
        <v>64</v>
      </c>
      <c r="I944" s="2" t="s">
        <v>378</v>
      </c>
      <c r="J944" t="s">
        <v>289</v>
      </c>
      <c r="K944">
        <v>9971</v>
      </c>
    </row>
    <row r="945" spans="2:11" hidden="1" x14ac:dyDescent="0.25">
      <c r="B945" t="s">
        <v>47</v>
      </c>
      <c r="C945" t="str">
        <f>_xlfn.XLOOKUP(B945,Tabla2[CODIGO],Tabla2[MATERIAL],"N/A",0)</f>
        <v>Luminaria 75w</v>
      </c>
      <c r="D945">
        <v>1</v>
      </c>
      <c r="E945" t="s">
        <v>42</v>
      </c>
      <c r="F945" t="s">
        <v>16</v>
      </c>
      <c r="G945" s="1">
        <v>46221</v>
      </c>
      <c r="H945" t="s">
        <v>64</v>
      </c>
      <c r="I945" s="2" t="s">
        <v>379</v>
      </c>
      <c r="J945" t="s">
        <v>289</v>
      </c>
      <c r="K945">
        <v>9971</v>
      </c>
    </row>
    <row r="946" spans="2:11" hidden="1" x14ac:dyDescent="0.25">
      <c r="B946" t="s">
        <v>47</v>
      </c>
      <c r="C946" t="str">
        <f>_xlfn.XLOOKUP(B946,Tabla2[CODIGO],Tabla2[MATERIAL],"N/A",0)</f>
        <v>Luminaria 75w</v>
      </c>
      <c r="D946">
        <v>1</v>
      </c>
      <c r="E946" t="s">
        <v>42</v>
      </c>
      <c r="F946" t="s">
        <v>16</v>
      </c>
      <c r="G946" s="1">
        <v>46221</v>
      </c>
      <c r="H946" t="s">
        <v>64</v>
      </c>
      <c r="I946" s="2" t="s">
        <v>380</v>
      </c>
      <c r="J946" t="s">
        <v>289</v>
      </c>
      <c r="K946">
        <v>9971</v>
      </c>
    </row>
    <row r="947" spans="2:11" hidden="1" x14ac:dyDescent="0.25">
      <c r="B947" t="s">
        <v>47</v>
      </c>
      <c r="C947" t="str">
        <f>_xlfn.XLOOKUP(B947,Tabla2[CODIGO],Tabla2[MATERIAL],"N/A",0)</f>
        <v>Luminaria 75w</v>
      </c>
      <c r="D947">
        <v>1</v>
      </c>
      <c r="E947" t="s">
        <v>42</v>
      </c>
      <c r="F947" t="s">
        <v>16</v>
      </c>
      <c r="G947" s="1">
        <v>46221</v>
      </c>
      <c r="H947" t="s">
        <v>64</v>
      </c>
      <c r="I947" s="2" t="s">
        <v>381</v>
      </c>
      <c r="J947" t="s">
        <v>289</v>
      </c>
      <c r="K947">
        <v>9971</v>
      </c>
    </row>
    <row r="948" spans="2:11" hidden="1" x14ac:dyDescent="0.25">
      <c r="B948" t="s">
        <v>47</v>
      </c>
      <c r="C948" t="str">
        <f>_xlfn.XLOOKUP(B948,Tabla2[CODIGO],Tabla2[MATERIAL],"N/A",0)</f>
        <v>Luminaria 75w</v>
      </c>
      <c r="D948">
        <v>1</v>
      </c>
      <c r="E948" t="s">
        <v>42</v>
      </c>
      <c r="F948" t="s">
        <v>16</v>
      </c>
      <c r="G948" s="1">
        <v>46221</v>
      </c>
      <c r="H948" t="s">
        <v>64</v>
      </c>
      <c r="I948" s="2" t="s">
        <v>382</v>
      </c>
      <c r="J948" t="s">
        <v>289</v>
      </c>
      <c r="K948">
        <v>9971</v>
      </c>
    </row>
    <row r="949" spans="2:11" hidden="1" x14ac:dyDescent="0.25">
      <c r="B949" t="s">
        <v>47</v>
      </c>
      <c r="C949" t="str">
        <f>_xlfn.XLOOKUP(B949,Tabla2[CODIGO],Tabla2[MATERIAL],"N/A",0)</f>
        <v>Luminaria 75w</v>
      </c>
      <c r="D949">
        <v>1</v>
      </c>
      <c r="E949" t="s">
        <v>42</v>
      </c>
      <c r="F949" t="s">
        <v>16</v>
      </c>
      <c r="G949" s="1">
        <v>46221</v>
      </c>
      <c r="H949" t="s">
        <v>64</v>
      </c>
      <c r="I949" s="2" t="s">
        <v>383</v>
      </c>
      <c r="J949" t="s">
        <v>289</v>
      </c>
      <c r="K949">
        <v>9971</v>
      </c>
    </row>
    <row r="950" spans="2:11" hidden="1" x14ac:dyDescent="0.25">
      <c r="B950" t="s">
        <v>47</v>
      </c>
      <c r="C950" t="str">
        <f>_xlfn.XLOOKUP(B950,Tabla2[CODIGO],Tabla2[MATERIAL],"N/A",0)</f>
        <v>Luminaria 75w</v>
      </c>
      <c r="D950">
        <v>1</v>
      </c>
      <c r="E950" t="s">
        <v>42</v>
      </c>
      <c r="F950" t="s">
        <v>16</v>
      </c>
      <c r="G950" s="1">
        <v>46221</v>
      </c>
      <c r="H950" t="s">
        <v>64</v>
      </c>
      <c r="I950" s="2" t="s">
        <v>384</v>
      </c>
      <c r="J950" t="s">
        <v>289</v>
      </c>
      <c r="K950">
        <v>9971</v>
      </c>
    </row>
    <row r="951" spans="2:11" hidden="1" x14ac:dyDescent="0.25">
      <c r="B951" t="s">
        <v>47</v>
      </c>
      <c r="C951" t="str">
        <f>_xlfn.XLOOKUP(B951,Tabla2[CODIGO],Tabla2[MATERIAL],"N/A",0)</f>
        <v>Luminaria 75w</v>
      </c>
      <c r="D951">
        <v>1</v>
      </c>
      <c r="E951" t="s">
        <v>42</v>
      </c>
      <c r="F951" t="s">
        <v>16</v>
      </c>
      <c r="G951" s="1">
        <v>46221</v>
      </c>
      <c r="H951" t="s">
        <v>64</v>
      </c>
      <c r="I951" s="2" t="s">
        <v>385</v>
      </c>
      <c r="J951" t="s">
        <v>289</v>
      </c>
      <c r="K951">
        <v>9971</v>
      </c>
    </row>
    <row r="952" spans="2:11" hidden="1" x14ac:dyDescent="0.25">
      <c r="B952" t="s">
        <v>47</v>
      </c>
      <c r="C952" t="str">
        <f>_xlfn.XLOOKUP(B952,Tabla2[CODIGO],Tabla2[MATERIAL],"N/A",0)</f>
        <v>Luminaria 75w</v>
      </c>
      <c r="D952">
        <v>1</v>
      </c>
      <c r="E952" t="s">
        <v>42</v>
      </c>
      <c r="F952" t="s">
        <v>16</v>
      </c>
      <c r="G952" s="1">
        <v>46221</v>
      </c>
      <c r="H952" t="s">
        <v>64</v>
      </c>
      <c r="I952" s="2" t="s">
        <v>386</v>
      </c>
      <c r="J952" t="s">
        <v>289</v>
      </c>
      <c r="K952">
        <v>9971</v>
      </c>
    </row>
    <row r="953" spans="2:11" hidden="1" x14ac:dyDescent="0.25">
      <c r="B953" t="s">
        <v>47</v>
      </c>
      <c r="C953" t="str">
        <f>_xlfn.XLOOKUP(B953,Tabla2[CODIGO],Tabla2[MATERIAL],"N/A",0)</f>
        <v>Luminaria 75w</v>
      </c>
      <c r="D953">
        <v>1</v>
      </c>
      <c r="E953" t="s">
        <v>42</v>
      </c>
      <c r="F953" t="s">
        <v>16</v>
      </c>
      <c r="G953" s="1">
        <v>46221</v>
      </c>
      <c r="H953" t="s">
        <v>64</v>
      </c>
      <c r="I953" s="2" t="s">
        <v>387</v>
      </c>
      <c r="J953" t="s">
        <v>289</v>
      </c>
      <c r="K953">
        <v>9971</v>
      </c>
    </row>
    <row r="954" spans="2:11" hidden="1" x14ac:dyDescent="0.25">
      <c r="B954" t="s">
        <v>47</v>
      </c>
      <c r="C954" t="str">
        <f>_xlfn.XLOOKUP(B954,Tabla2[CODIGO],Tabla2[MATERIAL],"N/A",0)</f>
        <v>Luminaria 75w</v>
      </c>
      <c r="D954">
        <v>1</v>
      </c>
      <c r="E954" t="s">
        <v>42</v>
      </c>
      <c r="F954" t="s">
        <v>16</v>
      </c>
      <c r="G954" s="1">
        <v>46221</v>
      </c>
      <c r="H954" t="s">
        <v>64</v>
      </c>
      <c r="I954" s="2" t="s">
        <v>388</v>
      </c>
      <c r="J954" t="s">
        <v>289</v>
      </c>
      <c r="K954">
        <v>9971</v>
      </c>
    </row>
    <row r="955" spans="2:11" hidden="1" x14ac:dyDescent="0.25">
      <c r="B955" t="s">
        <v>259</v>
      </c>
      <c r="C955" t="str">
        <f>_xlfn.XLOOKUP(B955,Tabla2[CODIGO],Tabla2[MATERIAL],"N/A",0)</f>
        <v>Abrazadera sin salida 6"</v>
      </c>
      <c r="D955">
        <v>15</v>
      </c>
      <c r="E955" t="s">
        <v>42</v>
      </c>
      <c r="F955" t="s">
        <v>16</v>
      </c>
      <c r="I955" s="2"/>
      <c r="J955" t="s">
        <v>289</v>
      </c>
      <c r="K955">
        <v>9972</v>
      </c>
    </row>
    <row r="956" spans="2:11" hidden="1" x14ac:dyDescent="0.25">
      <c r="B956" t="s">
        <v>319</v>
      </c>
      <c r="C956" t="str">
        <f>_xlfn.XLOOKUP(B956,Tabla2[CODIGO],Tabla2[MATERIAL],"N/A",0)</f>
        <v>alambre Cu thhn 14 verde</v>
      </c>
      <c r="D956">
        <v>30</v>
      </c>
      <c r="E956" t="s">
        <v>43</v>
      </c>
      <c r="F956" t="s">
        <v>16</v>
      </c>
      <c r="I956" s="2"/>
      <c r="J956" t="s">
        <v>289</v>
      </c>
      <c r="K956">
        <v>9972</v>
      </c>
    </row>
    <row r="957" spans="2:11" hidden="1" x14ac:dyDescent="0.25">
      <c r="B957" t="s">
        <v>217</v>
      </c>
      <c r="C957" t="str">
        <f>_xlfn.XLOOKUP(B957,Tabla2[CODIGO],Tabla2[MATERIAL],"N/A",0)</f>
        <v>Brazo Galvanizado 1 1/2" x 2m</v>
      </c>
      <c r="D957">
        <v>15</v>
      </c>
      <c r="E957" t="s">
        <v>42</v>
      </c>
      <c r="F957" t="s">
        <v>62</v>
      </c>
      <c r="I957" s="2"/>
      <c r="J957" t="s">
        <v>289</v>
      </c>
      <c r="K957">
        <v>9972</v>
      </c>
    </row>
    <row r="958" spans="2:11" hidden="1" x14ac:dyDescent="0.25">
      <c r="B958" t="s">
        <v>21</v>
      </c>
      <c r="C958" t="str">
        <f>_xlfn.XLOOKUP(B958,Tabla2[CODIGO],Tabla2[MATERIAL],"N/A",0)</f>
        <v>Cable Encauchetado 3x14 pvc</v>
      </c>
      <c r="D958">
        <v>112</v>
      </c>
      <c r="E958" t="s">
        <v>43</v>
      </c>
      <c r="F958" t="s">
        <v>16</v>
      </c>
      <c r="I958" s="2"/>
      <c r="J958" t="s">
        <v>289</v>
      </c>
      <c r="K958">
        <v>9972</v>
      </c>
    </row>
    <row r="959" spans="2:11" hidden="1" x14ac:dyDescent="0.25">
      <c r="B959" t="s">
        <v>241</v>
      </c>
      <c r="C959" t="str">
        <f>_xlfn.XLOOKUP(B959,Tabla2[CODIGO],Tabla2[MATERIAL],"N/A",0)</f>
        <v>capacete tuberia imc 3/4"</v>
      </c>
      <c r="D959">
        <v>1</v>
      </c>
      <c r="E959" t="s">
        <v>42</v>
      </c>
      <c r="F959" t="s">
        <v>16</v>
      </c>
      <c r="I959" s="2"/>
      <c r="J959" t="s">
        <v>289</v>
      </c>
      <c r="K959">
        <v>9972</v>
      </c>
    </row>
    <row r="960" spans="2:11" hidden="1" x14ac:dyDescent="0.25">
      <c r="B960" t="s">
        <v>265</v>
      </c>
      <c r="C960" t="str">
        <f>_xlfn.XLOOKUP(B960,Tabla2[CODIGO],Tabla2[MATERIAL],"N/A",0)</f>
        <v>Cinta Aislante</v>
      </c>
      <c r="D960">
        <v>3</v>
      </c>
      <c r="E960" t="s">
        <v>42</v>
      </c>
      <c r="F960" t="s">
        <v>16</v>
      </c>
      <c r="I960" s="2"/>
      <c r="J960" t="s">
        <v>289</v>
      </c>
      <c r="K960">
        <v>9972</v>
      </c>
    </row>
    <row r="961" spans="2:11" hidden="1" x14ac:dyDescent="0.25">
      <c r="B961" t="s">
        <v>36</v>
      </c>
      <c r="C961" t="str">
        <f>_xlfn.XLOOKUP(B961,Tabla2[CODIGO],Tabla2[MATERIAL],"N/A",0)</f>
        <v>Cinta Bandit 1/2"</v>
      </c>
      <c r="D961">
        <v>3</v>
      </c>
      <c r="E961" t="s">
        <v>42</v>
      </c>
      <c r="F961" t="s">
        <v>16</v>
      </c>
      <c r="I961" s="2"/>
      <c r="J961" t="s">
        <v>289</v>
      </c>
      <c r="K961">
        <v>9972</v>
      </c>
    </row>
    <row r="962" spans="2:11" hidden="1" x14ac:dyDescent="0.25">
      <c r="B962" t="s">
        <v>53</v>
      </c>
      <c r="C962" t="str">
        <f>_xlfn.XLOOKUP(B962,Tabla2[CODIGO],Tabla2[MATERIAL],"N/A",0)</f>
        <v>Conector de Perforacion ais kz-ep (EP95) pequeño</v>
      </c>
      <c r="D962">
        <v>18</v>
      </c>
      <c r="E962" t="s">
        <v>42</v>
      </c>
      <c r="F962" t="s">
        <v>16</v>
      </c>
      <c r="I962" s="2"/>
      <c r="J962" t="s">
        <v>289</v>
      </c>
      <c r="K962">
        <v>9972</v>
      </c>
    </row>
    <row r="963" spans="2:11" hidden="1" x14ac:dyDescent="0.25">
      <c r="B963" t="s">
        <v>54</v>
      </c>
      <c r="C963" t="str">
        <f>_xlfn.XLOOKUP(B963,Tabla2[CODIGO],Tabla2[MATERIAL],"N/A",0)</f>
        <v>Conector resorte 18-8</v>
      </c>
      <c r="D963">
        <v>24</v>
      </c>
      <c r="E963" t="s">
        <v>42</v>
      </c>
      <c r="F963" t="s">
        <v>16</v>
      </c>
      <c r="I963" s="2"/>
      <c r="J963" t="s">
        <v>289</v>
      </c>
      <c r="K963">
        <v>9972</v>
      </c>
    </row>
    <row r="964" spans="2:11" hidden="1" x14ac:dyDescent="0.25">
      <c r="B964" t="s">
        <v>210</v>
      </c>
      <c r="C964" t="str">
        <f>_xlfn.XLOOKUP(B964,Tabla2[CODIGO],Tabla2[MATERIAL],"N/A",0)</f>
        <v>Conector Varilla cooperw.</v>
      </c>
      <c r="D964">
        <v>3</v>
      </c>
      <c r="E964" t="s">
        <v>42</v>
      </c>
      <c r="F964" t="s">
        <v>16</v>
      </c>
      <c r="I964" s="2"/>
      <c r="J964" t="s">
        <v>289</v>
      </c>
      <c r="K964">
        <v>9972</v>
      </c>
    </row>
    <row r="965" spans="2:11" hidden="1" x14ac:dyDescent="0.25">
      <c r="B965" t="s">
        <v>76</v>
      </c>
      <c r="C965" t="str">
        <f>_xlfn.XLOOKUP(B965,Tabla2[CODIGO],Tabla2[MATERIAL],"N/A",0)</f>
        <v>Empalme gel ppal 8-4/0 a der 14-2/0 awg (grande)</v>
      </c>
      <c r="D965">
        <v>20</v>
      </c>
      <c r="E965" t="s">
        <v>42</v>
      </c>
      <c r="F965" t="s">
        <v>16</v>
      </c>
      <c r="I965" s="2"/>
      <c r="J965" t="s">
        <v>289</v>
      </c>
      <c r="K965">
        <v>9972</v>
      </c>
    </row>
    <row r="966" spans="2:11" hidden="1" x14ac:dyDescent="0.25">
      <c r="B966" t="s">
        <v>60</v>
      </c>
      <c r="C966" t="str">
        <f>_xlfn.XLOOKUP(B966,Tabla2[CODIGO],Tabla2[MATERIAL],"N/A",0)</f>
        <v>Fotocelda</v>
      </c>
      <c r="D966">
        <v>21</v>
      </c>
      <c r="E966" t="s">
        <v>42</v>
      </c>
      <c r="F966" t="s">
        <v>16</v>
      </c>
      <c r="I966" s="2"/>
      <c r="J966" t="s">
        <v>289</v>
      </c>
      <c r="K966">
        <v>9972</v>
      </c>
    </row>
    <row r="967" spans="2:11" hidden="1" x14ac:dyDescent="0.25">
      <c r="B967" t="s">
        <v>212</v>
      </c>
      <c r="C967" t="str">
        <f>_xlfn.XLOOKUP(B967,Tabla2[CODIGO],Tabla2[MATERIAL],"N/A",0)</f>
        <v>Grillete galvanizado 1,1/2</v>
      </c>
      <c r="D967">
        <v>30</v>
      </c>
      <c r="E967" t="s">
        <v>42</v>
      </c>
      <c r="F967" t="s">
        <v>16</v>
      </c>
      <c r="I967" s="2"/>
      <c r="J967" t="s">
        <v>289</v>
      </c>
      <c r="K967">
        <v>9972</v>
      </c>
    </row>
    <row r="968" spans="2:11" hidden="1" x14ac:dyDescent="0.25">
      <c r="B968" t="s">
        <v>37</v>
      </c>
      <c r="C968" t="str">
        <f>_xlfn.XLOOKUP(B968,Tabla2[CODIGO],Tabla2[MATERIAL],"N/A",0)</f>
        <v>Hebilla para cinta bandit 1/2"</v>
      </c>
      <c r="D968">
        <v>5</v>
      </c>
      <c r="E968" t="s">
        <v>42</v>
      </c>
      <c r="F968" t="s">
        <v>16</v>
      </c>
      <c r="I968" s="2"/>
      <c r="J968" t="s">
        <v>289</v>
      </c>
      <c r="K968">
        <v>9972</v>
      </c>
    </row>
    <row r="969" spans="2:11" hidden="1" x14ac:dyDescent="0.25">
      <c r="B969" t="s">
        <v>389</v>
      </c>
      <c r="C969" t="str">
        <f>_xlfn.XLOOKUP(B969,Tabla2[CODIGO],Tabla2[MATERIAL],"N/A",0)</f>
        <v>tubo conduit imc 2"</v>
      </c>
      <c r="D969">
        <v>2</v>
      </c>
      <c r="E969" t="s">
        <v>42</v>
      </c>
      <c r="F969" t="s">
        <v>16</v>
      </c>
      <c r="I969" s="2"/>
      <c r="J969" t="s">
        <v>289</v>
      </c>
      <c r="K969">
        <v>9972</v>
      </c>
    </row>
    <row r="970" spans="2:11" hidden="1" x14ac:dyDescent="0.25">
      <c r="B970" t="s">
        <v>213</v>
      </c>
      <c r="C970" t="str">
        <f>_xlfn.XLOOKUP(B970,Tabla2[CODIGO],Tabla2[MATERIAL],"N/A",0)</f>
        <v>Tuerca Hexagona 5/8</v>
      </c>
      <c r="D970">
        <v>6</v>
      </c>
      <c r="E970" t="s">
        <v>42</v>
      </c>
      <c r="F970" t="s">
        <v>16</v>
      </c>
      <c r="I970" s="2"/>
      <c r="J970" t="s">
        <v>289</v>
      </c>
      <c r="K970">
        <v>9972</v>
      </c>
    </row>
    <row r="971" spans="2:11" hidden="1" x14ac:dyDescent="0.25">
      <c r="B971" t="s">
        <v>198</v>
      </c>
      <c r="C971" t="str">
        <f>_xlfn.XLOOKUP(B971,Tabla2[CODIGO],Tabla2[MATERIAL],"N/A",0)</f>
        <v>Varilla cooperweld 2,4m</v>
      </c>
      <c r="D971">
        <v>3</v>
      </c>
      <c r="E971" t="s">
        <v>42</v>
      </c>
      <c r="F971" t="s">
        <v>16</v>
      </c>
      <c r="I971" s="2"/>
      <c r="J971" t="s">
        <v>289</v>
      </c>
      <c r="K971">
        <v>9972</v>
      </c>
    </row>
    <row r="972" spans="2:11" hidden="1" x14ac:dyDescent="0.25">
      <c r="B972" t="s">
        <v>84</v>
      </c>
      <c r="C972" t="str">
        <f>_xlfn.XLOOKUP(B972,Tabla2[CODIGO],Tabla2[MATERIAL],"N/A",0)</f>
        <v>Luminaria 110w</v>
      </c>
      <c r="D972">
        <v>1</v>
      </c>
      <c r="E972" t="s">
        <v>42</v>
      </c>
      <c r="F972" t="s">
        <v>16</v>
      </c>
      <c r="G972" s="1">
        <v>46221</v>
      </c>
      <c r="H972" t="s">
        <v>64</v>
      </c>
      <c r="I972" s="2" t="s">
        <v>391</v>
      </c>
      <c r="J972" t="s">
        <v>289</v>
      </c>
      <c r="K972">
        <v>9972</v>
      </c>
    </row>
    <row r="973" spans="2:11" hidden="1" x14ac:dyDescent="0.25">
      <c r="B973" t="s">
        <v>84</v>
      </c>
      <c r="C973" t="str">
        <f>_xlfn.XLOOKUP(B973,Tabla2[CODIGO],Tabla2[MATERIAL],"N/A",0)</f>
        <v>Luminaria 110w</v>
      </c>
      <c r="D973">
        <v>1</v>
      </c>
      <c r="E973" t="s">
        <v>42</v>
      </c>
      <c r="F973" t="s">
        <v>16</v>
      </c>
      <c r="G973" s="1">
        <v>46221</v>
      </c>
      <c r="H973" t="s">
        <v>64</v>
      </c>
      <c r="I973" s="2" t="s">
        <v>392</v>
      </c>
      <c r="J973" t="s">
        <v>289</v>
      </c>
      <c r="K973">
        <v>9972</v>
      </c>
    </row>
    <row r="974" spans="2:11" hidden="1" x14ac:dyDescent="0.25">
      <c r="B974" t="s">
        <v>84</v>
      </c>
      <c r="C974" t="str">
        <f>_xlfn.XLOOKUP(B974,Tabla2[CODIGO],Tabla2[MATERIAL],"N/A",0)</f>
        <v>Luminaria 110w</v>
      </c>
      <c r="D974">
        <v>1</v>
      </c>
      <c r="E974" t="s">
        <v>42</v>
      </c>
      <c r="F974" t="s">
        <v>16</v>
      </c>
      <c r="G974" s="1">
        <v>46221</v>
      </c>
      <c r="H974" t="s">
        <v>64</v>
      </c>
      <c r="I974" s="2" t="s">
        <v>393</v>
      </c>
      <c r="J974" t="s">
        <v>289</v>
      </c>
      <c r="K974">
        <v>9972</v>
      </c>
    </row>
    <row r="975" spans="2:11" hidden="1" x14ac:dyDescent="0.25">
      <c r="B975" t="s">
        <v>84</v>
      </c>
      <c r="C975" t="str">
        <f>_xlfn.XLOOKUP(B975,Tabla2[CODIGO],Tabla2[MATERIAL],"N/A",0)</f>
        <v>Luminaria 110w</v>
      </c>
      <c r="D975">
        <v>1</v>
      </c>
      <c r="E975" t="s">
        <v>42</v>
      </c>
      <c r="F975" t="s">
        <v>16</v>
      </c>
      <c r="G975" s="1">
        <v>46221</v>
      </c>
      <c r="H975" t="s">
        <v>64</v>
      </c>
      <c r="I975" s="2" t="s">
        <v>394</v>
      </c>
      <c r="J975" t="s">
        <v>289</v>
      </c>
      <c r="K975">
        <v>9972</v>
      </c>
    </row>
    <row r="976" spans="2:11" hidden="1" x14ac:dyDescent="0.25">
      <c r="B976" t="s">
        <v>84</v>
      </c>
      <c r="C976" t="str">
        <f>_xlfn.XLOOKUP(B976,Tabla2[CODIGO],Tabla2[MATERIAL],"N/A",0)</f>
        <v>Luminaria 110w</v>
      </c>
      <c r="D976">
        <v>1</v>
      </c>
      <c r="E976" t="s">
        <v>42</v>
      </c>
      <c r="F976" t="s">
        <v>16</v>
      </c>
      <c r="G976" s="1">
        <v>46221</v>
      </c>
      <c r="H976" t="s">
        <v>64</v>
      </c>
      <c r="I976" s="2" t="s">
        <v>395</v>
      </c>
      <c r="J976" t="s">
        <v>289</v>
      </c>
      <c r="K976">
        <v>9972</v>
      </c>
    </row>
    <row r="977" spans="2:14" hidden="1" x14ac:dyDescent="0.25">
      <c r="B977" t="s">
        <v>84</v>
      </c>
      <c r="C977" t="str">
        <f>_xlfn.XLOOKUP(B977,Tabla2[CODIGO],Tabla2[MATERIAL],"N/A",0)</f>
        <v>Luminaria 110w</v>
      </c>
      <c r="D977">
        <v>1</v>
      </c>
      <c r="E977" t="s">
        <v>42</v>
      </c>
      <c r="F977" t="s">
        <v>16</v>
      </c>
      <c r="G977" s="1">
        <v>46221</v>
      </c>
      <c r="H977" t="s">
        <v>64</v>
      </c>
      <c r="I977" s="2" t="s">
        <v>396</v>
      </c>
      <c r="J977" t="s">
        <v>289</v>
      </c>
      <c r="K977">
        <v>9972</v>
      </c>
    </row>
    <row r="978" spans="2:14" hidden="1" x14ac:dyDescent="0.25">
      <c r="B978" t="s">
        <v>84</v>
      </c>
      <c r="C978" t="str">
        <f>_xlfn.XLOOKUP(B978,Tabla2[CODIGO],Tabla2[MATERIAL],"N/A",0)</f>
        <v>Luminaria 110w</v>
      </c>
      <c r="D978">
        <v>1</v>
      </c>
      <c r="E978" t="s">
        <v>42</v>
      </c>
      <c r="F978" t="s">
        <v>16</v>
      </c>
      <c r="G978" s="1">
        <v>46221</v>
      </c>
      <c r="H978" t="s">
        <v>64</v>
      </c>
      <c r="I978" s="2" t="s">
        <v>397</v>
      </c>
      <c r="J978" t="s">
        <v>289</v>
      </c>
      <c r="K978">
        <v>9972</v>
      </c>
    </row>
    <row r="979" spans="2:14" hidden="1" x14ac:dyDescent="0.25">
      <c r="B979" t="s">
        <v>84</v>
      </c>
      <c r="C979" t="str">
        <f>_xlfn.XLOOKUP(B979,Tabla2[CODIGO],Tabla2[MATERIAL],"N/A",0)</f>
        <v>Luminaria 110w</v>
      </c>
      <c r="D979">
        <v>1</v>
      </c>
      <c r="E979" t="s">
        <v>42</v>
      </c>
      <c r="F979" t="s">
        <v>16</v>
      </c>
      <c r="G979" s="1">
        <v>46221</v>
      </c>
      <c r="H979" t="s">
        <v>64</v>
      </c>
      <c r="I979" s="2" t="s">
        <v>398</v>
      </c>
      <c r="J979" t="s">
        <v>289</v>
      </c>
      <c r="K979">
        <v>9972</v>
      </c>
    </row>
    <row r="980" spans="2:14" hidden="1" x14ac:dyDescent="0.25">
      <c r="B980" t="s">
        <v>84</v>
      </c>
      <c r="C980" t="str">
        <f>_xlfn.XLOOKUP(B980,Tabla2[CODIGO],Tabla2[MATERIAL],"N/A",0)</f>
        <v>Luminaria 110w</v>
      </c>
      <c r="D980">
        <v>1</v>
      </c>
      <c r="E980" t="s">
        <v>42</v>
      </c>
      <c r="F980" t="s">
        <v>16</v>
      </c>
      <c r="G980" s="1">
        <v>46221</v>
      </c>
      <c r="H980" t="s">
        <v>64</v>
      </c>
      <c r="I980" s="2" t="s">
        <v>399</v>
      </c>
      <c r="J980" t="s">
        <v>289</v>
      </c>
      <c r="K980">
        <v>9972</v>
      </c>
    </row>
    <row r="981" spans="2:14" hidden="1" x14ac:dyDescent="0.25">
      <c r="B981" t="s">
        <v>84</v>
      </c>
      <c r="C981" t="str">
        <f>_xlfn.XLOOKUP(B981,Tabla2[CODIGO],Tabla2[MATERIAL],"N/A",0)</f>
        <v>Luminaria 110w</v>
      </c>
      <c r="D981">
        <v>1</v>
      </c>
      <c r="E981" t="s">
        <v>42</v>
      </c>
      <c r="F981" t="s">
        <v>16</v>
      </c>
      <c r="G981" s="1">
        <v>46221</v>
      </c>
      <c r="H981" t="s">
        <v>64</v>
      </c>
      <c r="I981" s="2" t="s">
        <v>400</v>
      </c>
      <c r="J981" t="s">
        <v>289</v>
      </c>
      <c r="K981">
        <v>9972</v>
      </c>
    </row>
    <row r="982" spans="2:14" hidden="1" x14ac:dyDescent="0.25">
      <c r="B982" t="s">
        <v>84</v>
      </c>
      <c r="C982" t="str">
        <f>_xlfn.XLOOKUP(B982,Tabla2[CODIGO],Tabla2[MATERIAL],"N/A",0)</f>
        <v>Luminaria 110w</v>
      </c>
      <c r="D982">
        <v>1</v>
      </c>
      <c r="E982" t="s">
        <v>42</v>
      </c>
      <c r="F982" t="s">
        <v>16</v>
      </c>
      <c r="G982" s="1">
        <v>46221</v>
      </c>
      <c r="H982" t="s">
        <v>64</v>
      </c>
      <c r="I982" s="2" t="s">
        <v>401</v>
      </c>
      <c r="J982" t="s">
        <v>289</v>
      </c>
      <c r="K982">
        <v>9972</v>
      </c>
    </row>
    <row r="983" spans="2:14" hidden="1" x14ac:dyDescent="0.25">
      <c r="B983" t="s">
        <v>84</v>
      </c>
      <c r="C983" t="str">
        <f>_xlfn.XLOOKUP(B983,Tabla2[CODIGO],Tabla2[MATERIAL],"N/A",0)</f>
        <v>Luminaria 110w</v>
      </c>
      <c r="D983">
        <v>1</v>
      </c>
      <c r="E983" t="s">
        <v>42</v>
      </c>
      <c r="F983" t="s">
        <v>16</v>
      </c>
      <c r="G983" s="1">
        <v>46221</v>
      </c>
      <c r="H983" t="s">
        <v>64</v>
      </c>
      <c r="I983" s="2" t="s">
        <v>402</v>
      </c>
      <c r="J983" t="s">
        <v>289</v>
      </c>
      <c r="K983">
        <v>9972</v>
      </c>
    </row>
    <row r="984" spans="2:14" hidden="1" x14ac:dyDescent="0.25">
      <c r="B984" t="s">
        <v>84</v>
      </c>
      <c r="C984" t="str">
        <f>_xlfn.XLOOKUP(B984,Tabla2[CODIGO],Tabla2[MATERIAL],"N/A",0)</f>
        <v>Luminaria 110w</v>
      </c>
      <c r="D984">
        <v>1</v>
      </c>
      <c r="E984" t="s">
        <v>42</v>
      </c>
      <c r="F984" t="s">
        <v>16</v>
      </c>
      <c r="G984" s="1">
        <v>46221</v>
      </c>
      <c r="H984" t="s">
        <v>64</v>
      </c>
      <c r="I984" s="2" t="s">
        <v>403</v>
      </c>
      <c r="J984" t="s">
        <v>289</v>
      </c>
      <c r="K984">
        <v>9972</v>
      </c>
    </row>
    <row r="985" spans="2:14" hidden="1" x14ac:dyDescent="0.25">
      <c r="B985" t="s">
        <v>84</v>
      </c>
      <c r="C985" t="str">
        <f>_xlfn.XLOOKUP(B985,Tabla2[CODIGO],Tabla2[MATERIAL],"N/A",0)</f>
        <v>Luminaria 110w</v>
      </c>
      <c r="D985">
        <v>1</v>
      </c>
      <c r="E985" t="s">
        <v>42</v>
      </c>
      <c r="F985" t="s">
        <v>16</v>
      </c>
      <c r="G985" s="1">
        <v>46221</v>
      </c>
      <c r="H985" t="s">
        <v>64</v>
      </c>
      <c r="I985" s="2" t="s">
        <v>404</v>
      </c>
      <c r="J985" t="s">
        <v>289</v>
      </c>
      <c r="K985">
        <v>9972</v>
      </c>
    </row>
    <row r="986" spans="2:14" hidden="1" x14ac:dyDescent="0.25">
      <c r="B986" t="s">
        <v>84</v>
      </c>
      <c r="C986" t="str">
        <f>_xlfn.XLOOKUP(B986,Tabla2[CODIGO],Tabla2[MATERIAL],"N/A",0)</f>
        <v>Luminaria 110w</v>
      </c>
      <c r="D986">
        <v>1</v>
      </c>
      <c r="E986" t="s">
        <v>42</v>
      </c>
      <c r="F986" t="s">
        <v>16</v>
      </c>
      <c r="G986" s="1">
        <v>46221</v>
      </c>
      <c r="H986" t="s">
        <v>64</v>
      </c>
      <c r="I986" s="2" t="s">
        <v>405</v>
      </c>
      <c r="J986" t="s">
        <v>289</v>
      </c>
      <c r="K986">
        <v>9972</v>
      </c>
    </row>
    <row r="987" spans="2:14" hidden="1" x14ac:dyDescent="0.25">
      <c r="B987" t="s">
        <v>82</v>
      </c>
      <c r="C987" t="str">
        <f>_xlfn.XLOOKUP(B987,Tabla2[CODIGO],Tabla2[MATERIAL],"N/A",0)</f>
        <v>proyector 190w</v>
      </c>
      <c r="D987">
        <v>1</v>
      </c>
      <c r="E987" t="s">
        <v>42</v>
      </c>
      <c r="F987" t="s">
        <v>62</v>
      </c>
      <c r="H987" t="s">
        <v>64</v>
      </c>
      <c r="I987" s="2" t="s">
        <v>112</v>
      </c>
      <c r="J987" t="s">
        <v>166</v>
      </c>
      <c r="K987">
        <v>9959</v>
      </c>
      <c r="N987">
        <v>15</v>
      </c>
    </row>
    <row r="988" spans="2:14" hidden="1" x14ac:dyDescent="0.25">
      <c r="B988" t="s">
        <v>82</v>
      </c>
      <c r="C988" t="str">
        <f>_xlfn.XLOOKUP(B988,Tabla2[CODIGO],Tabla2[MATERIAL],"N/A",0)</f>
        <v>proyector 190w</v>
      </c>
      <c r="D988">
        <v>1</v>
      </c>
      <c r="E988" t="s">
        <v>42</v>
      </c>
      <c r="F988" t="s">
        <v>16</v>
      </c>
      <c r="G988" s="1">
        <v>46198</v>
      </c>
      <c r="H988" t="s">
        <v>64</v>
      </c>
      <c r="I988" s="2" t="s">
        <v>112</v>
      </c>
      <c r="J988" t="s">
        <v>166</v>
      </c>
      <c r="K988">
        <v>9959</v>
      </c>
      <c r="L988" t="s">
        <v>100</v>
      </c>
    </row>
    <row r="989" spans="2:14" hidden="1" x14ac:dyDescent="0.25">
      <c r="B989" t="s">
        <v>82</v>
      </c>
      <c r="C989" t="str">
        <f>_xlfn.XLOOKUP(B989,Tabla2[CODIGO],Tabla2[MATERIAL],"N/A",0)</f>
        <v>proyector 190w</v>
      </c>
      <c r="D989">
        <v>1</v>
      </c>
      <c r="E989" t="s">
        <v>42</v>
      </c>
      <c r="F989" t="s">
        <v>16</v>
      </c>
      <c r="G989" s="1">
        <v>46198</v>
      </c>
      <c r="H989" t="s">
        <v>64</v>
      </c>
      <c r="I989" s="2" t="s">
        <v>113</v>
      </c>
      <c r="J989" t="s">
        <v>166</v>
      </c>
      <c r="K989">
        <v>9959</v>
      </c>
      <c r="L989" t="s">
        <v>100</v>
      </c>
    </row>
    <row r="990" spans="2:14" hidden="1" x14ac:dyDescent="0.25">
      <c r="B990" t="s">
        <v>82</v>
      </c>
      <c r="C990" t="str">
        <f>_xlfn.XLOOKUP(B990,Tabla2[CODIGO],Tabla2[MATERIAL],"N/A",0)</f>
        <v>proyector 190w</v>
      </c>
      <c r="D990">
        <v>1</v>
      </c>
      <c r="E990" t="s">
        <v>42</v>
      </c>
      <c r="F990" t="s">
        <v>62</v>
      </c>
      <c r="H990" t="s">
        <v>64</v>
      </c>
      <c r="I990" s="2" t="s">
        <v>113</v>
      </c>
      <c r="J990" t="s">
        <v>166</v>
      </c>
      <c r="K990">
        <v>9959</v>
      </c>
      <c r="N990">
        <v>4</v>
      </c>
    </row>
    <row r="991" spans="2:14" hidden="1" x14ac:dyDescent="0.25">
      <c r="B991" t="s">
        <v>82</v>
      </c>
      <c r="C991" t="str">
        <f>_xlfn.XLOOKUP(B991,Tabla2[CODIGO],Tabla2[MATERIAL],"N/A",0)</f>
        <v>proyector 190w</v>
      </c>
      <c r="D991">
        <v>1</v>
      </c>
      <c r="E991" t="s">
        <v>42</v>
      </c>
      <c r="F991" t="s">
        <v>16</v>
      </c>
      <c r="G991" s="1">
        <v>46198</v>
      </c>
      <c r="H991" t="s">
        <v>64</v>
      </c>
      <c r="I991" s="2" t="s">
        <v>114</v>
      </c>
      <c r="J991" t="s">
        <v>166</v>
      </c>
      <c r="K991">
        <v>9959</v>
      </c>
      <c r="L991" t="s">
        <v>100</v>
      </c>
    </row>
    <row r="992" spans="2:14" hidden="1" x14ac:dyDescent="0.25">
      <c r="B992" t="s">
        <v>82</v>
      </c>
      <c r="C992" t="str">
        <f>_xlfn.XLOOKUP(B992,Tabla2[CODIGO],Tabla2[MATERIAL],"N/A",0)</f>
        <v>proyector 190w</v>
      </c>
      <c r="D992">
        <v>1</v>
      </c>
      <c r="E992" t="s">
        <v>42</v>
      </c>
      <c r="F992" t="s">
        <v>62</v>
      </c>
      <c r="H992" t="s">
        <v>64</v>
      </c>
      <c r="I992" s="2" t="s">
        <v>114</v>
      </c>
      <c r="J992" t="s">
        <v>166</v>
      </c>
      <c r="K992">
        <v>9959</v>
      </c>
      <c r="N992">
        <v>3</v>
      </c>
    </row>
    <row r="993" spans="2:11" hidden="1" x14ac:dyDescent="0.25">
      <c r="B993" t="s">
        <v>319</v>
      </c>
      <c r="C993" t="str">
        <f>_xlfn.XLOOKUP(B993,Tabla2[CODIGO],Tabla2[MATERIAL],"N/A",0)</f>
        <v>alambre Cu thhn 14 verde</v>
      </c>
      <c r="D993">
        <v>15</v>
      </c>
      <c r="E993" t="s">
        <v>43</v>
      </c>
      <c r="F993" t="s">
        <v>16</v>
      </c>
      <c r="G993" s="1">
        <v>46221</v>
      </c>
      <c r="H993" t="s">
        <v>64</v>
      </c>
      <c r="I993" s="2"/>
      <c r="J993" t="s">
        <v>289</v>
      </c>
      <c r="K993">
        <v>9973</v>
      </c>
    </row>
    <row r="994" spans="2:11" hidden="1" x14ac:dyDescent="0.25">
      <c r="B994" t="s">
        <v>484</v>
      </c>
      <c r="C994" t="str">
        <f>_xlfn.XLOOKUP(B994,Tabla2[CODIGO],Tabla2[MATERIAL],"N/A",0)</f>
        <v>cable al pvc thhn 4 awg</v>
      </c>
      <c r="D994">
        <v>30</v>
      </c>
      <c r="E994" t="s">
        <v>43</v>
      </c>
      <c r="F994" t="s">
        <v>16</v>
      </c>
      <c r="G994" s="1">
        <v>46221</v>
      </c>
      <c r="H994" t="s">
        <v>64</v>
      </c>
      <c r="I994" s="2"/>
      <c r="J994" t="s">
        <v>289</v>
      </c>
      <c r="K994">
        <v>9973</v>
      </c>
    </row>
    <row r="995" spans="2:11" hidden="1" x14ac:dyDescent="0.25">
      <c r="B995" t="s">
        <v>19</v>
      </c>
      <c r="C995" t="str">
        <f>_xlfn.XLOOKUP(B995,Tabla2[CODIGO],Tabla2[MATERIAL],"N/A",0)</f>
        <v>Cable Al serie AA 8000 rhw # 6 awg</v>
      </c>
      <c r="D995">
        <v>250</v>
      </c>
      <c r="E995" t="s">
        <v>43</v>
      </c>
      <c r="F995" t="s">
        <v>16</v>
      </c>
      <c r="G995" s="1">
        <v>46221</v>
      </c>
      <c r="H995" t="s">
        <v>64</v>
      </c>
      <c r="I995" s="2"/>
      <c r="J995" t="s">
        <v>289</v>
      </c>
      <c r="K995">
        <v>9973</v>
      </c>
    </row>
    <row r="996" spans="2:11" hidden="1" x14ac:dyDescent="0.25">
      <c r="B996" t="s">
        <v>241</v>
      </c>
      <c r="C996" t="str">
        <f>_xlfn.XLOOKUP(B996,Tabla2[CODIGO],Tabla2[MATERIAL],"N/A",0)</f>
        <v>capacete tuberia imc 3/4"</v>
      </c>
      <c r="D996">
        <v>1</v>
      </c>
      <c r="E996" t="s">
        <v>42</v>
      </c>
      <c r="F996" t="s">
        <v>16</v>
      </c>
      <c r="G996" s="1">
        <v>46221</v>
      </c>
      <c r="H996" t="s">
        <v>64</v>
      </c>
      <c r="I996" s="2"/>
      <c r="J996" t="s">
        <v>289</v>
      </c>
      <c r="K996">
        <v>9973</v>
      </c>
    </row>
    <row r="997" spans="2:11" hidden="1" x14ac:dyDescent="0.25">
      <c r="B997" t="s">
        <v>265</v>
      </c>
      <c r="C997" t="str">
        <f>_xlfn.XLOOKUP(B997,Tabla2[CODIGO],Tabla2[MATERIAL],"N/A",0)</f>
        <v>Cinta Aislante</v>
      </c>
      <c r="D997">
        <v>1</v>
      </c>
      <c r="E997" t="s">
        <v>42</v>
      </c>
      <c r="F997" t="s">
        <v>16</v>
      </c>
      <c r="G997" s="1">
        <v>46221</v>
      </c>
      <c r="H997" t="s">
        <v>64</v>
      </c>
      <c r="I997" s="2"/>
      <c r="J997" t="s">
        <v>289</v>
      </c>
      <c r="K997">
        <v>9973</v>
      </c>
    </row>
    <row r="998" spans="2:11" hidden="1" x14ac:dyDescent="0.25">
      <c r="B998" t="s">
        <v>36</v>
      </c>
      <c r="C998" t="str">
        <f>_xlfn.XLOOKUP(B998,Tabla2[CODIGO],Tabla2[MATERIAL],"N/A",0)</f>
        <v>Cinta Bandit 1/2"</v>
      </c>
      <c r="D998">
        <v>3</v>
      </c>
      <c r="E998" t="s">
        <v>42</v>
      </c>
      <c r="F998" t="s">
        <v>16</v>
      </c>
      <c r="G998" s="1">
        <v>46221</v>
      </c>
      <c r="H998" t="s">
        <v>64</v>
      </c>
      <c r="I998" s="2"/>
      <c r="J998" t="s">
        <v>289</v>
      </c>
      <c r="K998">
        <v>9973</v>
      </c>
    </row>
    <row r="999" spans="2:11" hidden="1" x14ac:dyDescent="0.25">
      <c r="B999" t="s">
        <v>210</v>
      </c>
      <c r="C999" t="str">
        <f>_xlfn.XLOOKUP(B999,Tabla2[CODIGO],Tabla2[MATERIAL],"N/A",0)</f>
        <v>Conector Varilla cooperw.</v>
      </c>
      <c r="D999">
        <v>1</v>
      </c>
      <c r="E999" t="s">
        <v>42</v>
      </c>
      <c r="F999" t="s">
        <v>16</v>
      </c>
      <c r="G999" s="1">
        <v>46221</v>
      </c>
      <c r="H999" t="s">
        <v>64</v>
      </c>
      <c r="I999" s="2"/>
      <c r="J999" t="s">
        <v>289</v>
      </c>
      <c r="K999">
        <v>9973</v>
      </c>
    </row>
    <row r="1000" spans="2:11" hidden="1" x14ac:dyDescent="0.25">
      <c r="B1000" t="s">
        <v>76</v>
      </c>
      <c r="C1000" t="str">
        <f>_xlfn.XLOOKUP(B1000,Tabla2[CODIGO],Tabla2[MATERIAL],"N/A",0)</f>
        <v>Empalme gel ppal 8-4/0 a der 14-2/0 awg (grande)</v>
      </c>
      <c r="D1000">
        <v>2</v>
      </c>
      <c r="E1000" t="s">
        <v>42</v>
      </c>
      <c r="F1000" t="s">
        <v>16</v>
      </c>
      <c r="G1000" s="1">
        <v>46221</v>
      </c>
      <c r="H1000" t="s">
        <v>64</v>
      </c>
      <c r="I1000" s="2"/>
      <c r="J1000" t="s">
        <v>289</v>
      </c>
      <c r="K1000">
        <v>9973</v>
      </c>
    </row>
    <row r="1001" spans="2:11" hidden="1" x14ac:dyDescent="0.25">
      <c r="B1001" t="s">
        <v>60</v>
      </c>
      <c r="C1001" t="str">
        <f>_xlfn.XLOOKUP(B1001,Tabla2[CODIGO],Tabla2[MATERIAL],"N/A",0)</f>
        <v>Fotocelda</v>
      </c>
      <c r="D1001">
        <v>17</v>
      </c>
      <c r="E1001" t="s">
        <v>42</v>
      </c>
      <c r="F1001" t="s">
        <v>16</v>
      </c>
      <c r="G1001" s="1">
        <v>46221</v>
      </c>
      <c r="H1001" t="s">
        <v>64</v>
      </c>
      <c r="I1001" s="2"/>
      <c r="J1001" t="s">
        <v>289</v>
      </c>
      <c r="K1001">
        <v>9973</v>
      </c>
    </row>
    <row r="1002" spans="2:11" hidden="1" x14ac:dyDescent="0.25">
      <c r="B1002" t="s">
        <v>212</v>
      </c>
      <c r="C1002" t="str">
        <f>_xlfn.XLOOKUP(B1002,Tabla2[CODIGO],Tabla2[MATERIAL],"N/A",0)</f>
        <v>Grillete galvanizado 1,1/2</v>
      </c>
      <c r="D1002">
        <v>34</v>
      </c>
      <c r="E1002" t="s">
        <v>42</v>
      </c>
      <c r="F1002" t="s">
        <v>16</v>
      </c>
      <c r="G1002" s="1">
        <v>46221</v>
      </c>
      <c r="H1002" t="s">
        <v>64</v>
      </c>
      <c r="I1002" s="2"/>
      <c r="J1002" t="s">
        <v>289</v>
      </c>
      <c r="K1002">
        <v>9973</v>
      </c>
    </row>
    <row r="1003" spans="2:11" hidden="1" x14ac:dyDescent="0.25">
      <c r="B1003" t="s">
        <v>37</v>
      </c>
      <c r="C1003" t="str">
        <f>_xlfn.XLOOKUP(B1003,Tabla2[CODIGO],Tabla2[MATERIAL],"N/A",0)</f>
        <v>Hebilla para cinta bandit 1/2"</v>
      </c>
      <c r="D1003">
        <v>5</v>
      </c>
      <c r="E1003" t="s">
        <v>42</v>
      </c>
      <c r="F1003" t="s">
        <v>16</v>
      </c>
      <c r="G1003" s="1">
        <v>46221</v>
      </c>
      <c r="H1003" t="s">
        <v>64</v>
      </c>
      <c r="I1003" s="2"/>
      <c r="J1003" t="s">
        <v>289</v>
      </c>
      <c r="K1003">
        <v>9973</v>
      </c>
    </row>
    <row r="1004" spans="2:11" hidden="1" x14ac:dyDescent="0.25">
      <c r="B1004" t="s">
        <v>239</v>
      </c>
      <c r="C1004" t="str">
        <f>_xlfn.XLOOKUP(B1004,Tabla2[CODIGO],Tabla2[MATERIAL],"N/A",0)</f>
        <v>Tubo Conduit imc 3/4"</v>
      </c>
      <c r="D1004">
        <v>2</v>
      </c>
      <c r="E1004" t="s">
        <v>42</v>
      </c>
      <c r="F1004" t="s">
        <v>16</v>
      </c>
      <c r="G1004" s="1">
        <v>46221</v>
      </c>
      <c r="H1004" t="s">
        <v>64</v>
      </c>
      <c r="I1004" s="2"/>
      <c r="J1004" t="s">
        <v>289</v>
      </c>
      <c r="K1004">
        <v>9973</v>
      </c>
    </row>
    <row r="1005" spans="2:11" hidden="1" x14ac:dyDescent="0.25">
      <c r="B1005" t="s">
        <v>213</v>
      </c>
      <c r="C1005" t="str">
        <f>_xlfn.XLOOKUP(B1005,Tabla2[CODIGO],Tabla2[MATERIAL],"N/A",0)</f>
        <v>Tuerca Hexagona 5/8</v>
      </c>
      <c r="D1005">
        <v>8</v>
      </c>
      <c r="E1005" t="s">
        <v>42</v>
      </c>
      <c r="F1005" t="s">
        <v>16</v>
      </c>
      <c r="G1005" s="1">
        <v>46221</v>
      </c>
      <c r="H1005" t="s">
        <v>64</v>
      </c>
      <c r="I1005" s="2"/>
      <c r="J1005" t="s">
        <v>289</v>
      </c>
      <c r="K1005">
        <v>9973</v>
      </c>
    </row>
    <row r="1006" spans="2:11" hidden="1" x14ac:dyDescent="0.25">
      <c r="B1006" t="s">
        <v>198</v>
      </c>
      <c r="C1006" t="str">
        <f>_xlfn.XLOOKUP(B1006,Tabla2[CODIGO],Tabla2[MATERIAL],"N/A",0)</f>
        <v>Varilla cooperweld 2,4m</v>
      </c>
      <c r="D1006">
        <v>1</v>
      </c>
      <c r="E1006" t="s">
        <v>42</v>
      </c>
      <c r="F1006" t="s">
        <v>16</v>
      </c>
      <c r="G1006" s="1">
        <v>46221</v>
      </c>
      <c r="H1006" t="s">
        <v>64</v>
      </c>
      <c r="I1006" s="2"/>
      <c r="J1006" t="s">
        <v>289</v>
      </c>
      <c r="K1006">
        <v>9973</v>
      </c>
    </row>
    <row r="1007" spans="2:11" hidden="1" x14ac:dyDescent="0.25">
      <c r="B1007" t="s">
        <v>47</v>
      </c>
      <c r="C1007" t="str">
        <f>_xlfn.XLOOKUP(B1007,Tabla2[CODIGO],Tabla2[MATERIAL],"N/A",0)</f>
        <v>Luminaria 75w</v>
      </c>
      <c r="D1007">
        <v>1</v>
      </c>
      <c r="E1007" t="s">
        <v>42</v>
      </c>
      <c r="F1007" t="s">
        <v>16</v>
      </c>
      <c r="G1007" s="1">
        <v>46221</v>
      </c>
      <c r="H1007" t="s">
        <v>64</v>
      </c>
      <c r="I1007" s="2" t="s">
        <v>412</v>
      </c>
      <c r="J1007" t="s">
        <v>289</v>
      </c>
      <c r="K1007">
        <v>9973</v>
      </c>
    </row>
    <row r="1008" spans="2:11" hidden="1" x14ac:dyDescent="0.25">
      <c r="B1008" t="s">
        <v>47</v>
      </c>
      <c r="C1008" t="str">
        <f>_xlfn.XLOOKUP(B1008,Tabla2[CODIGO],Tabla2[MATERIAL],"N/A",0)</f>
        <v>Luminaria 75w</v>
      </c>
      <c r="D1008">
        <v>1</v>
      </c>
      <c r="E1008" t="s">
        <v>42</v>
      </c>
      <c r="F1008" t="s">
        <v>16</v>
      </c>
      <c r="G1008" s="1">
        <v>46221</v>
      </c>
      <c r="H1008" t="s">
        <v>64</v>
      </c>
      <c r="I1008" s="2" t="s">
        <v>413</v>
      </c>
      <c r="J1008" t="s">
        <v>289</v>
      </c>
      <c r="K1008">
        <v>9973</v>
      </c>
    </row>
    <row r="1009" spans="2:14" hidden="1" x14ac:dyDescent="0.25">
      <c r="B1009" t="s">
        <v>47</v>
      </c>
      <c r="C1009" t="str">
        <f>_xlfn.XLOOKUP(B1009,Tabla2[CODIGO],Tabla2[MATERIAL],"N/A",0)</f>
        <v>Luminaria 75w</v>
      </c>
      <c r="D1009">
        <v>1</v>
      </c>
      <c r="E1009" t="s">
        <v>42</v>
      </c>
      <c r="F1009" t="s">
        <v>16</v>
      </c>
      <c r="G1009" s="1">
        <v>46221</v>
      </c>
      <c r="H1009" t="s">
        <v>64</v>
      </c>
      <c r="I1009" s="2" t="s">
        <v>414</v>
      </c>
      <c r="J1009" t="s">
        <v>289</v>
      </c>
      <c r="K1009">
        <v>9973</v>
      </c>
    </row>
    <row r="1010" spans="2:14" hidden="1" x14ac:dyDescent="0.25">
      <c r="B1010" t="s">
        <v>47</v>
      </c>
      <c r="C1010" t="str">
        <f>_xlfn.XLOOKUP(B1010,Tabla2[CODIGO],Tabla2[MATERIAL],"N/A",0)</f>
        <v>Luminaria 75w</v>
      </c>
      <c r="D1010">
        <v>1</v>
      </c>
      <c r="E1010" t="s">
        <v>42</v>
      </c>
      <c r="F1010" t="s">
        <v>16</v>
      </c>
      <c r="G1010" s="1">
        <v>46221</v>
      </c>
      <c r="H1010" t="s">
        <v>64</v>
      </c>
      <c r="I1010" s="2" t="s">
        <v>415</v>
      </c>
      <c r="J1010" t="s">
        <v>289</v>
      </c>
      <c r="K1010">
        <v>9973</v>
      </c>
    </row>
    <row r="1011" spans="2:14" hidden="1" x14ac:dyDescent="0.25">
      <c r="B1011" t="s">
        <v>47</v>
      </c>
      <c r="C1011" t="str">
        <f>_xlfn.XLOOKUP(B1011,Tabla2[CODIGO],Tabla2[MATERIAL],"N/A",0)</f>
        <v>Luminaria 75w</v>
      </c>
      <c r="D1011">
        <v>1</v>
      </c>
      <c r="E1011" t="s">
        <v>42</v>
      </c>
      <c r="F1011" t="s">
        <v>16</v>
      </c>
      <c r="G1011" s="1">
        <v>46221</v>
      </c>
      <c r="H1011" t="s">
        <v>64</v>
      </c>
      <c r="I1011" s="2" t="s">
        <v>416</v>
      </c>
      <c r="J1011" t="s">
        <v>289</v>
      </c>
      <c r="K1011">
        <v>9973</v>
      </c>
    </row>
    <row r="1012" spans="2:14" hidden="1" x14ac:dyDescent="0.25">
      <c r="B1012" t="s">
        <v>47</v>
      </c>
      <c r="C1012" t="str">
        <f>_xlfn.XLOOKUP(B1012,Tabla2[CODIGO],Tabla2[MATERIAL],"N/A",0)</f>
        <v>Luminaria 75w</v>
      </c>
      <c r="D1012">
        <v>1</v>
      </c>
      <c r="E1012" t="s">
        <v>42</v>
      </c>
      <c r="F1012" t="s">
        <v>16</v>
      </c>
      <c r="G1012" s="1">
        <v>46221</v>
      </c>
      <c r="H1012" t="s">
        <v>64</v>
      </c>
      <c r="I1012" s="2" t="s">
        <v>417</v>
      </c>
      <c r="J1012" t="s">
        <v>289</v>
      </c>
      <c r="K1012">
        <v>9973</v>
      </c>
    </row>
    <row r="1013" spans="2:14" hidden="1" x14ac:dyDescent="0.25">
      <c r="B1013" t="s">
        <v>47</v>
      </c>
      <c r="C1013" t="str">
        <f>_xlfn.XLOOKUP(B1013,Tabla2[CODIGO],Tabla2[MATERIAL],"N/A",0)</f>
        <v>Luminaria 75w</v>
      </c>
      <c r="D1013">
        <v>1</v>
      </c>
      <c r="E1013" t="s">
        <v>42</v>
      </c>
      <c r="F1013" t="s">
        <v>16</v>
      </c>
      <c r="G1013" s="1">
        <v>46221</v>
      </c>
      <c r="H1013" t="s">
        <v>64</v>
      </c>
      <c r="I1013" s="2" t="s">
        <v>328</v>
      </c>
      <c r="J1013" t="s">
        <v>289</v>
      </c>
      <c r="K1013">
        <v>9973</v>
      </c>
    </row>
    <row r="1014" spans="2:14" hidden="1" x14ac:dyDescent="0.25">
      <c r="B1014" t="s">
        <v>47</v>
      </c>
      <c r="C1014" t="str">
        <f>_xlfn.XLOOKUP(B1014,Tabla2[CODIGO],Tabla2[MATERIAL],"N/A",0)</f>
        <v>Luminaria 75w</v>
      </c>
      <c r="D1014">
        <v>1</v>
      </c>
      <c r="E1014" t="s">
        <v>42</v>
      </c>
      <c r="F1014" t="s">
        <v>16</v>
      </c>
      <c r="G1014" s="1">
        <v>46221</v>
      </c>
      <c r="H1014" t="s">
        <v>64</v>
      </c>
      <c r="I1014" s="2" t="s">
        <v>418</v>
      </c>
      <c r="J1014" t="s">
        <v>289</v>
      </c>
      <c r="K1014">
        <v>9973</v>
      </c>
    </row>
    <row r="1015" spans="2:14" hidden="1" x14ac:dyDescent="0.25">
      <c r="B1015" t="s">
        <v>47</v>
      </c>
      <c r="C1015" t="str">
        <f>_xlfn.XLOOKUP(B1015,Tabla2[CODIGO],Tabla2[MATERIAL],"N/A",0)</f>
        <v>Luminaria 75w</v>
      </c>
      <c r="D1015">
        <v>1</v>
      </c>
      <c r="E1015" t="s">
        <v>42</v>
      </c>
      <c r="F1015" t="s">
        <v>16</v>
      </c>
      <c r="G1015" s="1">
        <v>46221</v>
      </c>
      <c r="H1015" t="s">
        <v>64</v>
      </c>
      <c r="I1015" s="2" t="s">
        <v>419</v>
      </c>
      <c r="J1015" t="s">
        <v>289</v>
      </c>
      <c r="K1015">
        <v>9973</v>
      </c>
    </row>
    <row r="1016" spans="2:14" hidden="1" x14ac:dyDescent="0.25">
      <c r="B1016" t="s">
        <v>82</v>
      </c>
      <c r="C1016" t="str">
        <f>_xlfn.XLOOKUP(B1016,Tabla2[CODIGO],Tabla2[MATERIAL],"N/A",0)</f>
        <v>proyector 190w</v>
      </c>
      <c r="D1016">
        <v>1</v>
      </c>
      <c r="E1016" t="s">
        <v>42</v>
      </c>
      <c r="F1016" t="s">
        <v>16</v>
      </c>
      <c r="G1016" s="1">
        <v>46198</v>
      </c>
      <c r="H1016" t="s">
        <v>64</v>
      </c>
      <c r="I1016" s="2" t="s">
        <v>115</v>
      </c>
      <c r="J1016" t="s">
        <v>166</v>
      </c>
      <c r="K1016">
        <v>9959</v>
      </c>
      <c r="L1016" t="s">
        <v>100</v>
      </c>
    </row>
    <row r="1017" spans="2:14" hidden="1" x14ac:dyDescent="0.25">
      <c r="B1017" t="s">
        <v>82</v>
      </c>
      <c r="C1017" t="str">
        <f>_xlfn.XLOOKUP(B1017,Tabla2[CODIGO],Tabla2[MATERIAL],"N/A",0)</f>
        <v>proyector 190w</v>
      </c>
      <c r="D1017">
        <v>1</v>
      </c>
      <c r="E1017" t="s">
        <v>42</v>
      </c>
      <c r="F1017" t="s">
        <v>62</v>
      </c>
      <c r="H1017" t="s">
        <v>64</v>
      </c>
      <c r="I1017" s="2" t="s">
        <v>115</v>
      </c>
      <c r="J1017" t="s">
        <v>166</v>
      </c>
      <c r="K1017">
        <v>9959</v>
      </c>
      <c r="N1017">
        <v>6</v>
      </c>
    </row>
    <row r="1018" spans="2:14" hidden="1" x14ac:dyDescent="0.25">
      <c r="B1018" t="s">
        <v>82</v>
      </c>
      <c r="C1018" t="str">
        <f>_xlfn.XLOOKUP(B1018,Tabla2[CODIGO],Tabla2[MATERIAL],"N/A",0)</f>
        <v>proyector 190w</v>
      </c>
      <c r="D1018">
        <v>1</v>
      </c>
      <c r="E1018" t="s">
        <v>42</v>
      </c>
      <c r="F1018" t="s">
        <v>16</v>
      </c>
      <c r="G1018" s="1">
        <v>46198</v>
      </c>
      <c r="H1018" t="s">
        <v>64</v>
      </c>
      <c r="I1018" s="2" t="s">
        <v>116</v>
      </c>
      <c r="J1018" t="s">
        <v>166</v>
      </c>
      <c r="K1018">
        <v>9959</v>
      </c>
      <c r="L1018" t="s">
        <v>100</v>
      </c>
    </row>
    <row r="1019" spans="2:14" hidden="1" x14ac:dyDescent="0.25">
      <c r="B1019" t="s">
        <v>82</v>
      </c>
      <c r="C1019" t="str">
        <f>_xlfn.XLOOKUP(B1019,Tabla2[CODIGO],Tabla2[MATERIAL],"N/A",0)</f>
        <v>proyector 190w</v>
      </c>
      <c r="D1019">
        <v>1</v>
      </c>
      <c r="E1019" t="s">
        <v>42</v>
      </c>
      <c r="F1019" t="s">
        <v>62</v>
      </c>
      <c r="H1019" t="s">
        <v>64</v>
      </c>
      <c r="I1019" s="2" t="s">
        <v>116</v>
      </c>
      <c r="J1019" t="s">
        <v>166</v>
      </c>
      <c r="K1019">
        <v>9959</v>
      </c>
      <c r="N1019">
        <v>2</v>
      </c>
    </row>
    <row r="1020" spans="2:14" hidden="1" x14ac:dyDescent="0.25">
      <c r="B1020" t="s">
        <v>82</v>
      </c>
      <c r="C1020" t="str">
        <f>_xlfn.XLOOKUP(B1020,Tabla2[CODIGO],Tabla2[MATERIAL],"N/A",0)</f>
        <v>proyector 190w</v>
      </c>
      <c r="D1020">
        <v>1</v>
      </c>
      <c r="E1020" t="s">
        <v>42</v>
      </c>
      <c r="F1020" t="s">
        <v>16</v>
      </c>
      <c r="G1020" s="1">
        <v>46198</v>
      </c>
      <c r="H1020" t="s">
        <v>64</v>
      </c>
      <c r="I1020" s="2" t="s">
        <v>117</v>
      </c>
      <c r="J1020" t="s">
        <v>166</v>
      </c>
      <c r="K1020">
        <v>9959</v>
      </c>
      <c r="L1020" t="s">
        <v>100</v>
      </c>
    </row>
    <row r="1021" spans="2:14" hidden="1" x14ac:dyDescent="0.25">
      <c r="B1021" t="s">
        <v>82</v>
      </c>
      <c r="C1021" t="str">
        <f>_xlfn.XLOOKUP(B1021,Tabla2[CODIGO],Tabla2[MATERIAL],"N/A",0)</f>
        <v>proyector 190w</v>
      </c>
      <c r="D1021">
        <v>1</v>
      </c>
      <c r="E1021" t="s">
        <v>42</v>
      </c>
      <c r="F1021" t="s">
        <v>62</v>
      </c>
      <c r="H1021" t="s">
        <v>64</v>
      </c>
      <c r="I1021" s="2" t="s">
        <v>117</v>
      </c>
      <c r="J1021" t="s">
        <v>166</v>
      </c>
      <c r="K1021">
        <v>9959</v>
      </c>
      <c r="N1021">
        <v>12</v>
      </c>
    </row>
    <row r="1022" spans="2:14" hidden="1" x14ac:dyDescent="0.25">
      <c r="B1022" t="s">
        <v>82</v>
      </c>
      <c r="C1022" t="str">
        <f>_xlfn.XLOOKUP(B1022,Tabla2[CODIGO],Tabla2[MATERIAL],"N/A",0)</f>
        <v>proyector 190w</v>
      </c>
      <c r="D1022">
        <v>1</v>
      </c>
      <c r="E1022" t="s">
        <v>42</v>
      </c>
      <c r="F1022" t="s">
        <v>16</v>
      </c>
      <c r="G1022" s="1">
        <v>46200</v>
      </c>
      <c r="H1022" t="s">
        <v>64</v>
      </c>
      <c r="I1022" s="2" t="s">
        <v>183</v>
      </c>
      <c r="J1022" t="s">
        <v>166</v>
      </c>
      <c r="K1022">
        <v>9963</v>
      </c>
      <c r="L1022" s="3" t="s">
        <v>189</v>
      </c>
    </row>
    <row r="1023" spans="2:14" hidden="1" x14ac:dyDescent="0.25">
      <c r="B1023" t="s">
        <v>82</v>
      </c>
      <c r="C1023" t="str">
        <f>_xlfn.XLOOKUP(B1023,Tabla2[CODIGO],Tabla2[MATERIAL],"N/A",0)</f>
        <v>proyector 190w</v>
      </c>
      <c r="D1023">
        <v>1</v>
      </c>
      <c r="E1023" t="s">
        <v>42</v>
      </c>
      <c r="F1023" t="s">
        <v>62</v>
      </c>
      <c r="G1023" s="1">
        <v>46204</v>
      </c>
      <c r="H1023" t="s">
        <v>64</v>
      </c>
      <c r="I1023" s="2" t="s">
        <v>183</v>
      </c>
      <c r="J1023" t="s">
        <v>166</v>
      </c>
      <c r="K1023">
        <v>9963</v>
      </c>
      <c r="L1023" t="s">
        <v>247</v>
      </c>
      <c r="M1023">
        <v>2295628</v>
      </c>
      <c r="N1023">
        <v>8</v>
      </c>
    </row>
    <row r="1024" spans="2:14" hidden="1" x14ac:dyDescent="0.25">
      <c r="B1024" t="s">
        <v>259</v>
      </c>
      <c r="C1024" t="str">
        <f>_xlfn.XLOOKUP(B1024,Tabla2[CODIGO],Tabla2[MATERIAL],"N/A",0)</f>
        <v>Abrazadera sin salida 6"</v>
      </c>
      <c r="D1024">
        <v>8</v>
      </c>
      <c r="E1024" t="s">
        <v>42</v>
      </c>
      <c r="F1024" t="s">
        <v>16</v>
      </c>
      <c r="G1024" s="1">
        <v>46221</v>
      </c>
      <c r="I1024" s="2"/>
      <c r="J1024" t="s">
        <v>289</v>
      </c>
      <c r="K1024">
        <v>9974</v>
      </c>
    </row>
    <row r="1025" spans="2:11" hidden="1" x14ac:dyDescent="0.25">
      <c r="B1025" t="s">
        <v>226</v>
      </c>
      <c r="C1025" t="str">
        <f>_xlfn.XLOOKUP(B1025,Tabla2[CODIGO],Tabla2[MATERIAL],"N/A",0)</f>
        <v>Abrazadera una salida 6"</v>
      </c>
      <c r="D1025">
        <v>6</v>
      </c>
      <c r="E1025" t="s">
        <v>42</v>
      </c>
      <c r="F1025" t="s">
        <v>16</v>
      </c>
      <c r="G1025" s="1">
        <v>46221</v>
      </c>
      <c r="I1025" s="2"/>
      <c r="J1025" t="s">
        <v>289</v>
      </c>
      <c r="K1025">
        <v>9974</v>
      </c>
    </row>
    <row r="1026" spans="2:11" hidden="1" x14ac:dyDescent="0.25">
      <c r="B1026" t="s">
        <v>56</v>
      </c>
      <c r="C1026" t="str">
        <f>_xlfn.XLOOKUP(B1026,Tabla2[CODIGO],Tabla2[MATERIAL],"N/A",0)</f>
        <v>Aislador Carrreto</v>
      </c>
      <c r="D1026">
        <v>4</v>
      </c>
      <c r="E1026" t="s">
        <v>42</v>
      </c>
      <c r="F1026" t="s">
        <v>16</v>
      </c>
      <c r="G1026" s="1">
        <v>46221</v>
      </c>
      <c r="I1026" s="2"/>
      <c r="J1026" t="s">
        <v>289</v>
      </c>
      <c r="K1026">
        <v>9974</v>
      </c>
    </row>
    <row r="1027" spans="2:11" hidden="1" x14ac:dyDescent="0.25">
      <c r="B1027" t="s">
        <v>319</v>
      </c>
      <c r="C1027" t="str">
        <f>_xlfn.XLOOKUP(B1027,Tabla2[CODIGO],Tabla2[MATERIAL],"N/A",0)</f>
        <v>alambre Cu thhn 14 verde</v>
      </c>
      <c r="D1027">
        <v>30</v>
      </c>
      <c r="E1027" t="s">
        <v>43</v>
      </c>
      <c r="F1027" t="s">
        <v>16</v>
      </c>
      <c r="G1027" s="1">
        <v>46221</v>
      </c>
      <c r="I1027" s="2"/>
      <c r="J1027" t="s">
        <v>289</v>
      </c>
      <c r="K1027">
        <v>9974</v>
      </c>
    </row>
    <row r="1028" spans="2:11" hidden="1" x14ac:dyDescent="0.25">
      <c r="B1028" t="s">
        <v>217</v>
      </c>
      <c r="C1028" t="str">
        <f>_xlfn.XLOOKUP(B1028,Tabla2[CODIGO],Tabla2[MATERIAL],"N/A",0)</f>
        <v>Brazo Galvanizado 1 1/2" x 2m</v>
      </c>
      <c r="D1028">
        <v>6</v>
      </c>
      <c r="E1028" t="s">
        <v>42</v>
      </c>
      <c r="F1028" t="s">
        <v>16</v>
      </c>
      <c r="G1028" s="1">
        <v>46221</v>
      </c>
      <c r="I1028" s="2"/>
      <c r="J1028" t="s">
        <v>289</v>
      </c>
      <c r="K1028">
        <v>9974</v>
      </c>
    </row>
    <row r="1029" spans="2:11" hidden="1" x14ac:dyDescent="0.25">
      <c r="B1029" t="s">
        <v>194</v>
      </c>
      <c r="C1029" t="str">
        <f>_xlfn.XLOOKUP(B1029,Tabla2[CODIGO],Tabla2[MATERIAL],"N/A",0)</f>
        <v>Cable TPX 2x4 1x4 awg</v>
      </c>
      <c r="D1029">
        <v>90</v>
      </c>
      <c r="E1029" t="s">
        <v>43</v>
      </c>
      <c r="F1029" t="s">
        <v>16</v>
      </c>
      <c r="G1029" s="1">
        <v>46221</v>
      </c>
      <c r="I1029" s="2"/>
      <c r="J1029" t="s">
        <v>289</v>
      </c>
      <c r="K1029">
        <v>9974</v>
      </c>
    </row>
    <row r="1030" spans="2:11" hidden="1" x14ac:dyDescent="0.25">
      <c r="B1030" t="s">
        <v>241</v>
      </c>
      <c r="C1030" t="str">
        <f>_xlfn.XLOOKUP(B1030,Tabla2[CODIGO],Tabla2[MATERIAL],"N/A",0)</f>
        <v>capacete tuberia imc 3/4"</v>
      </c>
      <c r="D1030">
        <v>2</v>
      </c>
      <c r="E1030" t="s">
        <v>42</v>
      </c>
      <c r="F1030" t="s">
        <v>16</v>
      </c>
      <c r="G1030" s="1">
        <v>46221</v>
      </c>
      <c r="I1030" s="2"/>
      <c r="J1030" t="s">
        <v>289</v>
      </c>
      <c r="K1030">
        <v>9974</v>
      </c>
    </row>
    <row r="1031" spans="2:11" hidden="1" x14ac:dyDescent="0.25">
      <c r="B1031" t="s">
        <v>351</v>
      </c>
      <c r="C1031" t="str">
        <f>_xlfn.XLOOKUP(B1031,Tabla2[CODIGO],Tabla2[MATERIAL],"N/A",0)</f>
        <v>concertina inox diametro 45cmx6m</v>
      </c>
      <c r="D1031">
        <v>12</v>
      </c>
      <c r="E1031" t="s">
        <v>43</v>
      </c>
      <c r="F1031" t="s">
        <v>16</v>
      </c>
      <c r="G1031" s="1">
        <v>46221</v>
      </c>
      <c r="I1031" s="2"/>
      <c r="J1031" t="s">
        <v>289</v>
      </c>
      <c r="K1031">
        <v>9974</v>
      </c>
    </row>
    <row r="1032" spans="2:11" hidden="1" x14ac:dyDescent="0.25">
      <c r="B1032" t="s">
        <v>210</v>
      </c>
      <c r="C1032" t="str">
        <f>_xlfn.XLOOKUP(B1032,Tabla2[CODIGO],Tabla2[MATERIAL],"N/A",0)</f>
        <v>Conector Varilla cooperw.</v>
      </c>
      <c r="D1032">
        <v>2</v>
      </c>
      <c r="E1032" t="s">
        <v>42</v>
      </c>
      <c r="F1032" t="s">
        <v>16</v>
      </c>
      <c r="G1032" s="1">
        <v>46221</v>
      </c>
      <c r="I1032" s="2"/>
      <c r="J1032" t="s">
        <v>289</v>
      </c>
      <c r="K1032">
        <v>9974</v>
      </c>
    </row>
    <row r="1033" spans="2:11" hidden="1" x14ac:dyDescent="0.25">
      <c r="B1033" t="s">
        <v>76</v>
      </c>
      <c r="C1033" t="str">
        <f>_xlfn.XLOOKUP(B1033,Tabla2[CODIGO],Tabla2[MATERIAL],"N/A",0)</f>
        <v>Empalme gel ppal 8-4/0 a der 14-2/0 awg (grande)</v>
      </c>
      <c r="D1033">
        <v>4</v>
      </c>
      <c r="E1033" t="s">
        <v>42</v>
      </c>
      <c r="F1033" t="s">
        <v>16</v>
      </c>
      <c r="G1033" s="1">
        <v>46221</v>
      </c>
      <c r="I1033" s="2"/>
      <c r="J1033" t="s">
        <v>289</v>
      </c>
      <c r="K1033">
        <v>9974</v>
      </c>
    </row>
    <row r="1034" spans="2:11" hidden="1" x14ac:dyDescent="0.25">
      <c r="B1034" t="s">
        <v>60</v>
      </c>
      <c r="C1034" t="str">
        <f>_xlfn.XLOOKUP(B1034,Tabla2[CODIGO],Tabla2[MATERIAL],"N/A",0)</f>
        <v>Fotocelda</v>
      </c>
      <c r="D1034">
        <v>22</v>
      </c>
      <c r="E1034" t="s">
        <v>42</v>
      </c>
      <c r="F1034" t="s">
        <v>16</v>
      </c>
      <c r="G1034" s="1">
        <v>46221</v>
      </c>
      <c r="I1034" s="2"/>
      <c r="J1034" t="s">
        <v>289</v>
      </c>
      <c r="K1034">
        <v>9974</v>
      </c>
    </row>
    <row r="1035" spans="2:11" hidden="1" x14ac:dyDescent="0.25">
      <c r="B1035" t="s">
        <v>212</v>
      </c>
      <c r="C1035" t="str">
        <f>_xlfn.XLOOKUP(B1035,Tabla2[CODIGO],Tabla2[MATERIAL],"N/A",0)</f>
        <v>Grillete galvanizado 1,1/2</v>
      </c>
      <c r="D1035">
        <v>12</v>
      </c>
      <c r="E1035" t="s">
        <v>42</v>
      </c>
      <c r="F1035" t="s">
        <v>16</v>
      </c>
      <c r="G1035" s="1">
        <v>46221</v>
      </c>
      <c r="I1035" s="2"/>
      <c r="J1035" t="s">
        <v>289</v>
      </c>
      <c r="K1035">
        <v>9974</v>
      </c>
    </row>
    <row r="1036" spans="2:11" hidden="1" x14ac:dyDescent="0.25">
      <c r="B1036" t="s">
        <v>30</v>
      </c>
      <c r="C1036" t="str">
        <f>_xlfn.XLOOKUP(B1036,Tabla2[CODIGO],Tabla2[MATERIAL],"N/A",0)</f>
        <v>Kit puesta tierra acero inoxidable</v>
      </c>
      <c r="D1036">
        <v>1</v>
      </c>
      <c r="E1036" t="s">
        <v>42</v>
      </c>
      <c r="F1036" t="s">
        <v>16</v>
      </c>
      <c r="G1036" s="1">
        <v>46221</v>
      </c>
      <c r="I1036" s="2"/>
      <c r="J1036" t="s">
        <v>289</v>
      </c>
      <c r="K1036">
        <v>9974</v>
      </c>
    </row>
    <row r="1037" spans="2:11" hidden="1" x14ac:dyDescent="0.25">
      <c r="B1037" t="s">
        <v>50</v>
      </c>
      <c r="C1037" t="str">
        <f>_xlfn.XLOOKUP(B1037,Tabla2[CODIGO],Tabla2[MATERIAL],"N/A",0)</f>
        <v>Percha galv 1 puesto</v>
      </c>
      <c r="D1037">
        <v>4</v>
      </c>
      <c r="E1037" t="s">
        <v>42</v>
      </c>
      <c r="F1037" t="s">
        <v>16</v>
      </c>
      <c r="G1037" s="1">
        <v>46221</v>
      </c>
      <c r="I1037" s="2"/>
      <c r="J1037" t="s">
        <v>289</v>
      </c>
      <c r="K1037">
        <v>9974</v>
      </c>
    </row>
    <row r="1038" spans="2:11" hidden="1" x14ac:dyDescent="0.25">
      <c r="B1038" t="s">
        <v>239</v>
      </c>
      <c r="C1038" t="str">
        <f>_xlfn.XLOOKUP(B1038,Tabla2[CODIGO],Tabla2[MATERIAL],"N/A",0)</f>
        <v>Tubo Conduit imc 3/4"</v>
      </c>
      <c r="D1038">
        <v>4</v>
      </c>
      <c r="E1038" t="s">
        <v>42</v>
      </c>
      <c r="F1038" t="s">
        <v>16</v>
      </c>
      <c r="G1038" s="1">
        <v>46221</v>
      </c>
      <c r="I1038" s="2"/>
      <c r="J1038" t="s">
        <v>289</v>
      </c>
      <c r="K1038">
        <v>9974</v>
      </c>
    </row>
    <row r="1039" spans="2:11" hidden="1" x14ac:dyDescent="0.25">
      <c r="B1039" t="s">
        <v>213</v>
      </c>
      <c r="C1039" t="str">
        <f>_xlfn.XLOOKUP(B1039,Tabla2[CODIGO],Tabla2[MATERIAL],"N/A",0)</f>
        <v>Tuerca Hexagona 5/8</v>
      </c>
      <c r="D1039">
        <v>16</v>
      </c>
      <c r="E1039" t="s">
        <v>42</v>
      </c>
      <c r="F1039" t="s">
        <v>16</v>
      </c>
      <c r="G1039" s="1">
        <v>46221</v>
      </c>
      <c r="I1039" s="2"/>
      <c r="J1039" t="s">
        <v>289</v>
      </c>
      <c r="K1039">
        <v>9974</v>
      </c>
    </row>
    <row r="1040" spans="2:11" hidden="1" x14ac:dyDescent="0.25">
      <c r="B1040" t="s">
        <v>198</v>
      </c>
      <c r="C1040" t="str">
        <f>_xlfn.XLOOKUP(B1040,Tabla2[CODIGO],Tabla2[MATERIAL],"N/A",0)</f>
        <v>Varilla cooperweld 2,4m</v>
      </c>
      <c r="D1040">
        <v>2</v>
      </c>
      <c r="E1040" t="s">
        <v>42</v>
      </c>
      <c r="F1040" t="s">
        <v>16</v>
      </c>
      <c r="G1040" s="1">
        <v>46221</v>
      </c>
      <c r="I1040" s="2"/>
      <c r="J1040" t="s">
        <v>289</v>
      </c>
      <c r="K1040">
        <v>9974</v>
      </c>
    </row>
    <row r="1041" spans="2:14" hidden="1" x14ac:dyDescent="0.25">
      <c r="B1041" t="s">
        <v>47</v>
      </c>
      <c r="C1041" t="str">
        <f>_xlfn.XLOOKUP(B1041,Tabla2[CODIGO],Tabla2[MATERIAL],"N/A",0)</f>
        <v>Luminaria 75w</v>
      </c>
      <c r="D1041">
        <v>1</v>
      </c>
      <c r="E1041" t="s">
        <v>42</v>
      </c>
      <c r="F1041" t="s">
        <v>16</v>
      </c>
      <c r="G1041" s="1">
        <v>46221</v>
      </c>
      <c r="H1041" t="s">
        <v>64</v>
      </c>
      <c r="I1041" s="2" t="s">
        <v>428</v>
      </c>
      <c r="J1041" t="s">
        <v>289</v>
      </c>
      <c r="K1041">
        <v>9974</v>
      </c>
    </row>
    <row r="1042" spans="2:14" hidden="1" x14ac:dyDescent="0.25">
      <c r="B1042" t="s">
        <v>47</v>
      </c>
      <c r="C1042" t="str">
        <f>_xlfn.XLOOKUP(B1042,Tabla2[CODIGO],Tabla2[MATERIAL],"N/A",0)</f>
        <v>Luminaria 75w</v>
      </c>
      <c r="D1042">
        <v>1</v>
      </c>
      <c r="E1042" t="s">
        <v>42</v>
      </c>
      <c r="F1042" t="s">
        <v>16</v>
      </c>
      <c r="G1042" s="1">
        <v>46221</v>
      </c>
      <c r="H1042" t="s">
        <v>64</v>
      </c>
      <c r="I1042" s="2" t="s">
        <v>429</v>
      </c>
      <c r="J1042" t="s">
        <v>289</v>
      </c>
      <c r="K1042">
        <v>9974</v>
      </c>
    </row>
    <row r="1043" spans="2:14" hidden="1" x14ac:dyDescent="0.25">
      <c r="B1043" t="s">
        <v>47</v>
      </c>
      <c r="C1043" t="str">
        <f>_xlfn.XLOOKUP(B1043,Tabla2[CODIGO],Tabla2[MATERIAL],"N/A",0)</f>
        <v>Luminaria 75w</v>
      </c>
      <c r="D1043">
        <v>1</v>
      </c>
      <c r="E1043" t="s">
        <v>42</v>
      </c>
      <c r="F1043" t="s">
        <v>16</v>
      </c>
      <c r="G1043" s="1">
        <v>46221</v>
      </c>
      <c r="H1043" t="s">
        <v>64</v>
      </c>
      <c r="I1043" s="2" t="s">
        <v>430</v>
      </c>
      <c r="J1043" t="s">
        <v>289</v>
      </c>
      <c r="K1043">
        <v>9974</v>
      </c>
    </row>
    <row r="1044" spans="2:14" hidden="1" x14ac:dyDescent="0.25">
      <c r="B1044" t="s">
        <v>47</v>
      </c>
      <c r="C1044" t="str">
        <f>_xlfn.XLOOKUP(B1044,Tabla2[CODIGO],Tabla2[MATERIAL],"N/A",0)</f>
        <v>Luminaria 75w</v>
      </c>
      <c r="D1044">
        <v>1</v>
      </c>
      <c r="E1044" t="s">
        <v>42</v>
      </c>
      <c r="F1044" t="s">
        <v>16</v>
      </c>
      <c r="G1044" s="1">
        <v>46221</v>
      </c>
      <c r="H1044" t="s">
        <v>64</v>
      </c>
      <c r="I1044" s="2" t="s">
        <v>328</v>
      </c>
      <c r="J1044" t="s">
        <v>289</v>
      </c>
      <c r="K1044">
        <v>9974</v>
      </c>
    </row>
    <row r="1045" spans="2:14" hidden="1" x14ac:dyDescent="0.25">
      <c r="B1045" t="s">
        <v>47</v>
      </c>
      <c r="C1045" t="str">
        <f>_xlfn.XLOOKUP(B1045,Tabla2[CODIGO],Tabla2[MATERIAL],"N/A",0)</f>
        <v>Luminaria 75w</v>
      </c>
      <c r="D1045">
        <v>1</v>
      </c>
      <c r="E1045" t="s">
        <v>42</v>
      </c>
      <c r="F1045" t="s">
        <v>16</v>
      </c>
      <c r="G1045" s="1">
        <v>46221</v>
      </c>
      <c r="H1045" t="s">
        <v>64</v>
      </c>
      <c r="I1045" s="2" t="s">
        <v>431</v>
      </c>
      <c r="J1045" t="s">
        <v>289</v>
      </c>
      <c r="K1045">
        <v>9974</v>
      </c>
    </row>
    <row r="1046" spans="2:14" hidden="1" x14ac:dyDescent="0.25">
      <c r="B1046" t="s">
        <v>47</v>
      </c>
      <c r="C1046" t="str">
        <f>_xlfn.XLOOKUP(B1046,Tabla2[CODIGO],Tabla2[MATERIAL],"N/A",0)</f>
        <v>Luminaria 75w</v>
      </c>
      <c r="D1046">
        <v>1</v>
      </c>
      <c r="E1046" t="s">
        <v>42</v>
      </c>
      <c r="F1046" t="s">
        <v>16</v>
      </c>
      <c r="G1046" s="1">
        <v>46221</v>
      </c>
      <c r="H1046" t="s">
        <v>64</v>
      </c>
      <c r="I1046" s="2" t="s">
        <v>432</v>
      </c>
      <c r="J1046" t="s">
        <v>289</v>
      </c>
      <c r="K1046">
        <v>9974</v>
      </c>
    </row>
    <row r="1047" spans="2:14" hidden="1" x14ac:dyDescent="0.25">
      <c r="B1047" t="s">
        <v>82</v>
      </c>
      <c r="C1047" t="str">
        <f>_xlfn.XLOOKUP(B1047,Tabla2[CODIGO],Tabla2[MATERIAL],"N/A",0)</f>
        <v>proyector 190w</v>
      </c>
      <c r="D1047">
        <v>1</v>
      </c>
      <c r="E1047" t="s">
        <v>42</v>
      </c>
      <c r="F1047" t="s">
        <v>16</v>
      </c>
      <c r="G1047" s="1">
        <v>46200</v>
      </c>
      <c r="H1047" t="s">
        <v>64</v>
      </c>
      <c r="I1047" s="2" t="s">
        <v>184</v>
      </c>
      <c r="J1047" t="s">
        <v>166</v>
      </c>
      <c r="K1047">
        <v>9963</v>
      </c>
      <c r="L1047" s="3" t="s">
        <v>189</v>
      </c>
    </row>
    <row r="1048" spans="2:14" hidden="1" x14ac:dyDescent="0.25">
      <c r="B1048" t="s">
        <v>82</v>
      </c>
      <c r="C1048" t="str">
        <f>_xlfn.XLOOKUP(B1048,Tabla2[CODIGO],Tabla2[MATERIAL],"N/A",0)</f>
        <v>proyector 190w</v>
      </c>
      <c r="D1048">
        <v>1</v>
      </c>
      <c r="E1048" t="s">
        <v>42</v>
      </c>
      <c r="F1048" t="s">
        <v>62</v>
      </c>
      <c r="G1048" s="1">
        <v>46204</v>
      </c>
      <c r="H1048" t="s">
        <v>64</v>
      </c>
      <c r="I1048" s="2" t="s">
        <v>184</v>
      </c>
      <c r="J1048" t="s">
        <v>166</v>
      </c>
      <c r="K1048">
        <v>9963</v>
      </c>
      <c r="L1048" t="s">
        <v>247</v>
      </c>
      <c r="M1048">
        <v>2295580</v>
      </c>
      <c r="N1048">
        <v>7</v>
      </c>
    </row>
    <row r="1049" spans="2:14" hidden="1" x14ac:dyDescent="0.25">
      <c r="B1049" t="s">
        <v>82</v>
      </c>
      <c r="C1049" t="str">
        <f>_xlfn.XLOOKUP(B1049,Tabla2[CODIGO],Tabla2[MATERIAL],"N/A",0)</f>
        <v>proyector 190w</v>
      </c>
      <c r="D1049">
        <v>1</v>
      </c>
      <c r="E1049" t="s">
        <v>42</v>
      </c>
      <c r="F1049" t="s">
        <v>16</v>
      </c>
      <c r="G1049" s="1">
        <v>46200</v>
      </c>
      <c r="H1049" t="s">
        <v>64</v>
      </c>
      <c r="I1049" s="2" t="s">
        <v>185</v>
      </c>
      <c r="J1049" t="s">
        <v>166</v>
      </c>
      <c r="K1049">
        <v>9963</v>
      </c>
      <c r="L1049" s="3" t="s">
        <v>189</v>
      </c>
    </row>
    <row r="1050" spans="2:14" hidden="1" x14ac:dyDescent="0.25">
      <c r="B1050" t="s">
        <v>82</v>
      </c>
      <c r="C1050" t="str">
        <f>_xlfn.XLOOKUP(B1050,Tabla2[CODIGO],Tabla2[MATERIAL],"N/A",0)</f>
        <v>proyector 190w</v>
      </c>
      <c r="D1050">
        <v>1</v>
      </c>
      <c r="E1050" t="s">
        <v>42</v>
      </c>
      <c r="F1050" t="s">
        <v>62</v>
      </c>
      <c r="G1050" s="1">
        <v>46204</v>
      </c>
      <c r="H1050" t="s">
        <v>64</v>
      </c>
      <c r="I1050" s="2" t="s">
        <v>185</v>
      </c>
      <c r="J1050" t="s">
        <v>166</v>
      </c>
      <c r="K1050">
        <v>9963</v>
      </c>
      <c r="L1050" t="s">
        <v>247</v>
      </c>
      <c r="M1050">
        <v>2295628</v>
      </c>
      <c r="N1050">
        <v>9</v>
      </c>
    </row>
    <row r="1051" spans="2:14" hidden="1" x14ac:dyDescent="0.25">
      <c r="B1051" t="s">
        <v>82</v>
      </c>
      <c r="C1051" t="str">
        <f>_xlfn.XLOOKUP(B1051,Tabla2[CODIGO],Tabla2[MATERIAL],"N/A",0)</f>
        <v>proyector 190w</v>
      </c>
      <c r="D1051">
        <v>1</v>
      </c>
      <c r="E1051" t="s">
        <v>42</v>
      </c>
      <c r="F1051" t="s">
        <v>16</v>
      </c>
      <c r="G1051" s="1">
        <v>46200</v>
      </c>
      <c r="H1051" t="s">
        <v>64</v>
      </c>
      <c r="I1051" s="2" t="s">
        <v>138</v>
      </c>
      <c r="J1051" t="s">
        <v>166</v>
      </c>
      <c r="K1051">
        <v>9959</v>
      </c>
      <c r="L1051" t="s">
        <v>100</v>
      </c>
    </row>
    <row r="1052" spans="2:14" hidden="1" x14ac:dyDescent="0.25">
      <c r="B1052" t="s">
        <v>82</v>
      </c>
      <c r="C1052" t="str">
        <f>_xlfn.XLOOKUP(B1052,Tabla2[CODIGO],Tabla2[MATERIAL],"N/A",0)</f>
        <v>proyector 190w</v>
      </c>
      <c r="D1052">
        <v>1</v>
      </c>
      <c r="E1052" t="s">
        <v>42</v>
      </c>
      <c r="F1052" t="s">
        <v>62</v>
      </c>
      <c r="H1052" t="s">
        <v>64</v>
      </c>
      <c r="I1052" s="2" t="s">
        <v>138</v>
      </c>
      <c r="J1052" t="s">
        <v>166</v>
      </c>
      <c r="K1052">
        <v>9959</v>
      </c>
      <c r="N1052">
        <v>9</v>
      </c>
    </row>
    <row r="1053" spans="2:14" hidden="1" x14ac:dyDescent="0.25">
      <c r="B1053" t="s">
        <v>82</v>
      </c>
      <c r="C1053" t="str">
        <f>_xlfn.XLOOKUP(B1053,Tabla2[CODIGO],Tabla2[MATERIAL],"N/A",0)</f>
        <v>proyector 190w</v>
      </c>
      <c r="D1053">
        <v>1</v>
      </c>
      <c r="E1053" t="s">
        <v>42</v>
      </c>
      <c r="F1053" t="s">
        <v>16</v>
      </c>
      <c r="G1053" s="1">
        <v>46200</v>
      </c>
      <c r="H1053" t="s">
        <v>64</v>
      </c>
      <c r="I1053" s="2" t="s">
        <v>186</v>
      </c>
      <c r="J1053" t="s">
        <v>166</v>
      </c>
      <c r="K1053">
        <v>9963</v>
      </c>
      <c r="L1053" s="3" t="s">
        <v>189</v>
      </c>
    </row>
    <row r="1054" spans="2:14" hidden="1" x14ac:dyDescent="0.25">
      <c r="B1054" t="s">
        <v>82</v>
      </c>
      <c r="C1054" t="str">
        <f>_xlfn.XLOOKUP(B1054,Tabla2[CODIGO],Tabla2[MATERIAL],"N/A",0)</f>
        <v>proyector 190w</v>
      </c>
      <c r="D1054">
        <v>1</v>
      </c>
      <c r="E1054" t="s">
        <v>42</v>
      </c>
      <c r="F1054" t="s">
        <v>62</v>
      </c>
      <c r="G1054" s="1">
        <v>46204</v>
      </c>
      <c r="H1054" t="s">
        <v>64</v>
      </c>
      <c r="I1054" s="2" t="s">
        <v>186</v>
      </c>
      <c r="J1054" t="s">
        <v>166</v>
      </c>
      <c r="K1054">
        <v>9963</v>
      </c>
      <c r="L1054" t="s">
        <v>247</v>
      </c>
      <c r="M1054">
        <v>2295628</v>
      </c>
      <c r="N1054">
        <v>10</v>
      </c>
    </row>
    <row r="1055" spans="2:14" hidden="1" x14ac:dyDescent="0.25">
      <c r="B1055" t="s">
        <v>82</v>
      </c>
      <c r="C1055" t="str">
        <f>_xlfn.XLOOKUP(B1055,Tabla2[CODIGO],Tabla2[MATERIAL],"N/A",0)</f>
        <v>proyector 190w</v>
      </c>
      <c r="D1055">
        <v>1</v>
      </c>
      <c r="E1055" t="s">
        <v>42</v>
      </c>
      <c r="F1055" t="s">
        <v>16</v>
      </c>
      <c r="G1055" s="1">
        <v>46221</v>
      </c>
      <c r="H1055" t="s">
        <v>64</v>
      </c>
      <c r="I1055" t="s">
        <v>364</v>
      </c>
      <c r="J1055" t="s">
        <v>289</v>
      </c>
      <c r="K1055">
        <v>9968</v>
      </c>
    </row>
    <row r="1056" spans="2:14" hidden="1" x14ac:dyDescent="0.25">
      <c r="B1056" t="s">
        <v>82</v>
      </c>
      <c r="C1056" t="str">
        <f>_xlfn.XLOOKUP(B1056,Tabla2[CODIGO],Tabla2[MATERIAL],"N/A",0)</f>
        <v>proyector 190w</v>
      </c>
      <c r="D1056">
        <v>1</v>
      </c>
      <c r="E1056" t="s">
        <v>42</v>
      </c>
      <c r="F1056" t="s">
        <v>16</v>
      </c>
      <c r="G1056" s="1">
        <v>46221</v>
      </c>
      <c r="H1056" t="s">
        <v>64</v>
      </c>
      <c r="I1056" t="s">
        <v>362</v>
      </c>
      <c r="J1056" t="s">
        <v>289</v>
      </c>
      <c r="K1056">
        <v>9968</v>
      </c>
    </row>
    <row r="1057" spans="2:14" hidden="1" x14ac:dyDescent="0.25">
      <c r="B1057" t="s">
        <v>82</v>
      </c>
      <c r="C1057" t="str">
        <f>_xlfn.XLOOKUP(B1057,Tabla2[CODIGO],Tabla2[MATERIAL],"N/A",0)</f>
        <v>proyector 190w</v>
      </c>
      <c r="D1057">
        <v>1</v>
      </c>
      <c r="E1057" t="s">
        <v>42</v>
      </c>
      <c r="F1057" t="s">
        <v>16</v>
      </c>
      <c r="G1057" s="1">
        <v>46221</v>
      </c>
      <c r="H1057" t="s">
        <v>64</v>
      </c>
      <c r="I1057" s="2" t="s">
        <v>443</v>
      </c>
      <c r="J1057" t="s">
        <v>289</v>
      </c>
      <c r="K1057">
        <v>9974</v>
      </c>
    </row>
    <row r="1058" spans="2:14" hidden="1" x14ac:dyDescent="0.25">
      <c r="B1058" t="s">
        <v>82</v>
      </c>
      <c r="C1058" t="str">
        <f>_xlfn.XLOOKUP(B1058,Tabla2[CODIGO],Tabla2[MATERIAL],"N/A",0)</f>
        <v>proyector 190w</v>
      </c>
      <c r="D1058">
        <v>1</v>
      </c>
      <c r="E1058" t="s">
        <v>42</v>
      </c>
      <c r="F1058" t="s">
        <v>62</v>
      </c>
      <c r="H1058" t="s">
        <v>64</v>
      </c>
      <c r="I1058" s="2" t="s">
        <v>443</v>
      </c>
      <c r="J1058" t="s">
        <v>289</v>
      </c>
      <c r="K1058">
        <v>9974</v>
      </c>
      <c r="M1058">
        <v>1865323</v>
      </c>
      <c r="N1058">
        <v>16</v>
      </c>
    </row>
    <row r="1059" spans="2:14" hidden="1" x14ac:dyDescent="0.25">
      <c r="B1059" t="s">
        <v>82</v>
      </c>
      <c r="C1059" t="str">
        <f>_xlfn.XLOOKUP(B1059,Tabla2[CODIGO],Tabla2[MATERIAL],"N/A",0)</f>
        <v>proyector 190w</v>
      </c>
      <c r="D1059">
        <v>1</v>
      </c>
      <c r="E1059" t="s">
        <v>42</v>
      </c>
      <c r="F1059" t="s">
        <v>16</v>
      </c>
      <c r="G1059" s="1">
        <v>46221</v>
      </c>
      <c r="H1059" t="s">
        <v>64</v>
      </c>
      <c r="I1059" t="s">
        <v>365</v>
      </c>
      <c r="J1059" t="s">
        <v>289</v>
      </c>
      <c r="K1059">
        <v>9968</v>
      </c>
    </row>
    <row r="1060" spans="2:14" hidden="1" x14ac:dyDescent="0.25">
      <c r="B1060" t="s">
        <v>82</v>
      </c>
      <c r="C1060" t="str">
        <f>_xlfn.XLOOKUP(B1060,Tabla2[CODIGO],Tabla2[MATERIAL],"N/A",0)</f>
        <v>proyector 190w</v>
      </c>
      <c r="D1060">
        <v>1</v>
      </c>
      <c r="E1060" t="s">
        <v>42</v>
      </c>
      <c r="F1060" t="s">
        <v>16</v>
      </c>
      <c r="G1060" s="1">
        <v>46221</v>
      </c>
      <c r="H1060" t="s">
        <v>64</v>
      </c>
      <c r="I1060" t="s">
        <v>366</v>
      </c>
      <c r="J1060" t="s">
        <v>289</v>
      </c>
      <c r="K1060">
        <v>9968</v>
      </c>
    </row>
    <row r="1061" spans="2:14" hidden="1" x14ac:dyDescent="0.25">
      <c r="B1061" t="s">
        <v>82</v>
      </c>
      <c r="C1061" t="str">
        <f>_xlfn.XLOOKUP(B1061,Tabla2[CODIGO],Tabla2[MATERIAL],"N/A",0)</f>
        <v>proyector 190w</v>
      </c>
      <c r="D1061">
        <v>1</v>
      </c>
      <c r="E1061" t="s">
        <v>42</v>
      </c>
      <c r="F1061" t="s">
        <v>16</v>
      </c>
      <c r="G1061" s="1">
        <v>46221</v>
      </c>
      <c r="H1061" t="s">
        <v>64</v>
      </c>
      <c r="I1061" s="2" t="s">
        <v>410</v>
      </c>
      <c r="J1061" t="s">
        <v>289</v>
      </c>
      <c r="K1061">
        <v>9972</v>
      </c>
    </row>
    <row r="1062" spans="2:14" hidden="1" x14ac:dyDescent="0.25">
      <c r="B1062" t="s">
        <v>82</v>
      </c>
      <c r="C1062" t="str">
        <f>_xlfn.XLOOKUP(B1062,Tabla2[CODIGO],Tabla2[MATERIAL],"N/A",0)</f>
        <v>proyector 190w</v>
      </c>
      <c r="D1062">
        <v>1</v>
      </c>
      <c r="E1062" t="s">
        <v>42</v>
      </c>
      <c r="F1062" t="s">
        <v>62</v>
      </c>
      <c r="H1062" t="s">
        <v>64</v>
      </c>
      <c r="I1062" s="2" t="s">
        <v>410</v>
      </c>
      <c r="J1062" t="s">
        <v>289</v>
      </c>
      <c r="K1062">
        <v>9972</v>
      </c>
      <c r="M1062">
        <v>2304333</v>
      </c>
      <c r="N1062">
        <v>10</v>
      </c>
    </row>
    <row r="1063" spans="2:14" hidden="1" x14ac:dyDescent="0.25">
      <c r="B1063" t="s">
        <v>47</v>
      </c>
      <c r="C1063" t="str">
        <f>_xlfn.XLOOKUP(B1063,Tabla2[CODIGO],Tabla2[MATERIAL],"N/A",0)</f>
        <v>Luminaria 75w</v>
      </c>
      <c r="D1063">
        <v>1</v>
      </c>
      <c r="E1063" t="s">
        <v>42</v>
      </c>
      <c r="F1063" t="s">
        <v>62</v>
      </c>
      <c r="G1063" s="1">
        <v>46225</v>
      </c>
      <c r="H1063" t="s">
        <v>64</v>
      </c>
      <c r="I1063" s="2" t="s">
        <v>378</v>
      </c>
      <c r="J1063" t="s">
        <v>289</v>
      </c>
      <c r="K1063">
        <v>9971</v>
      </c>
      <c r="M1063">
        <v>2262008</v>
      </c>
      <c r="N1063">
        <v>1</v>
      </c>
    </row>
    <row r="1064" spans="2:14" hidden="1" x14ac:dyDescent="0.25">
      <c r="B1064" t="s">
        <v>47</v>
      </c>
      <c r="C1064" t="str">
        <f>_xlfn.XLOOKUP(B1064,Tabla2[CODIGO],Tabla2[MATERIAL],"N/A",0)</f>
        <v>Luminaria 75w</v>
      </c>
      <c r="D1064">
        <v>1</v>
      </c>
      <c r="E1064" t="s">
        <v>42</v>
      </c>
      <c r="F1064" t="s">
        <v>62</v>
      </c>
      <c r="G1064" s="1">
        <v>46225</v>
      </c>
      <c r="H1064" t="s">
        <v>64</v>
      </c>
      <c r="I1064" s="2" t="s">
        <v>376</v>
      </c>
      <c r="J1064" t="s">
        <v>289</v>
      </c>
      <c r="K1064">
        <v>9971</v>
      </c>
      <c r="M1064">
        <v>2262008</v>
      </c>
      <c r="N1064">
        <v>2</v>
      </c>
    </row>
    <row r="1065" spans="2:14" hidden="1" x14ac:dyDescent="0.25">
      <c r="B1065" t="s">
        <v>47</v>
      </c>
      <c r="C1065" t="str">
        <f>_xlfn.XLOOKUP(B1065,Tabla2[CODIGO],Tabla2[MATERIAL],"N/A",0)</f>
        <v>Luminaria 75w</v>
      </c>
      <c r="D1065">
        <v>1</v>
      </c>
      <c r="E1065" t="s">
        <v>42</v>
      </c>
      <c r="F1065" t="s">
        <v>62</v>
      </c>
      <c r="G1065" s="1">
        <v>46225</v>
      </c>
      <c r="H1065" t="s">
        <v>64</v>
      </c>
      <c r="I1065" s="2" t="s">
        <v>375</v>
      </c>
      <c r="J1065" t="s">
        <v>289</v>
      </c>
      <c r="K1065">
        <v>9971</v>
      </c>
      <c r="M1065">
        <v>2261723</v>
      </c>
      <c r="N1065">
        <v>3</v>
      </c>
    </row>
    <row r="1066" spans="2:14" hidden="1" x14ac:dyDescent="0.25">
      <c r="B1066" t="s">
        <v>47</v>
      </c>
      <c r="C1066" t="str">
        <f>_xlfn.XLOOKUP(B1066,Tabla2[CODIGO],Tabla2[MATERIAL],"N/A",0)</f>
        <v>Luminaria 75w</v>
      </c>
      <c r="D1066">
        <v>1</v>
      </c>
      <c r="E1066" t="s">
        <v>42</v>
      </c>
      <c r="F1066" t="s">
        <v>62</v>
      </c>
      <c r="G1066" s="1">
        <v>46225</v>
      </c>
      <c r="H1066" t="s">
        <v>64</v>
      </c>
      <c r="I1066" s="2" t="s">
        <v>373</v>
      </c>
      <c r="J1066" t="s">
        <v>289</v>
      </c>
      <c r="K1066">
        <v>9971</v>
      </c>
      <c r="M1066">
        <v>2261723</v>
      </c>
      <c r="N1066">
        <v>4</v>
      </c>
    </row>
    <row r="1067" spans="2:14" hidden="1" x14ac:dyDescent="0.25">
      <c r="B1067" t="s">
        <v>47</v>
      </c>
      <c r="C1067" t="str">
        <f>_xlfn.XLOOKUP(B1067,Tabla2[CODIGO],Tabla2[MATERIAL],"N/A",0)</f>
        <v>Luminaria 75w</v>
      </c>
      <c r="D1067">
        <v>1</v>
      </c>
      <c r="E1067" t="s">
        <v>42</v>
      </c>
      <c r="F1067" t="s">
        <v>62</v>
      </c>
      <c r="G1067" s="1">
        <v>46225</v>
      </c>
      <c r="H1067" t="s">
        <v>64</v>
      </c>
      <c r="I1067" s="2" t="s">
        <v>451</v>
      </c>
      <c r="J1067" t="s">
        <v>289</v>
      </c>
      <c r="K1067">
        <v>9971</v>
      </c>
      <c r="M1067">
        <v>2261774</v>
      </c>
      <c r="N1067">
        <v>5</v>
      </c>
    </row>
    <row r="1068" spans="2:14" hidden="1" x14ac:dyDescent="0.25">
      <c r="B1068" t="s">
        <v>47</v>
      </c>
      <c r="C1068" t="str">
        <f>_xlfn.XLOOKUP(B1068,Tabla2[CODIGO],Tabla2[MATERIAL],"N/A",0)</f>
        <v>Luminaria 75w</v>
      </c>
      <c r="D1068">
        <v>1</v>
      </c>
      <c r="E1068" t="s">
        <v>42</v>
      </c>
      <c r="F1068" t="s">
        <v>62</v>
      </c>
      <c r="G1068" s="1">
        <v>46225</v>
      </c>
      <c r="H1068" t="s">
        <v>64</v>
      </c>
      <c r="I1068" s="2" t="s">
        <v>388</v>
      </c>
      <c r="J1068" t="s">
        <v>289</v>
      </c>
      <c r="K1068">
        <v>9971</v>
      </c>
      <c r="M1068">
        <v>2261774</v>
      </c>
      <c r="N1068">
        <v>6</v>
      </c>
    </row>
    <row r="1069" spans="2:14" hidden="1" x14ac:dyDescent="0.25">
      <c r="B1069" t="s">
        <v>47</v>
      </c>
      <c r="C1069" t="str">
        <f>_xlfn.XLOOKUP(B1069,Tabla2[CODIGO],Tabla2[MATERIAL],"N/A",0)</f>
        <v>Luminaria 75w</v>
      </c>
      <c r="D1069">
        <v>1</v>
      </c>
      <c r="E1069" t="s">
        <v>42</v>
      </c>
      <c r="F1069" t="s">
        <v>62</v>
      </c>
      <c r="G1069" s="1">
        <v>46225</v>
      </c>
      <c r="H1069" t="s">
        <v>64</v>
      </c>
      <c r="I1069" s="2" t="s">
        <v>383</v>
      </c>
      <c r="J1069" t="s">
        <v>289</v>
      </c>
      <c r="K1069">
        <v>9971</v>
      </c>
      <c r="M1069">
        <v>2262037</v>
      </c>
      <c r="N1069">
        <v>7</v>
      </c>
    </row>
    <row r="1070" spans="2:14" hidden="1" x14ac:dyDescent="0.25">
      <c r="B1070" t="s">
        <v>47</v>
      </c>
      <c r="C1070" t="str">
        <f>_xlfn.XLOOKUP(B1070,Tabla2[CODIGO],Tabla2[MATERIAL],"N/A",0)</f>
        <v>Luminaria 75w</v>
      </c>
      <c r="D1070">
        <v>1</v>
      </c>
      <c r="E1070" t="s">
        <v>42</v>
      </c>
      <c r="F1070" t="s">
        <v>62</v>
      </c>
      <c r="G1070" s="1">
        <v>46225</v>
      </c>
      <c r="H1070" t="s">
        <v>64</v>
      </c>
      <c r="I1070" s="2" t="s">
        <v>384</v>
      </c>
      <c r="J1070" t="s">
        <v>289</v>
      </c>
      <c r="K1070">
        <v>9971</v>
      </c>
      <c r="M1070">
        <v>2262037</v>
      </c>
      <c r="N1070">
        <v>8</v>
      </c>
    </row>
    <row r="1071" spans="2:14" hidden="1" x14ac:dyDescent="0.25">
      <c r="B1071" t="s">
        <v>47</v>
      </c>
      <c r="C1071" t="str">
        <f>_xlfn.XLOOKUP(B1071,Tabla2[CODIGO],Tabla2[MATERIAL],"N/A",0)</f>
        <v>Luminaria 75w</v>
      </c>
      <c r="D1071">
        <v>1</v>
      </c>
      <c r="E1071" t="s">
        <v>42</v>
      </c>
      <c r="F1071" t="s">
        <v>62</v>
      </c>
      <c r="G1071" s="1">
        <v>46225</v>
      </c>
      <c r="H1071" t="s">
        <v>64</v>
      </c>
      <c r="I1071" s="2" t="s">
        <v>372</v>
      </c>
      <c r="J1071" t="s">
        <v>289</v>
      </c>
      <c r="K1071">
        <v>9971</v>
      </c>
      <c r="M1071">
        <v>2261812</v>
      </c>
      <c r="N1071">
        <v>9</v>
      </c>
    </row>
    <row r="1072" spans="2:14" hidden="1" x14ac:dyDescent="0.25">
      <c r="B1072" t="s">
        <v>47</v>
      </c>
      <c r="C1072" t="str">
        <f>_xlfn.XLOOKUP(B1072,Tabla2[CODIGO],Tabla2[MATERIAL],"N/A",0)</f>
        <v>Luminaria 75w</v>
      </c>
      <c r="D1072">
        <v>1</v>
      </c>
      <c r="E1072" t="s">
        <v>42</v>
      </c>
      <c r="F1072" t="s">
        <v>62</v>
      </c>
      <c r="G1072" s="1">
        <v>46225</v>
      </c>
      <c r="H1072" t="s">
        <v>64</v>
      </c>
      <c r="I1072" s="2" t="s">
        <v>452</v>
      </c>
      <c r="J1072" t="s">
        <v>289</v>
      </c>
      <c r="K1072">
        <v>9971</v>
      </c>
      <c r="M1072">
        <v>2261812</v>
      </c>
      <c r="N1072">
        <v>10</v>
      </c>
    </row>
    <row r="1073" spans="2:14" hidden="1" x14ac:dyDescent="0.25">
      <c r="B1073" t="s">
        <v>47</v>
      </c>
      <c r="C1073" t="str">
        <f>_xlfn.XLOOKUP(B1073,Tabla2[CODIGO],Tabla2[MATERIAL],"N/A",0)</f>
        <v>Luminaria 75w</v>
      </c>
      <c r="D1073">
        <v>1</v>
      </c>
      <c r="E1073" t="s">
        <v>42</v>
      </c>
      <c r="F1073" t="s">
        <v>62</v>
      </c>
      <c r="G1073" s="1">
        <v>46225</v>
      </c>
      <c r="H1073" t="s">
        <v>64</v>
      </c>
      <c r="I1073" s="2" t="s">
        <v>370</v>
      </c>
      <c r="J1073" t="s">
        <v>289</v>
      </c>
      <c r="K1073">
        <v>9971</v>
      </c>
      <c r="M1073">
        <v>2261995</v>
      </c>
      <c r="N1073">
        <v>11</v>
      </c>
    </row>
    <row r="1074" spans="2:14" hidden="1" x14ac:dyDescent="0.25">
      <c r="B1074" t="s">
        <v>47</v>
      </c>
      <c r="C1074" t="str">
        <f>_xlfn.XLOOKUP(B1074,Tabla2[CODIGO],Tabla2[MATERIAL],"N/A",0)</f>
        <v>Luminaria 75w</v>
      </c>
      <c r="D1074">
        <v>1</v>
      </c>
      <c r="E1074" t="s">
        <v>42</v>
      </c>
      <c r="F1074" t="s">
        <v>62</v>
      </c>
      <c r="G1074" s="1">
        <v>46225</v>
      </c>
      <c r="H1074" t="s">
        <v>64</v>
      </c>
      <c r="I1074" s="2" t="s">
        <v>380</v>
      </c>
      <c r="J1074" t="s">
        <v>289</v>
      </c>
      <c r="K1074">
        <v>9971</v>
      </c>
      <c r="M1074">
        <v>2261995</v>
      </c>
      <c r="N1074">
        <v>12</v>
      </c>
    </row>
    <row r="1075" spans="2:14" hidden="1" x14ac:dyDescent="0.25">
      <c r="B1075" t="s">
        <v>47</v>
      </c>
      <c r="C1075" t="str">
        <f>_xlfn.XLOOKUP(B1075,Tabla2[CODIGO],Tabla2[MATERIAL],"N/A",0)</f>
        <v>Luminaria 75w</v>
      </c>
      <c r="D1075">
        <v>1</v>
      </c>
      <c r="E1075" t="s">
        <v>42</v>
      </c>
      <c r="F1075" t="s">
        <v>62</v>
      </c>
      <c r="G1075" s="1">
        <v>46225</v>
      </c>
      <c r="H1075" t="s">
        <v>64</v>
      </c>
      <c r="I1075" s="2" t="s">
        <v>377</v>
      </c>
      <c r="J1075" t="s">
        <v>289</v>
      </c>
      <c r="K1075">
        <v>9971</v>
      </c>
      <c r="M1075">
        <v>2261944</v>
      </c>
      <c r="N1075">
        <v>13</v>
      </c>
    </row>
    <row r="1076" spans="2:14" hidden="1" x14ac:dyDescent="0.25">
      <c r="B1076" t="s">
        <v>47</v>
      </c>
      <c r="C1076" t="str">
        <f>_xlfn.XLOOKUP(B1076,Tabla2[CODIGO],Tabla2[MATERIAL],"N/A",0)</f>
        <v>Luminaria 75w</v>
      </c>
      <c r="D1076">
        <v>1</v>
      </c>
      <c r="E1076" t="s">
        <v>42</v>
      </c>
      <c r="F1076" t="s">
        <v>62</v>
      </c>
      <c r="G1076" s="1">
        <v>46225</v>
      </c>
      <c r="H1076" t="s">
        <v>64</v>
      </c>
      <c r="I1076" s="2" t="s">
        <v>387</v>
      </c>
      <c r="J1076" t="s">
        <v>289</v>
      </c>
      <c r="K1076">
        <v>9971</v>
      </c>
      <c r="M1076">
        <v>2261944</v>
      </c>
      <c r="N1076">
        <v>14</v>
      </c>
    </row>
    <row r="1077" spans="2:14" hidden="1" x14ac:dyDescent="0.25">
      <c r="B1077" t="s">
        <v>47</v>
      </c>
      <c r="C1077" t="str">
        <f>_xlfn.XLOOKUP(B1077,Tabla2[CODIGO],Tabla2[MATERIAL],"N/A",0)</f>
        <v>Luminaria 75w</v>
      </c>
      <c r="D1077">
        <v>1</v>
      </c>
      <c r="E1077" t="s">
        <v>42</v>
      </c>
      <c r="F1077" t="s">
        <v>62</v>
      </c>
      <c r="G1077" s="1">
        <v>46225</v>
      </c>
      <c r="H1077" t="s">
        <v>64</v>
      </c>
      <c r="I1077" s="2" t="s">
        <v>371</v>
      </c>
      <c r="J1077" t="s">
        <v>289</v>
      </c>
      <c r="K1077">
        <v>9971</v>
      </c>
      <c r="M1077">
        <v>2261855</v>
      </c>
      <c r="N1077">
        <v>15</v>
      </c>
    </row>
    <row r="1078" spans="2:14" hidden="1" x14ac:dyDescent="0.25">
      <c r="B1078" t="s">
        <v>47</v>
      </c>
      <c r="C1078" t="str">
        <f>_xlfn.XLOOKUP(B1078,Tabla2[CODIGO],Tabla2[MATERIAL],"N/A",0)</f>
        <v>Luminaria 75w</v>
      </c>
      <c r="D1078">
        <v>1</v>
      </c>
      <c r="E1078" t="s">
        <v>42</v>
      </c>
      <c r="F1078" t="s">
        <v>62</v>
      </c>
      <c r="G1078" s="1">
        <v>46225</v>
      </c>
      <c r="H1078" t="s">
        <v>64</v>
      </c>
      <c r="I1078" s="2" t="s">
        <v>385</v>
      </c>
      <c r="J1078" t="s">
        <v>289</v>
      </c>
      <c r="K1078">
        <v>9971</v>
      </c>
      <c r="M1078">
        <v>2261855</v>
      </c>
      <c r="N1078">
        <v>16</v>
      </c>
    </row>
    <row r="1079" spans="2:14" hidden="1" x14ac:dyDescent="0.25">
      <c r="B1079" t="s">
        <v>47</v>
      </c>
      <c r="C1079" t="str">
        <f>_xlfn.XLOOKUP(B1079,Tabla2[CODIGO],Tabla2[MATERIAL],"N/A",0)</f>
        <v>Luminaria 75w</v>
      </c>
      <c r="D1079">
        <v>1</v>
      </c>
      <c r="E1079" t="s">
        <v>42</v>
      </c>
      <c r="F1079" t="s">
        <v>62</v>
      </c>
      <c r="G1079" s="1">
        <v>46225</v>
      </c>
      <c r="H1079" t="s">
        <v>64</v>
      </c>
      <c r="I1079" s="2" t="s">
        <v>381</v>
      </c>
      <c r="J1079" t="s">
        <v>289</v>
      </c>
      <c r="K1079">
        <v>9971</v>
      </c>
      <c r="M1079">
        <v>2261901</v>
      </c>
      <c r="N1079">
        <v>17</v>
      </c>
    </row>
    <row r="1080" spans="2:14" hidden="1" x14ac:dyDescent="0.25">
      <c r="B1080" t="s">
        <v>47</v>
      </c>
      <c r="C1080" t="str">
        <f>_xlfn.XLOOKUP(B1080,Tabla2[CODIGO],Tabla2[MATERIAL],"N/A",0)</f>
        <v>Luminaria 75w</v>
      </c>
      <c r="D1080">
        <v>1</v>
      </c>
      <c r="E1080" t="s">
        <v>42</v>
      </c>
      <c r="F1080" t="s">
        <v>62</v>
      </c>
      <c r="G1080" s="1">
        <v>46225</v>
      </c>
      <c r="H1080" t="s">
        <v>64</v>
      </c>
      <c r="I1080" s="2" t="s">
        <v>379</v>
      </c>
      <c r="J1080" t="s">
        <v>289</v>
      </c>
      <c r="K1080">
        <v>9971</v>
      </c>
      <c r="M1080">
        <v>2261901</v>
      </c>
      <c r="N1080">
        <v>18</v>
      </c>
    </row>
    <row r="1081" spans="2:14" hidden="1" x14ac:dyDescent="0.25">
      <c r="B1081" t="s">
        <v>47</v>
      </c>
      <c r="C1081" t="str">
        <f>_xlfn.XLOOKUP(B1081,Tabla2[CODIGO],Tabla2[MATERIAL],"N/A",0)</f>
        <v>Luminaria 75w</v>
      </c>
      <c r="D1081">
        <v>1</v>
      </c>
      <c r="E1081" t="s">
        <v>42</v>
      </c>
      <c r="F1081" t="s">
        <v>62</v>
      </c>
      <c r="G1081" s="1">
        <v>46225</v>
      </c>
      <c r="H1081" t="s">
        <v>64</v>
      </c>
      <c r="I1081" s="2" t="s">
        <v>382</v>
      </c>
      <c r="J1081" t="s">
        <v>289</v>
      </c>
      <c r="K1081">
        <v>9971</v>
      </c>
      <c r="M1081">
        <v>2261901</v>
      </c>
      <c r="N1081">
        <v>19</v>
      </c>
    </row>
    <row r="1082" spans="2:14" hidden="1" x14ac:dyDescent="0.25">
      <c r="B1082" t="s">
        <v>60</v>
      </c>
      <c r="C1082" t="str">
        <f>_xlfn.XLOOKUP(B1082,Tabla2[CODIGO],Tabla2[MATERIAL],"N/A",0)</f>
        <v>Fotocelda</v>
      </c>
      <c r="D1082">
        <v>1</v>
      </c>
      <c r="E1082" t="s">
        <v>42</v>
      </c>
      <c r="F1082" t="s">
        <v>62</v>
      </c>
      <c r="G1082" s="1">
        <v>46225</v>
      </c>
      <c r="I1082" s="2"/>
      <c r="J1082" t="s">
        <v>289</v>
      </c>
      <c r="K1082">
        <v>9971</v>
      </c>
      <c r="M1082">
        <v>2262008</v>
      </c>
      <c r="N1082">
        <v>1</v>
      </c>
    </row>
    <row r="1083" spans="2:14" hidden="1" x14ac:dyDescent="0.25">
      <c r="B1083" t="s">
        <v>60</v>
      </c>
      <c r="C1083" t="str">
        <f>_xlfn.XLOOKUP(B1083,Tabla2[CODIGO],Tabla2[MATERIAL],"N/A",0)</f>
        <v>Fotocelda</v>
      </c>
      <c r="D1083">
        <v>1</v>
      </c>
      <c r="E1083" t="s">
        <v>42</v>
      </c>
      <c r="F1083" t="s">
        <v>62</v>
      </c>
      <c r="G1083" s="1">
        <v>46225</v>
      </c>
      <c r="I1083" s="2"/>
      <c r="J1083" t="s">
        <v>289</v>
      </c>
      <c r="K1083">
        <v>9971</v>
      </c>
      <c r="M1083">
        <v>2262008</v>
      </c>
      <c r="N1083">
        <v>2</v>
      </c>
    </row>
    <row r="1084" spans="2:14" hidden="1" x14ac:dyDescent="0.25">
      <c r="B1084" t="s">
        <v>60</v>
      </c>
      <c r="C1084" t="str">
        <f>_xlfn.XLOOKUP(B1084,Tabla2[CODIGO],Tabla2[MATERIAL],"N/A",0)</f>
        <v>Fotocelda</v>
      </c>
      <c r="D1084">
        <v>1</v>
      </c>
      <c r="E1084" t="s">
        <v>42</v>
      </c>
      <c r="F1084" t="s">
        <v>62</v>
      </c>
      <c r="G1084" s="1">
        <v>46225</v>
      </c>
      <c r="I1084" s="2"/>
      <c r="J1084" t="s">
        <v>289</v>
      </c>
      <c r="K1084">
        <v>9971</v>
      </c>
      <c r="M1084">
        <v>2261723</v>
      </c>
      <c r="N1084">
        <v>3</v>
      </c>
    </row>
    <row r="1085" spans="2:14" hidden="1" x14ac:dyDescent="0.25">
      <c r="B1085" t="s">
        <v>60</v>
      </c>
      <c r="C1085" t="str">
        <f>_xlfn.XLOOKUP(B1085,Tabla2[CODIGO],Tabla2[MATERIAL],"N/A",0)</f>
        <v>Fotocelda</v>
      </c>
      <c r="D1085">
        <v>1</v>
      </c>
      <c r="E1085" t="s">
        <v>42</v>
      </c>
      <c r="F1085" t="s">
        <v>62</v>
      </c>
      <c r="G1085" s="1">
        <v>46225</v>
      </c>
      <c r="I1085" s="2"/>
      <c r="J1085" t="s">
        <v>289</v>
      </c>
      <c r="K1085">
        <v>9971</v>
      </c>
      <c r="M1085">
        <v>2261723</v>
      </c>
      <c r="N1085">
        <v>4</v>
      </c>
    </row>
    <row r="1086" spans="2:14" hidden="1" x14ac:dyDescent="0.25">
      <c r="B1086" t="s">
        <v>60</v>
      </c>
      <c r="C1086" t="str">
        <f>_xlfn.XLOOKUP(B1086,Tabla2[CODIGO],Tabla2[MATERIAL],"N/A",0)</f>
        <v>Fotocelda</v>
      </c>
      <c r="D1086">
        <v>1</v>
      </c>
      <c r="E1086" t="s">
        <v>42</v>
      </c>
      <c r="F1086" t="s">
        <v>62</v>
      </c>
      <c r="G1086" s="1">
        <v>46225</v>
      </c>
      <c r="I1086" s="2"/>
      <c r="J1086" t="s">
        <v>289</v>
      </c>
      <c r="K1086">
        <v>9971</v>
      </c>
      <c r="M1086">
        <v>2261774</v>
      </c>
      <c r="N1086">
        <v>5</v>
      </c>
    </row>
    <row r="1087" spans="2:14" hidden="1" x14ac:dyDescent="0.25">
      <c r="B1087" t="s">
        <v>60</v>
      </c>
      <c r="C1087" t="str">
        <f>_xlfn.XLOOKUP(B1087,Tabla2[CODIGO],Tabla2[MATERIAL],"N/A",0)</f>
        <v>Fotocelda</v>
      </c>
      <c r="D1087">
        <v>1</v>
      </c>
      <c r="E1087" t="s">
        <v>42</v>
      </c>
      <c r="F1087" t="s">
        <v>62</v>
      </c>
      <c r="G1087" s="1">
        <v>46225</v>
      </c>
      <c r="I1087" s="2"/>
      <c r="J1087" t="s">
        <v>289</v>
      </c>
      <c r="K1087">
        <v>9971</v>
      </c>
      <c r="M1087">
        <v>2261774</v>
      </c>
      <c r="N1087">
        <v>6</v>
      </c>
    </row>
    <row r="1088" spans="2:14" hidden="1" x14ac:dyDescent="0.25">
      <c r="B1088" t="s">
        <v>60</v>
      </c>
      <c r="C1088" t="str">
        <f>_xlfn.XLOOKUP(B1088,Tabla2[CODIGO],Tabla2[MATERIAL],"N/A",0)</f>
        <v>Fotocelda</v>
      </c>
      <c r="D1088">
        <v>1</v>
      </c>
      <c r="E1088" t="s">
        <v>42</v>
      </c>
      <c r="F1088" t="s">
        <v>62</v>
      </c>
      <c r="G1088" s="1">
        <v>46225</v>
      </c>
      <c r="I1088" s="2"/>
      <c r="J1088" t="s">
        <v>289</v>
      </c>
      <c r="K1088">
        <v>9971</v>
      </c>
      <c r="M1088">
        <v>2262037</v>
      </c>
      <c r="N1088">
        <v>7</v>
      </c>
    </row>
    <row r="1089" spans="2:14" hidden="1" x14ac:dyDescent="0.25">
      <c r="B1089" t="s">
        <v>60</v>
      </c>
      <c r="C1089" t="str">
        <f>_xlfn.XLOOKUP(B1089,Tabla2[CODIGO],Tabla2[MATERIAL],"N/A",0)</f>
        <v>Fotocelda</v>
      </c>
      <c r="D1089">
        <v>1</v>
      </c>
      <c r="E1089" t="s">
        <v>42</v>
      </c>
      <c r="F1089" t="s">
        <v>62</v>
      </c>
      <c r="G1089" s="1">
        <v>46225</v>
      </c>
      <c r="I1089" s="2"/>
      <c r="J1089" t="s">
        <v>289</v>
      </c>
      <c r="K1089">
        <v>9971</v>
      </c>
      <c r="M1089">
        <v>2262037</v>
      </c>
      <c r="N1089">
        <v>8</v>
      </c>
    </row>
    <row r="1090" spans="2:14" hidden="1" x14ac:dyDescent="0.25">
      <c r="B1090" t="s">
        <v>60</v>
      </c>
      <c r="C1090" t="str">
        <f>_xlfn.XLOOKUP(B1090,Tabla2[CODIGO],Tabla2[MATERIAL],"N/A",0)</f>
        <v>Fotocelda</v>
      </c>
      <c r="D1090">
        <v>1</v>
      </c>
      <c r="E1090" t="s">
        <v>42</v>
      </c>
      <c r="F1090" t="s">
        <v>62</v>
      </c>
      <c r="G1090" s="1">
        <v>46225</v>
      </c>
      <c r="I1090" s="2"/>
      <c r="J1090" t="s">
        <v>289</v>
      </c>
      <c r="K1090">
        <v>9971</v>
      </c>
      <c r="M1090">
        <v>2261812</v>
      </c>
      <c r="N1090">
        <v>9</v>
      </c>
    </row>
    <row r="1091" spans="2:14" hidden="1" x14ac:dyDescent="0.25">
      <c r="B1091" t="s">
        <v>60</v>
      </c>
      <c r="C1091" t="str">
        <f>_xlfn.XLOOKUP(B1091,Tabla2[CODIGO],Tabla2[MATERIAL],"N/A",0)</f>
        <v>Fotocelda</v>
      </c>
      <c r="D1091">
        <v>1</v>
      </c>
      <c r="E1091" t="s">
        <v>42</v>
      </c>
      <c r="F1091" t="s">
        <v>62</v>
      </c>
      <c r="G1091" s="1">
        <v>46225</v>
      </c>
      <c r="I1091" s="2"/>
      <c r="J1091" t="s">
        <v>289</v>
      </c>
      <c r="K1091">
        <v>9971</v>
      </c>
      <c r="M1091">
        <v>2261812</v>
      </c>
      <c r="N1091">
        <v>10</v>
      </c>
    </row>
    <row r="1092" spans="2:14" hidden="1" x14ac:dyDescent="0.25">
      <c r="B1092" t="s">
        <v>60</v>
      </c>
      <c r="C1092" t="str">
        <f>_xlfn.XLOOKUP(B1092,Tabla2[CODIGO],Tabla2[MATERIAL],"N/A",0)</f>
        <v>Fotocelda</v>
      </c>
      <c r="D1092">
        <v>1</v>
      </c>
      <c r="E1092" t="s">
        <v>42</v>
      </c>
      <c r="F1092" t="s">
        <v>62</v>
      </c>
      <c r="G1092" s="1">
        <v>46225</v>
      </c>
      <c r="I1092" s="2"/>
      <c r="J1092" t="s">
        <v>289</v>
      </c>
      <c r="K1092">
        <v>9971</v>
      </c>
      <c r="M1092">
        <v>2261995</v>
      </c>
      <c r="N1092">
        <v>11</v>
      </c>
    </row>
    <row r="1093" spans="2:14" hidden="1" x14ac:dyDescent="0.25">
      <c r="B1093" t="s">
        <v>60</v>
      </c>
      <c r="C1093" t="str">
        <f>_xlfn.XLOOKUP(B1093,Tabla2[CODIGO],Tabla2[MATERIAL],"N/A",0)</f>
        <v>Fotocelda</v>
      </c>
      <c r="D1093">
        <v>1</v>
      </c>
      <c r="E1093" t="s">
        <v>42</v>
      </c>
      <c r="F1093" t="s">
        <v>62</v>
      </c>
      <c r="G1093" s="1">
        <v>46225</v>
      </c>
      <c r="I1093" s="2"/>
      <c r="J1093" t="s">
        <v>289</v>
      </c>
      <c r="K1093">
        <v>9971</v>
      </c>
      <c r="M1093">
        <v>2261995</v>
      </c>
      <c r="N1093">
        <v>12</v>
      </c>
    </row>
    <row r="1094" spans="2:14" hidden="1" x14ac:dyDescent="0.25">
      <c r="B1094" t="s">
        <v>60</v>
      </c>
      <c r="C1094" t="str">
        <f>_xlfn.XLOOKUP(B1094,Tabla2[CODIGO],Tabla2[MATERIAL],"N/A",0)</f>
        <v>Fotocelda</v>
      </c>
      <c r="D1094">
        <v>1</v>
      </c>
      <c r="E1094" t="s">
        <v>42</v>
      </c>
      <c r="F1094" t="s">
        <v>62</v>
      </c>
      <c r="G1094" s="1">
        <v>46225</v>
      </c>
      <c r="I1094" s="2"/>
      <c r="J1094" t="s">
        <v>289</v>
      </c>
      <c r="K1094">
        <v>9971</v>
      </c>
      <c r="M1094">
        <v>2261944</v>
      </c>
      <c r="N1094">
        <v>13</v>
      </c>
    </row>
    <row r="1095" spans="2:14" hidden="1" x14ac:dyDescent="0.25">
      <c r="B1095" t="s">
        <v>60</v>
      </c>
      <c r="C1095" t="str">
        <f>_xlfn.XLOOKUP(B1095,Tabla2[CODIGO],Tabla2[MATERIAL],"N/A",0)</f>
        <v>Fotocelda</v>
      </c>
      <c r="D1095">
        <v>1</v>
      </c>
      <c r="E1095" t="s">
        <v>42</v>
      </c>
      <c r="F1095" t="s">
        <v>62</v>
      </c>
      <c r="G1095" s="1">
        <v>46225</v>
      </c>
      <c r="I1095" s="2"/>
      <c r="J1095" t="s">
        <v>289</v>
      </c>
      <c r="K1095">
        <v>9971</v>
      </c>
      <c r="M1095">
        <v>2261944</v>
      </c>
      <c r="N1095">
        <v>14</v>
      </c>
    </row>
    <row r="1096" spans="2:14" hidden="1" x14ac:dyDescent="0.25">
      <c r="B1096" t="s">
        <v>60</v>
      </c>
      <c r="C1096" t="str">
        <f>_xlfn.XLOOKUP(B1096,Tabla2[CODIGO],Tabla2[MATERIAL],"N/A",0)</f>
        <v>Fotocelda</v>
      </c>
      <c r="D1096">
        <v>1</v>
      </c>
      <c r="E1096" t="s">
        <v>42</v>
      </c>
      <c r="F1096" t="s">
        <v>62</v>
      </c>
      <c r="G1096" s="1">
        <v>46225</v>
      </c>
      <c r="I1096" s="2"/>
      <c r="J1096" t="s">
        <v>289</v>
      </c>
      <c r="K1096">
        <v>9971</v>
      </c>
      <c r="M1096">
        <v>2261855</v>
      </c>
      <c r="N1096">
        <v>15</v>
      </c>
    </row>
    <row r="1097" spans="2:14" hidden="1" x14ac:dyDescent="0.25">
      <c r="B1097" t="s">
        <v>60</v>
      </c>
      <c r="C1097" t="str">
        <f>_xlfn.XLOOKUP(B1097,Tabla2[CODIGO],Tabla2[MATERIAL],"N/A",0)</f>
        <v>Fotocelda</v>
      </c>
      <c r="D1097">
        <v>1</v>
      </c>
      <c r="E1097" t="s">
        <v>42</v>
      </c>
      <c r="F1097" t="s">
        <v>62</v>
      </c>
      <c r="G1097" s="1">
        <v>46225</v>
      </c>
      <c r="I1097" s="2"/>
      <c r="J1097" t="s">
        <v>289</v>
      </c>
      <c r="K1097">
        <v>9971</v>
      </c>
      <c r="M1097">
        <v>2261855</v>
      </c>
      <c r="N1097">
        <v>16</v>
      </c>
    </row>
    <row r="1098" spans="2:14" hidden="1" x14ac:dyDescent="0.25">
      <c r="B1098" t="s">
        <v>60</v>
      </c>
      <c r="C1098" t="str">
        <f>_xlfn.XLOOKUP(B1098,Tabla2[CODIGO],Tabla2[MATERIAL],"N/A",0)</f>
        <v>Fotocelda</v>
      </c>
      <c r="D1098">
        <v>1</v>
      </c>
      <c r="E1098" t="s">
        <v>42</v>
      </c>
      <c r="F1098" t="s">
        <v>62</v>
      </c>
      <c r="G1098" s="1">
        <v>46225</v>
      </c>
      <c r="I1098" s="2"/>
      <c r="J1098" t="s">
        <v>289</v>
      </c>
      <c r="K1098">
        <v>9971</v>
      </c>
      <c r="M1098">
        <v>2261901</v>
      </c>
      <c r="N1098">
        <v>17</v>
      </c>
    </row>
    <row r="1099" spans="2:14" hidden="1" x14ac:dyDescent="0.25">
      <c r="B1099" t="s">
        <v>60</v>
      </c>
      <c r="C1099" t="str">
        <f>_xlfn.XLOOKUP(B1099,Tabla2[CODIGO],Tabla2[MATERIAL],"N/A",0)</f>
        <v>Fotocelda</v>
      </c>
      <c r="D1099">
        <v>1</v>
      </c>
      <c r="E1099" t="s">
        <v>42</v>
      </c>
      <c r="F1099" t="s">
        <v>62</v>
      </c>
      <c r="G1099" s="1">
        <v>46225</v>
      </c>
      <c r="I1099" s="2"/>
      <c r="J1099" t="s">
        <v>289</v>
      </c>
      <c r="K1099">
        <v>9971</v>
      </c>
      <c r="M1099">
        <v>2261901</v>
      </c>
      <c r="N1099">
        <v>18</v>
      </c>
    </row>
    <row r="1100" spans="2:14" hidden="1" x14ac:dyDescent="0.25">
      <c r="B1100" t="s">
        <v>60</v>
      </c>
      <c r="C1100" t="str">
        <f>_xlfn.XLOOKUP(B1100,Tabla2[CODIGO],Tabla2[MATERIAL],"N/A",0)</f>
        <v>Fotocelda</v>
      </c>
      <c r="D1100">
        <v>1</v>
      </c>
      <c r="E1100" t="s">
        <v>42</v>
      </c>
      <c r="F1100" t="s">
        <v>62</v>
      </c>
      <c r="G1100" s="1">
        <v>46225</v>
      </c>
      <c r="I1100" s="2"/>
      <c r="J1100" t="s">
        <v>289</v>
      </c>
      <c r="K1100">
        <v>9971</v>
      </c>
      <c r="M1100">
        <v>2261901</v>
      </c>
      <c r="N1100">
        <v>19</v>
      </c>
    </row>
    <row r="1101" spans="2:14" hidden="1" x14ac:dyDescent="0.25">
      <c r="B1101" t="s">
        <v>212</v>
      </c>
      <c r="C1101" t="str">
        <f>_xlfn.XLOOKUP(B1101,Tabla2[CODIGO],Tabla2[MATERIAL],"N/A",0)</f>
        <v>Grillete galvanizado 1,1/2</v>
      </c>
      <c r="D1101">
        <v>2</v>
      </c>
      <c r="E1101" t="s">
        <v>42</v>
      </c>
      <c r="F1101" t="s">
        <v>62</v>
      </c>
      <c r="G1101" s="1">
        <v>46225</v>
      </c>
      <c r="I1101" s="2"/>
      <c r="J1101" t="s">
        <v>289</v>
      </c>
      <c r="K1101">
        <v>9971</v>
      </c>
      <c r="M1101">
        <v>2261901</v>
      </c>
      <c r="N1101">
        <v>19</v>
      </c>
    </row>
    <row r="1102" spans="2:14" hidden="1" x14ac:dyDescent="0.25">
      <c r="B1102" t="s">
        <v>261</v>
      </c>
      <c r="C1102" t="str">
        <f>_xlfn.XLOOKUP(B1102,Tabla2[CODIGO],Tabla2[MATERIAL],"N/A",0)</f>
        <v>Abrazadera sin salida 6"</v>
      </c>
      <c r="D1102">
        <v>2</v>
      </c>
      <c r="E1102" t="s">
        <v>42</v>
      </c>
      <c r="F1102" t="s">
        <v>62</v>
      </c>
      <c r="G1102" s="1">
        <v>46225</v>
      </c>
      <c r="I1102" s="2"/>
      <c r="J1102" t="s">
        <v>289</v>
      </c>
      <c r="K1102">
        <v>9971</v>
      </c>
      <c r="M1102">
        <v>2261901</v>
      </c>
      <c r="N1102">
        <v>19</v>
      </c>
    </row>
    <row r="1103" spans="2:14" hidden="1" x14ac:dyDescent="0.25">
      <c r="B1103" t="s">
        <v>54</v>
      </c>
      <c r="C1103" t="str">
        <f>_xlfn.XLOOKUP(B1103,Tabla2[CODIGO],Tabla2[MATERIAL],"N/A",0)</f>
        <v>Conector resorte 18-8</v>
      </c>
      <c r="D1103">
        <v>3</v>
      </c>
      <c r="E1103" t="s">
        <v>42</v>
      </c>
      <c r="F1103" t="s">
        <v>62</v>
      </c>
      <c r="G1103" s="1">
        <v>46225</v>
      </c>
      <c r="I1103" s="2"/>
      <c r="J1103" t="s">
        <v>289</v>
      </c>
      <c r="K1103">
        <v>9971</v>
      </c>
      <c r="M1103">
        <v>2262008</v>
      </c>
      <c r="N1103">
        <v>1</v>
      </c>
    </row>
    <row r="1104" spans="2:14" hidden="1" x14ac:dyDescent="0.25">
      <c r="B1104" t="s">
        <v>54</v>
      </c>
      <c r="C1104" t="str">
        <f>_xlfn.XLOOKUP(B1104,Tabla2[CODIGO],Tabla2[MATERIAL],"N/A",0)</f>
        <v>Conector resorte 18-8</v>
      </c>
      <c r="D1104">
        <v>3</v>
      </c>
      <c r="E1104" t="s">
        <v>42</v>
      </c>
      <c r="F1104" t="s">
        <v>62</v>
      </c>
      <c r="G1104" s="1">
        <v>46225</v>
      </c>
      <c r="I1104" s="2"/>
      <c r="J1104" t="s">
        <v>289</v>
      </c>
      <c r="K1104">
        <v>9971</v>
      </c>
      <c r="M1104">
        <v>2261723</v>
      </c>
      <c r="N1104">
        <v>3</v>
      </c>
    </row>
    <row r="1105" spans="2:14" hidden="1" x14ac:dyDescent="0.25">
      <c r="B1105" t="s">
        <v>54</v>
      </c>
      <c r="C1105" t="str">
        <f>_xlfn.XLOOKUP(B1105,Tabla2[CODIGO],Tabla2[MATERIAL],"N/A",0)</f>
        <v>Conector resorte 18-8</v>
      </c>
      <c r="D1105">
        <v>3</v>
      </c>
      <c r="E1105" t="s">
        <v>42</v>
      </c>
      <c r="F1105" t="s">
        <v>62</v>
      </c>
      <c r="G1105" s="1">
        <v>46225</v>
      </c>
      <c r="I1105" s="2"/>
      <c r="J1105" t="s">
        <v>289</v>
      </c>
      <c r="K1105">
        <v>9971</v>
      </c>
      <c r="M1105">
        <v>2261774</v>
      </c>
      <c r="N1105">
        <v>5</v>
      </c>
    </row>
    <row r="1106" spans="2:14" hidden="1" x14ac:dyDescent="0.25">
      <c r="B1106" t="s">
        <v>54</v>
      </c>
      <c r="C1106" t="str">
        <f>_xlfn.XLOOKUP(B1106,Tabla2[CODIGO],Tabla2[MATERIAL],"N/A",0)</f>
        <v>Conector resorte 18-8</v>
      </c>
      <c r="D1106">
        <v>3</v>
      </c>
      <c r="E1106" t="s">
        <v>42</v>
      </c>
      <c r="F1106" t="s">
        <v>62</v>
      </c>
      <c r="G1106" s="1">
        <v>46225</v>
      </c>
      <c r="I1106" s="2"/>
      <c r="J1106" t="s">
        <v>289</v>
      </c>
      <c r="K1106">
        <v>9971</v>
      </c>
      <c r="M1106">
        <v>2262037</v>
      </c>
      <c r="N1106">
        <v>7</v>
      </c>
    </row>
    <row r="1107" spans="2:14" hidden="1" x14ac:dyDescent="0.25">
      <c r="B1107" t="s">
        <v>54</v>
      </c>
      <c r="C1107" t="str">
        <f>_xlfn.XLOOKUP(B1107,Tabla2[CODIGO],Tabla2[MATERIAL],"N/A",0)</f>
        <v>Conector resorte 18-8</v>
      </c>
      <c r="D1107">
        <v>3</v>
      </c>
      <c r="E1107" t="s">
        <v>42</v>
      </c>
      <c r="F1107" t="s">
        <v>62</v>
      </c>
      <c r="G1107" s="1">
        <v>46225</v>
      </c>
      <c r="I1107" s="2"/>
      <c r="J1107" t="s">
        <v>289</v>
      </c>
      <c r="K1107">
        <v>9971</v>
      </c>
      <c r="M1107">
        <v>2261812</v>
      </c>
      <c r="N1107">
        <v>9</v>
      </c>
    </row>
    <row r="1108" spans="2:14" hidden="1" x14ac:dyDescent="0.25">
      <c r="B1108" t="s">
        <v>54</v>
      </c>
      <c r="C1108" t="str">
        <f>_xlfn.XLOOKUP(B1108,Tabla2[CODIGO],Tabla2[MATERIAL],"N/A",0)</f>
        <v>Conector resorte 18-8</v>
      </c>
      <c r="D1108">
        <v>3</v>
      </c>
      <c r="E1108" t="s">
        <v>42</v>
      </c>
      <c r="F1108" t="s">
        <v>62</v>
      </c>
      <c r="G1108" s="1">
        <v>46225</v>
      </c>
      <c r="I1108" s="2"/>
      <c r="J1108" t="s">
        <v>289</v>
      </c>
      <c r="K1108">
        <v>9971</v>
      </c>
      <c r="M1108">
        <v>2261995</v>
      </c>
      <c r="N1108">
        <v>11</v>
      </c>
    </row>
    <row r="1109" spans="2:14" hidden="1" x14ac:dyDescent="0.25">
      <c r="B1109" t="s">
        <v>54</v>
      </c>
      <c r="C1109" t="str">
        <f>_xlfn.XLOOKUP(B1109,Tabla2[CODIGO],Tabla2[MATERIAL],"N/A",0)</f>
        <v>Conector resorte 18-8</v>
      </c>
      <c r="D1109">
        <v>3</v>
      </c>
      <c r="E1109" t="s">
        <v>42</v>
      </c>
      <c r="F1109" t="s">
        <v>62</v>
      </c>
      <c r="G1109" s="1">
        <v>46225</v>
      </c>
      <c r="I1109" s="2"/>
      <c r="J1109" t="s">
        <v>289</v>
      </c>
      <c r="K1109">
        <v>9971</v>
      </c>
      <c r="M1109">
        <v>2261944</v>
      </c>
      <c r="N1109">
        <v>13</v>
      </c>
    </row>
    <row r="1110" spans="2:14" hidden="1" x14ac:dyDescent="0.25">
      <c r="B1110" t="s">
        <v>54</v>
      </c>
      <c r="C1110" t="str">
        <f>_xlfn.XLOOKUP(B1110,Tabla2[CODIGO],Tabla2[MATERIAL],"N/A",0)</f>
        <v>Conector resorte 18-8</v>
      </c>
      <c r="D1110">
        <v>3</v>
      </c>
      <c r="E1110" t="s">
        <v>42</v>
      </c>
      <c r="F1110" t="s">
        <v>62</v>
      </c>
      <c r="G1110" s="1">
        <v>46225</v>
      </c>
      <c r="I1110" s="2"/>
      <c r="J1110" t="s">
        <v>289</v>
      </c>
      <c r="K1110">
        <v>9971</v>
      </c>
      <c r="M1110">
        <v>2261855</v>
      </c>
      <c r="N1110">
        <v>15</v>
      </c>
    </row>
    <row r="1111" spans="2:14" hidden="1" x14ac:dyDescent="0.25">
      <c r="B1111" t="s">
        <v>54</v>
      </c>
      <c r="C1111" t="str">
        <f>_xlfn.XLOOKUP(B1111,Tabla2[CODIGO],Tabla2[MATERIAL],"N/A",0)</f>
        <v>Conector resorte 18-8</v>
      </c>
      <c r="D1111">
        <v>3</v>
      </c>
      <c r="E1111" t="s">
        <v>42</v>
      </c>
      <c r="F1111" t="s">
        <v>62</v>
      </c>
      <c r="G1111" s="1">
        <v>46225</v>
      </c>
      <c r="I1111" s="2"/>
      <c r="J1111" t="s">
        <v>289</v>
      </c>
      <c r="K1111">
        <v>9971</v>
      </c>
      <c r="M1111">
        <v>2261901</v>
      </c>
      <c r="N1111">
        <v>19</v>
      </c>
    </row>
    <row r="1112" spans="2:14" hidden="1" x14ac:dyDescent="0.25">
      <c r="B1112" t="s">
        <v>76</v>
      </c>
      <c r="C1112" t="str">
        <f>_xlfn.XLOOKUP(B1112,Tabla2[CODIGO],Tabla2[MATERIAL],"N/A",0)</f>
        <v>Empalme gel ppal 8-4/0 a der 14-2/0 awg (grande)</v>
      </c>
      <c r="D1112">
        <v>2</v>
      </c>
      <c r="E1112" t="s">
        <v>42</v>
      </c>
      <c r="F1112" t="s">
        <v>62</v>
      </c>
      <c r="G1112" s="1">
        <v>46225</v>
      </c>
      <c r="I1112" s="2"/>
      <c r="J1112" t="s">
        <v>289</v>
      </c>
      <c r="K1112">
        <v>9971</v>
      </c>
      <c r="M1112">
        <v>2262008</v>
      </c>
      <c r="N1112">
        <v>1</v>
      </c>
    </row>
    <row r="1113" spans="2:14" hidden="1" x14ac:dyDescent="0.25">
      <c r="B1113" t="s">
        <v>76</v>
      </c>
      <c r="C1113" t="str">
        <f>_xlfn.XLOOKUP(B1113,Tabla2[CODIGO],Tabla2[MATERIAL],"N/A",0)</f>
        <v>Empalme gel ppal 8-4/0 a der 14-2/0 awg (grande)</v>
      </c>
      <c r="D1113">
        <v>2</v>
      </c>
      <c r="E1113" t="s">
        <v>42</v>
      </c>
      <c r="F1113" t="s">
        <v>62</v>
      </c>
      <c r="G1113" s="1">
        <v>46225</v>
      </c>
      <c r="I1113" s="2"/>
      <c r="J1113" t="s">
        <v>289</v>
      </c>
      <c r="K1113">
        <v>9971</v>
      </c>
      <c r="M1113">
        <v>2261723</v>
      </c>
      <c r="N1113">
        <v>3</v>
      </c>
    </row>
    <row r="1114" spans="2:14" hidden="1" x14ac:dyDescent="0.25">
      <c r="B1114" t="s">
        <v>76</v>
      </c>
      <c r="C1114" t="str">
        <f>_xlfn.XLOOKUP(B1114,Tabla2[CODIGO],Tabla2[MATERIAL],"N/A",0)</f>
        <v>Empalme gel ppal 8-4/0 a der 14-2/0 awg (grande)</v>
      </c>
      <c r="D1114">
        <v>2</v>
      </c>
      <c r="E1114" t="s">
        <v>42</v>
      </c>
      <c r="F1114" t="s">
        <v>62</v>
      </c>
      <c r="G1114" s="1">
        <v>46225</v>
      </c>
      <c r="I1114" s="2"/>
      <c r="J1114" t="s">
        <v>289</v>
      </c>
      <c r="K1114">
        <v>9971</v>
      </c>
      <c r="M1114">
        <v>2261774</v>
      </c>
      <c r="N1114">
        <v>5</v>
      </c>
    </row>
    <row r="1115" spans="2:14" hidden="1" x14ac:dyDescent="0.25">
      <c r="B1115" t="s">
        <v>76</v>
      </c>
      <c r="C1115" t="str">
        <f>_xlfn.XLOOKUP(B1115,Tabla2[CODIGO],Tabla2[MATERIAL],"N/A",0)</f>
        <v>Empalme gel ppal 8-4/0 a der 14-2/0 awg (grande)</v>
      </c>
      <c r="D1115">
        <v>2</v>
      </c>
      <c r="E1115" t="s">
        <v>42</v>
      </c>
      <c r="F1115" t="s">
        <v>62</v>
      </c>
      <c r="G1115" s="1">
        <v>46225</v>
      </c>
      <c r="I1115" s="2"/>
      <c r="J1115" t="s">
        <v>289</v>
      </c>
      <c r="K1115">
        <v>9971</v>
      </c>
      <c r="M1115">
        <v>2262037</v>
      </c>
      <c r="N1115">
        <v>7</v>
      </c>
    </row>
    <row r="1116" spans="2:14" hidden="1" x14ac:dyDescent="0.25">
      <c r="B1116" t="s">
        <v>76</v>
      </c>
      <c r="C1116" t="str">
        <f>_xlfn.XLOOKUP(B1116,Tabla2[CODIGO],Tabla2[MATERIAL],"N/A",0)</f>
        <v>Empalme gel ppal 8-4/0 a der 14-2/0 awg (grande)</v>
      </c>
      <c r="D1116">
        <v>2</v>
      </c>
      <c r="E1116" t="s">
        <v>42</v>
      </c>
      <c r="F1116" t="s">
        <v>62</v>
      </c>
      <c r="G1116" s="1">
        <v>46225</v>
      </c>
      <c r="I1116" s="2"/>
      <c r="J1116" t="s">
        <v>289</v>
      </c>
      <c r="K1116">
        <v>9971</v>
      </c>
      <c r="M1116">
        <v>2261812</v>
      </c>
      <c r="N1116">
        <v>9</v>
      </c>
    </row>
    <row r="1117" spans="2:14" hidden="1" x14ac:dyDescent="0.25">
      <c r="B1117" t="s">
        <v>76</v>
      </c>
      <c r="C1117" t="str">
        <f>_xlfn.XLOOKUP(B1117,Tabla2[CODIGO],Tabla2[MATERIAL],"N/A",0)</f>
        <v>Empalme gel ppal 8-4/0 a der 14-2/0 awg (grande)</v>
      </c>
      <c r="D1117">
        <v>2</v>
      </c>
      <c r="E1117" t="s">
        <v>42</v>
      </c>
      <c r="F1117" t="s">
        <v>62</v>
      </c>
      <c r="G1117" s="1">
        <v>46225</v>
      </c>
      <c r="I1117" s="2"/>
      <c r="J1117" t="s">
        <v>289</v>
      </c>
      <c r="K1117">
        <v>9971</v>
      </c>
      <c r="M1117">
        <v>2261995</v>
      </c>
      <c r="N1117">
        <v>11</v>
      </c>
    </row>
    <row r="1118" spans="2:14" hidden="1" x14ac:dyDescent="0.25">
      <c r="B1118" t="s">
        <v>76</v>
      </c>
      <c r="C1118" t="str">
        <f>_xlfn.XLOOKUP(B1118,Tabla2[CODIGO],Tabla2[MATERIAL],"N/A",0)</f>
        <v>Empalme gel ppal 8-4/0 a der 14-2/0 awg (grande)</v>
      </c>
      <c r="D1118">
        <v>2</v>
      </c>
      <c r="E1118" t="s">
        <v>42</v>
      </c>
      <c r="F1118" t="s">
        <v>62</v>
      </c>
      <c r="G1118" s="1">
        <v>46225</v>
      </c>
      <c r="I1118" s="2"/>
      <c r="J1118" t="s">
        <v>289</v>
      </c>
      <c r="K1118">
        <v>9971</v>
      </c>
      <c r="M1118">
        <v>2261944</v>
      </c>
      <c r="N1118">
        <v>13</v>
      </c>
    </row>
    <row r="1119" spans="2:14" hidden="1" x14ac:dyDescent="0.25">
      <c r="B1119" t="s">
        <v>76</v>
      </c>
      <c r="C1119" t="str">
        <f>_xlfn.XLOOKUP(B1119,Tabla2[CODIGO],Tabla2[MATERIAL],"N/A",0)</f>
        <v>Empalme gel ppal 8-4/0 a der 14-2/0 awg (grande)</v>
      </c>
      <c r="D1119">
        <v>2</v>
      </c>
      <c r="E1119" t="s">
        <v>42</v>
      </c>
      <c r="F1119" t="s">
        <v>62</v>
      </c>
      <c r="G1119" s="1">
        <v>46225</v>
      </c>
      <c r="I1119" s="2"/>
      <c r="J1119" t="s">
        <v>289</v>
      </c>
      <c r="K1119">
        <v>9971</v>
      </c>
      <c r="M1119">
        <v>2261855</v>
      </c>
      <c r="N1119">
        <v>15</v>
      </c>
    </row>
    <row r="1120" spans="2:14" hidden="1" x14ac:dyDescent="0.25">
      <c r="B1120" t="s">
        <v>76</v>
      </c>
      <c r="C1120" t="str">
        <f>_xlfn.XLOOKUP(B1120,Tabla2[CODIGO],Tabla2[MATERIAL],"N/A",0)</f>
        <v>Empalme gel ppal 8-4/0 a der 14-2/0 awg (grande)</v>
      </c>
      <c r="D1120">
        <v>2</v>
      </c>
      <c r="E1120" t="s">
        <v>42</v>
      </c>
      <c r="F1120" t="s">
        <v>62</v>
      </c>
      <c r="G1120" s="1">
        <v>46225</v>
      </c>
      <c r="I1120" s="2"/>
      <c r="J1120" t="s">
        <v>289</v>
      </c>
      <c r="K1120">
        <v>9971</v>
      </c>
      <c r="M1120">
        <v>2261901</v>
      </c>
      <c r="N1120">
        <v>19</v>
      </c>
    </row>
    <row r="1121" spans="2:14" hidden="1" x14ac:dyDescent="0.25">
      <c r="B1121" t="s">
        <v>21</v>
      </c>
      <c r="C1121" t="str">
        <f>_xlfn.XLOOKUP(B1121,Tabla2[CODIGO],Tabla2[MATERIAL],"N/A",0)</f>
        <v>Cable Encauchetado 3x14 pvc</v>
      </c>
      <c r="D1121">
        <v>12</v>
      </c>
      <c r="E1121" t="s">
        <v>43</v>
      </c>
      <c r="F1121" t="s">
        <v>62</v>
      </c>
      <c r="G1121" s="1">
        <v>46225</v>
      </c>
      <c r="I1121" s="2"/>
      <c r="J1121" t="s">
        <v>289</v>
      </c>
      <c r="K1121">
        <v>9971</v>
      </c>
      <c r="M1121">
        <v>2262008</v>
      </c>
      <c r="N1121">
        <v>1</v>
      </c>
    </row>
    <row r="1122" spans="2:14" hidden="1" x14ac:dyDescent="0.25">
      <c r="B1122" t="s">
        <v>21</v>
      </c>
      <c r="C1122" t="str">
        <f>_xlfn.XLOOKUP(B1122,Tabla2[CODIGO],Tabla2[MATERIAL],"N/A",0)</f>
        <v>Cable Encauchetado 3x14 pvc</v>
      </c>
      <c r="D1122">
        <v>12</v>
      </c>
      <c r="E1122" t="s">
        <v>43</v>
      </c>
      <c r="F1122" t="s">
        <v>62</v>
      </c>
      <c r="G1122" s="1">
        <v>46225</v>
      </c>
      <c r="I1122" s="2"/>
      <c r="J1122" t="s">
        <v>289</v>
      </c>
      <c r="K1122">
        <v>9971</v>
      </c>
      <c r="M1122">
        <v>2261723</v>
      </c>
      <c r="N1122">
        <v>3</v>
      </c>
    </row>
    <row r="1123" spans="2:14" hidden="1" x14ac:dyDescent="0.25">
      <c r="B1123" t="s">
        <v>21</v>
      </c>
      <c r="C1123" t="str">
        <f>_xlfn.XLOOKUP(B1123,Tabla2[CODIGO],Tabla2[MATERIAL],"N/A",0)</f>
        <v>Cable Encauchetado 3x14 pvc</v>
      </c>
      <c r="D1123">
        <v>12</v>
      </c>
      <c r="E1123" t="s">
        <v>43</v>
      </c>
      <c r="F1123" t="s">
        <v>62</v>
      </c>
      <c r="G1123" s="1">
        <v>46225</v>
      </c>
      <c r="I1123" s="2"/>
      <c r="J1123" t="s">
        <v>289</v>
      </c>
      <c r="K1123">
        <v>9971</v>
      </c>
      <c r="M1123">
        <v>2261774</v>
      </c>
      <c r="N1123">
        <v>5</v>
      </c>
    </row>
    <row r="1124" spans="2:14" hidden="1" x14ac:dyDescent="0.25">
      <c r="B1124" t="s">
        <v>21</v>
      </c>
      <c r="C1124" t="str">
        <f>_xlfn.XLOOKUP(B1124,Tabla2[CODIGO],Tabla2[MATERIAL],"N/A",0)</f>
        <v>Cable Encauchetado 3x14 pvc</v>
      </c>
      <c r="D1124">
        <v>12</v>
      </c>
      <c r="E1124" t="s">
        <v>43</v>
      </c>
      <c r="F1124" t="s">
        <v>62</v>
      </c>
      <c r="G1124" s="1">
        <v>46225</v>
      </c>
      <c r="I1124" s="2"/>
      <c r="J1124" t="s">
        <v>289</v>
      </c>
      <c r="K1124">
        <v>9971</v>
      </c>
      <c r="M1124">
        <v>2262037</v>
      </c>
      <c r="N1124">
        <v>7</v>
      </c>
    </row>
    <row r="1125" spans="2:14" hidden="1" x14ac:dyDescent="0.25">
      <c r="B1125" t="s">
        <v>21</v>
      </c>
      <c r="C1125" t="str">
        <f>_xlfn.XLOOKUP(B1125,Tabla2[CODIGO],Tabla2[MATERIAL],"N/A",0)</f>
        <v>Cable Encauchetado 3x14 pvc</v>
      </c>
      <c r="D1125">
        <v>12</v>
      </c>
      <c r="E1125" t="s">
        <v>43</v>
      </c>
      <c r="F1125" t="s">
        <v>62</v>
      </c>
      <c r="G1125" s="1">
        <v>46225</v>
      </c>
      <c r="I1125" s="2"/>
      <c r="J1125" t="s">
        <v>289</v>
      </c>
      <c r="K1125">
        <v>9971</v>
      </c>
      <c r="M1125">
        <v>2261812</v>
      </c>
      <c r="N1125">
        <v>9</v>
      </c>
    </row>
    <row r="1126" spans="2:14" hidden="1" x14ac:dyDescent="0.25">
      <c r="B1126" t="s">
        <v>21</v>
      </c>
      <c r="C1126" t="str">
        <f>_xlfn.XLOOKUP(B1126,Tabla2[CODIGO],Tabla2[MATERIAL],"N/A",0)</f>
        <v>Cable Encauchetado 3x14 pvc</v>
      </c>
      <c r="D1126">
        <v>12</v>
      </c>
      <c r="E1126" t="s">
        <v>43</v>
      </c>
      <c r="F1126" t="s">
        <v>62</v>
      </c>
      <c r="G1126" s="1">
        <v>46225</v>
      </c>
      <c r="I1126" s="2"/>
      <c r="J1126" t="s">
        <v>289</v>
      </c>
      <c r="K1126">
        <v>9971</v>
      </c>
      <c r="M1126">
        <v>2261995</v>
      </c>
      <c r="N1126">
        <v>11</v>
      </c>
    </row>
    <row r="1127" spans="2:14" hidden="1" x14ac:dyDescent="0.25">
      <c r="B1127" t="s">
        <v>21</v>
      </c>
      <c r="C1127" t="str">
        <f>_xlfn.XLOOKUP(B1127,Tabla2[CODIGO],Tabla2[MATERIAL],"N/A",0)</f>
        <v>Cable Encauchetado 3x14 pvc</v>
      </c>
      <c r="D1127">
        <v>12</v>
      </c>
      <c r="E1127" t="s">
        <v>43</v>
      </c>
      <c r="F1127" t="s">
        <v>62</v>
      </c>
      <c r="G1127" s="1">
        <v>46225</v>
      </c>
      <c r="I1127" s="2"/>
      <c r="J1127" t="s">
        <v>289</v>
      </c>
      <c r="K1127">
        <v>9971</v>
      </c>
      <c r="M1127">
        <v>2261944</v>
      </c>
      <c r="N1127">
        <v>13</v>
      </c>
    </row>
    <row r="1128" spans="2:14" hidden="1" x14ac:dyDescent="0.25">
      <c r="B1128" t="s">
        <v>21</v>
      </c>
      <c r="C1128" t="str">
        <f>_xlfn.XLOOKUP(B1128,Tabla2[CODIGO],Tabla2[MATERIAL],"N/A",0)</f>
        <v>Cable Encauchetado 3x14 pvc</v>
      </c>
      <c r="D1128">
        <v>12</v>
      </c>
      <c r="E1128" t="s">
        <v>43</v>
      </c>
      <c r="F1128" t="s">
        <v>62</v>
      </c>
      <c r="G1128" s="1">
        <v>46225</v>
      </c>
      <c r="I1128" s="2"/>
      <c r="J1128" t="s">
        <v>289</v>
      </c>
      <c r="K1128">
        <v>9971</v>
      </c>
      <c r="M1128">
        <v>2261855</v>
      </c>
      <c r="N1128">
        <v>15</v>
      </c>
    </row>
    <row r="1129" spans="2:14" hidden="1" x14ac:dyDescent="0.25">
      <c r="B1129" t="s">
        <v>21</v>
      </c>
      <c r="C1129" t="str">
        <f>_xlfn.XLOOKUP(B1129,Tabla2[CODIGO],Tabla2[MATERIAL],"N/A",0)</f>
        <v>Cable Encauchetado 3x14 pvc</v>
      </c>
      <c r="D1129">
        <v>12</v>
      </c>
      <c r="E1129" t="s">
        <v>43</v>
      </c>
      <c r="F1129" t="s">
        <v>62</v>
      </c>
      <c r="G1129" s="1">
        <v>46225</v>
      </c>
      <c r="I1129" s="2"/>
      <c r="J1129" t="s">
        <v>289</v>
      </c>
      <c r="K1129">
        <v>9971</v>
      </c>
      <c r="M1129">
        <v>2261901</v>
      </c>
      <c r="N1129">
        <v>19</v>
      </c>
    </row>
    <row r="1130" spans="2:14" hidden="1" x14ac:dyDescent="0.25">
      <c r="B1130" t="s">
        <v>198</v>
      </c>
      <c r="C1130" t="str">
        <f>_xlfn.XLOOKUP(B1130,Tabla2[CODIGO],Tabla2[MATERIAL],"N/A",0)</f>
        <v>Varilla cooperweld 2,4m</v>
      </c>
      <c r="D1130">
        <v>1</v>
      </c>
      <c r="E1130" t="s">
        <v>42</v>
      </c>
      <c r="F1130" t="s">
        <v>62</v>
      </c>
      <c r="G1130" s="1">
        <v>46225</v>
      </c>
      <c r="I1130" s="2"/>
      <c r="J1130" t="s">
        <v>289</v>
      </c>
      <c r="K1130">
        <v>9971</v>
      </c>
      <c r="M1130">
        <v>2262008</v>
      </c>
      <c r="N1130">
        <v>1</v>
      </c>
    </row>
    <row r="1131" spans="2:14" hidden="1" x14ac:dyDescent="0.25">
      <c r="B1131" t="s">
        <v>198</v>
      </c>
      <c r="C1131" t="str">
        <f>_xlfn.XLOOKUP(B1131,Tabla2[CODIGO],Tabla2[MATERIAL],"N/A",0)</f>
        <v>Varilla cooperweld 2,4m</v>
      </c>
      <c r="D1131">
        <v>1</v>
      </c>
      <c r="E1131" t="s">
        <v>42</v>
      </c>
      <c r="F1131" t="s">
        <v>62</v>
      </c>
      <c r="G1131" s="1">
        <v>46225</v>
      </c>
      <c r="I1131" s="2"/>
      <c r="J1131" t="s">
        <v>289</v>
      </c>
      <c r="K1131">
        <v>9971</v>
      </c>
      <c r="M1131">
        <v>2261723</v>
      </c>
      <c r="N1131">
        <v>3</v>
      </c>
    </row>
    <row r="1132" spans="2:14" hidden="1" x14ac:dyDescent="0.25">
      <c r="B1132" t="s">
        <v>198</v>
      </c>
      <c r="C1132" t="str">
        <f>_xlfn.XLOOKUP(B1132,Tabla2[CODIGO],Tabla2[MATERIAL],"N/A",0)</f>
        <v>Varilla cooperweld 2,4m</v>
      </c>
      <c r="D1132">
        <v>1</v>
      </c>
      <c r="E1132" t="s">
        <v>42</v>
      </c>
      <c r="F1132" t="s">
        <v>62</v>
      </c>
      <c r="G1132" s="1">
        <v>46225</v>
      </c>
      <c r="I1132" s="2"/>
      <c r="J1132" t="s">
        <v>289</v>
      </c>
      <c r="K1132">
        <v>9971</v>
      </c>
      <c r="M1132">
        <v>2261774</v>
      </c>
      <c r="N1132">
        <v>5</v>
      </c>
    </row>
    <row r="1133" spans="2:14" hidden="1" x14ac:dyDescent="0.25">
      <c r="B1133" t="s">
        <v>198</v>
      </c>
      <c r="C1133" t="str">
        <f>_xlfn.XLOOKUP(B1133,Tabla2[CODIGO],Tabla2[MATERIAL],"N/A",0)</f>
        <v>Varilla cooperweld 2,4m</v>
      </c>
      <c r="D1133">
        <v>1</v>
      </c>
      <c r="E1133" t="s">
        <v>42</v>
      </c>
      <c r="F1133" t="s">
        <v>62</v>
      </c>
      <c r="G1133" s="1">
        <v>46225</v>
      </c>
      <c r="I1133" s="2"/>
      <c r="J1133" t="s">
        <v>289</v>
      </c>
      <c r="K1133">
        <v>9971</v>
      </c>
      <c r="M1133">
        <v>2262037</v>
      </c>
      <c r="N1133">
        <v>7</v>
      </c>
    </row>
    <row r="1134" spans="2:14" hidden="1" x14ac:dyDescent="0.25">
      <c r="B1134" t="s">
        <v>198</v>
      </c>
      <c r="C1134" t="str">
        <f>_xlfn.XLOOKUP(B1134,Tabla2[CODIGO],Tabla2[MATERIAL],"N/A",0)</f>
        <v>Varilla cooperweld 2,4m</v>
      </c>
      <c r="D1134">
        <v>1</v>
      </c>
      <c r="E1134" t="s">
        <v>42</v>
      </c>
      <c r="F1134" t="s">
        <v>62</v>
      </c>
      <c r="G1134" s="1">
        <v>46225</v>
      </c>
      <c r="I1134" s="2"/>
      <c r="J1134" t="s">
        <v>289</v>
      </c>
      <c r="K1134">
        <v>9971</v>
      </c>
      <c r="M1134">
        <v>2261812</v>
      </c>
      <c r="N1134">
        <v>9</v>
      </c>
    </row>
    <row r="1135" spans="2:14" hidden="1" x14ac:dyDescent="0.25">
      <c r="B1135" t="s">
        <v>198</v>
      </c>
      <c r="C1135" t="str">
        <f>_xlfn.XLOOKUP(B1135,Tabla2[CODIGO],Tabla2[MATERIAL],"N/A",0)</f>
        <v>Varilla cooperweld 2,4m</v>
      </c>
      <c r="D1135">
        <v>1</v>
      </c>
      <c r="E1135" t="s">
        <v>42</v>
      </c>
      <c r="F1135" t="s">
        <v>62</v>
      </c>
      <c r="G1135" s="1">
        <v>46225</v>
      </c>
      <c r="I1135" s="2"/>
      <c r="J1135" t="s">
        <v>289</v>
      </c>
      <c r="K1135">
        <v>9971</v>
      </c>
      <c r="M1135">
        <v>2261995</v>
      </c>
      <c r="N1135">
        <v>11</v>
      </c>
    </row>
    <row r="1136" spans="2:14" hidden="1" x14ac:dyDescent="0.25">
      <c r="B1136" t="s">
        <v>198</v>
      </c>
      <c r="C1136" t="str">
        <f>_xlfn.XLOOKUP(B1136,Tabla2[CODIGO],Tabla2[MATERIAL],"N/A",0)</f>
        <v>Varilla cooperweld 2,4m</v>
      </c>
      <c r="D1136">
        <v>1</v>
      </c>
      <c r="E1136" t="s">
        <v>42</v>
      </c>
      <c r="F1136" t="s">
        <v>62</v>
      </c>
      <c r="G1136" s="1">
        <v>46225</v>
      </c>
      <c r="I1136" s="2"/>
      <c r="J1136" t="s">
        <v>289</v>
      </c>
      <c r="K1136">
        <v>9971</v>
      </c>
      <c r="M1136">
        <v>2261944</v>
      </c>
      <c r="N1136">
        <v>13</v>
      </c>
    </row>
    <row r="1137" spans="2:14" hidden="1" x14ac:dyDescent="0.25">
      <c r="B1137" t="s">
        <v>198</v>
      </c>
      <c r="C1137" t="str">
        <f>_xlfn.XLOOKUP(B1137,Tabla2[CODIGO],Tabla2[MATERIAL],"N/A",0)</f>
        <v>Varilla cooperweld 2,4m</v>
      </c>
      <c r="D1137">
        <v>1</v>
      </c>
      <c r="E1137" t="s">
        <v>42</v>
      </c>
      <c r="F1137" t="s">
        <v>62</v>
      </c>
      <c r="G1137" s="1">
        <v>46225</v>
      </c>
      <c r="I1137" s="2"/>
      <c r="J1137" t="s">
        <v>289</v>
      </c>
      <c r="K1137">
        <v>9971</v>
      </c>
      <c r="M1137">
        <v>2261855</v>
      </c>
      <c r="N1137">
        <v>15</v>
      </c>
    </row>
    <row r="1138" spans="2:14" hidden="1" x14ac:dyDescent="0.25">
      <c r="B1138" t="s">
        <v>198</v>
      </c>
      <c r="C1138" t="str">
        <f>_xlfn.XLOOKUP(B1138,Tabla2[CODIGO],Tabla2[MATERIAL],"N/A",0)</f>
        <v>Varilla cooperweld 2,4m</v>
      </c>
      <c r="D1138">
        <v>1</v>
      </c>
      <c r="E1138" t="s">
        <v>42</v>
      </c>
      <c r="F1138" t="s">
        <v>62</v>
      </c>
      <c r="G1138" s="1">
        <v>46225</v>
      </c>
      <c r="I1138" s="2"/>
      <c r="J1138" t="s">
        <v>289</v>
      </c>
      <c r="K1138">
        <v>9971</v>
      </c>
      <c r="M1138">
        <v>2261901</v>
      </c>
      <c r="N1138">
        <v>19</v>
      </c>
    </row>
    <row r="1139" spans="2:14" hidden="1" x14ac:dyDescent="0.25">
      <c r="B1139" t="s">
        <v>210</v>
      </c>
      <c r="C1139" t="str">
        <f>_xlfn.XLOOKUP(B1139,Tabla2[CODIGO],Tabla2[MATERIAL],"N/A",0)</f>
        <v>Conector Varilla cooperw.</v>
      </c>
      <c r="D1139">
        <v>1</v>
      </c>
      <c r="E1139" t="s">
        <v>42</v>
      </c>
      <c r="F1139" t="s">
        <v>62</v>
      </c>
      <c r="G1139" s="1">
        <v>46225</v>
      </c>
      <c r="I1139" s="2"/>
      <c r="J1139" t="s">
        <v>289</v>
      </c>
      <c r="K1139">
        <v>9971</v>
      </c>
      <c r="M1139">
        <v>2262008</v>
      </c>
      <c r="N1139">
        <v>1</v>
      </c>
    </row>
    <row r="1140" spans="2:14" hidden="1" x14ac:dyDescent="0.25">
      <c r="B1140" t="s">
        <v>210</v>
      </c>
      <c r="C1140" t="str">
        <f>_xlfn.XLOOKUP(B1140,Tabla2[CODIGO],Tabla2[MATERIAL],"N/A",0)</f>
        <v>Conector Varilla cooperw.</v>
      </c>
      <c r="D1140">
        <v>1</v>
      </c>
      <c r="E1140" t="s">
        <v>42</v>
      </c>
      <c r="F1140" t="s">
        <v>62</v>
      </c>
      <c r="G1140" s="1">
        <v>46225</v>
      </c>
      <c r="I1140" s="2"/>
      <c r="J1140" t="s">
        <v>289</v>
      </c>
      <c r="K1140">
        <v>9971</v>
      </c>
      <c r="M1140">
        <v>2261723</v>
      </c>
      <c r="N1140">
        <v>3</v>
      </c>
    </row>
    <row r="1141" spans="2:14" hidden="1" x14ac:dyDescent="0.25">
      <c r="B1141" t="s">
        <v>210</v>
      </c>
      <c r="C1141" t="str">
        <f>_xlfn.XLOOKUP(B1141,Tabla2[CODIGO],Tabla2[MATERIAL],"N/A",0)</f>
        <v>Conector Varilla cooperw.</v>
      </c>
      <c r="D1141">
        <v>1</v>
      </c>
      <c r="E1141" t="s">
        <v>42</v>
      </c>
      <c r="F1141" t="s">
        <v>62</v>
      </c>
      <c r="G1141" s="1">
        <v>46225</v>
      </c>
      <c r="I1141" s="2"/>
      <c r="J1141" t="s">
        <v>289</v>
      </c>
      <c r="K1141">
        <v>9971</v>
      </c>
      <c r="M1141">
        <v>2261774</v>
      </c>
      <c r="N1141">
        <v>5</v>
      </c>
    </row>
    <row r="1142" spans="2:14" hidden="1" x14ac:dyDescent="0.25">
      <c r="B1142" t="s">
        <v>210</v>
      </c>
      <c r="C1142" t="str">
        <f>_xlfn.XLOOKUP(B1142,Tabla2[CODIGO],Tabla2[MATERIAL],"N/A",0)</f>
        <v>Conector Varilla cooperw.</v>
      </c>
      <c r="D1142">
        <v>1</v>
      </c>
      <c r="E1142" t="s">
        <v>42</v>
      </c>
      <c r="F1142" t="s">
        <v>62</v>
      </c>
      <c r="G1142" s="1">
        <v>46225</v>
      </c>
      <c r="I1142" s="2"/>
      <c r="J1142" t="s">
        <v>289</v>
      </c>
      <c r="K1142">
        <v>9971</v>
      </c>
      <c r="M1142">
        <v>2262037</v>
      </c>
      <c r="N1142">
        <v>7</v>
      </c>
    </row>
    <row r="1143" spans="2:14" hidden="1" x14ac:dyDescent="0.25">
      <c r="B1143" t="s">
        <v>210</v>
      </c>
      <c r="C1143" t="str">
        <f>_xlfn.XLOOKUP(B1143,Tabla2[CODIGO],Tabla2[MATERIAL],"N/A",0)</f>
        <v>Conector Varilla cooperw.</v>
      </c>
      <c r="D1143">
        <v>1</v>
      </c>
      <c r="E1143" t="s">
        <v>42</v>
      </c>
      <c r="F1143" t="s">
        <v>62</v>
      </c>
      <c r="G1143" s="1">
        <v>46225</v>
      </c>
      <c r="I1143" s="2"/>
      <c r="J1143" t="s">
        <v>289</v>
      </c>
      <c r="K1143">
        <v>9971</v>
      </c>
      <c r="M1143">
        <v>2261812</v>
      </c>
      <c r="N1143">
        <v>9</v>
      </c>
    </row>
    <row r="1144" spans="2:14" hidden="1" x14ac:dyDescent="0.25">
      <c r="B1144" t="s">
        <v>210</v>
      </c>
      <c r="C1144" t="str">
        <f>_xlfn.XLOOKUP(B1144,Tabla2[CODIGO],Tabla2[MATERIAL],"N/A",0)</f>
        <v>Conector Varilla cooperw.</v>
      </c>
      <c r="D1144">
        <v>1</v>
      </c>
      <c r="E1144" t="s">
        <v>42</v>
      </c>
      <c r="F1144" t="s">
        <v>62</v>
      </c>
      <c r="G1144" s="1">
        <v>46225</v>
      </c>
      <c r="I1144" s="2"/>
      <c r="J1144" t="s">
        <v>289</v>
      </c>
      <c r="K1144">
        <v>9971</v>
      </c>
      <c r="M1144">
        <v>2261995</v>
      </c>
      <c r="N1144">
        <v>11</v>
      </c>
    </row>
    <row r="1145" spans="2:14" hidden="1" x14ac:dyDescent="0.25">
      <c r="B1145" t="s">
        <v>210</v>
      </c>
      <c r="C1145" t="str">
        <f>_xlfn.XLOOKUP(B1145,Tabla2[CODIGO],Tabla2[MATERIAL],"N/A",0)</f>
        <v>Conector Varilla cooperw.</v>
      </c>
      <c r="D1145">
        <v>1</v>
      </c>
      <c r="E1145" t="s">
        <v>42</v>
      </c>
      <c r="F1145" t="s">
        <v>62</v>
      </c>
      <c r="G1145" s="1">
        <v>46225</v>
      </c>
      <c r="I1145" s="2"/>
      <c r="J1145" t="s">
        <v>289</v>
      </c>
      <c r="K1145">
        <v>9971</v>
      </c>
      <c r="M1145">
        <v>2261944</v>
      </c>
      <c r="N1145">
        <v>13</v>
      </c>
    </row>
    <row r="1146" spans="2:14" hidden="1" x14ac:dyDescent="0.25">
      <c r="B1146" t="s">
        <v>210</v>
      </c>
      <c r="C1146" t="str">
        <f>_xlfn.XLOOKUP(B1146,Tabla2[CODIGO],Tabla2[MATERIAL],"N/A",0)</f>
        <v>Conector Varilla cooperw.</v>
      </c>
      <c r="D1146">
        <v>1</v>
      </c>
      <c r="E1146" t="s">
        <v>42</v>
      </c>
      <c r="F1146" t="s">
        <v>62</v>
      </c>
      <c r="G1146" s="1">
        <v>46225</v>
      </c>
      <c r="I1146" s="2"/>
      <c r="J1146" t="s">
        <v>289</v>
      </c>
      <c r="K1146">
        <v>9971</v>
      </c>
      <c r="M1146">
        <v>2261855</v>
      </c>
      <c r="N1146">
        <v>15</v>
      </c>
    </row>
    <row r="1147" spans="2:14" hidden="1" x14ac:dyDescent="0.25">
      <c r="B1147" t="s">
        <v>210</v>
      </c>
      <c r="C1147" t="str">
        <f>_xlfn.XLOOKUP(B1147,Tabla2[CODIGO],Tabla2[MATERIAL],"N/A",0)</f>
        <v>Conector Varilla cooperw.</v>
      </c>
      <c r="D1147">
        <v>1</v>
      </c>
      <c r="E1147" t="s">
        <v>42</v>
      </c>
      <c r="F1147" t="s">
        <v>62</v>
      </c>
      <c r="G1147" s="1">
        <v>46225</v>
      </c>
      <c r="I1147" s="2"/>
      <c r="J1147" t="s">
        <v>289</v>
      </c>
      <c r="K1147">
        <v>9971</v>
      </c>
      <c r="M1147">
        <v>2261901</v>
      </c>
      <c r="N1147">
        <v>19</v>
      </c>
    </row>
    <row r="1148" spans="2:14" hidden="1" x14ac:dyDescent="0.25">
      <c r="B1148" t="s">
        <v>36</v>
      </c>
      <c r="C1148" t="str">
        <f>_xlfn.XLOOKUP(B1148,Tabla2[CODIGO],Tabla2[MATERIAL],"N/A",0)</f>
        <v>Cinta Bandit 1/2"</v>
      </c>
      <c r="D1148">
        <v>4</v>
      </c>
      <c r="E1148" t="s">
        <v>42</v>
      </c>
      <c r="F1148" t="s">
        <v>62</v>
      </c>
      <c r="G1148" s="1">
        <v>46225</v>
      </c>
      <c r="I1148" s="2"/>
      <c r="J1148" t="s">
        <v>289</v>
      </c>
      <c r="K1148">
        <v>9971</v>
      </c>
      <c r="M1148">
        <v>2262008</v>
      </c>
      <c r="N1148">
        <v>1</v>
      </c>
    </row>
    <row r="1149" spans="2:14" hidden="1" x14ac:dyDescent="0.25">
      <c r="B1149" t="s">
        <v>36</v>
      </c>
      <c r="C1149" t="str">
        <f>_xlfn.XLOOKUP(B1149,Tabla2[CODIGO],Tabla2[MATERIAL],"N/A",0)</f>
        <v>Cinta Bandit 1/2"</v>
      </c>
      <c r="D1149">
        <v>4</v>
      </c>
      <c r="E1149" t="s">
        <v>42</v>
      </c>
      <c r="F1149" t="s">
        <v>62</v>
      </c>
      <c r="G1149" s="1">
        <v>46225</v>
      </c>
      <c r="I1149" s="2"/>
      <c r="J1149" t="s">
        <v>289</v>
      </c>
      <c r="K1149">
        <v>9971</v>
      </c>
      <c r="M1149">
        <v>2261944</v>
      </c>
      <c r="N1149">
        <v>13</v>
      </c>
    </row>
    <row r="1150" spans="2:14" hidden="1" x14ac:dyDescent="0.25">
      <c r="B1150" t="s">
        <v>37</v>
      </c>
      <c r="C1150" t="str">
        <f>_xlfn.XLOOKUP(B1150,Tabla2[CODIGO],Tabla2[MATERIAL],"N/A",0)</f>
        <v>Hebilla para cinta bandit 1/2"</v>
      </c>
      <c r="D1150">
        <v>4</v>
      </c>
      <c r="E1150" t="s">
        <v>42</v>
      </c>
      <c r="F1150" t="s">
        <v>62</v>
      </c>
      <c r="G1150" s="1">
        <v>46225</v>
      </c>
      <c r="I1150" s="2"/>
      <c r="J1150" t="s">
        <v>289</v>
      </c>
      <c r="K1150">
        <v>9971</v>
      </c>
      <c r="M1150">
        <v>2262008</v>
      </c>
      <c r="N1150">
        <v>1</v>
      </c>
    </row>
    <row r="1151" spans="2:14" hidden="1" x14ac:dyDescent="0.25">
      <c r="B1151" t="s">
        <v>37</v>
      </c>
      <c r="C1151" t="str">
        <f>_xlfn.XLOOKUP(B1151,Tabla2[CODIGO],Tabla2[MATERIAL],"N/A",0)</f>
        <v>Hebilla para cinta bandit 1/2"</v>
      </c>
      <c r="D1151">
        <v>4</v>
      </c>
      <c r="E1151" t="s">
        <v>42</v>
      </c>
      <c r="F1151" t="s">
        <v>62</v>
      </c>
      <c r="G1151" s="1">
        <v>46225</v>
      </c>
      <c r="I1151" s="2"/>
      <c r="J1151" t="s">
        <v>289</v>
      </c>
      <c r="K1151">
        <v>9971</v>
      </c>
      <c r="M1151">
        <v>2261944</v>
      </c>
      <c r="N1151">
        <v>13</v>
      </c>
    </row>
    <row r="1152" spans="2:14" hidden="1" x14ac:dyDescent="0.25">
      <c r="B1152" t="s">
        <v>318</v>
      </c>
      <c r="C1152" t="str">
        <f>_xlfn.XLOOKUP(B1152,Tabla2[CODIGO],Tabla2[MATERIAL],"N/A",0)</f>
        <v>Cable AL aa-8000 4 awg</v>
      </c>
      <c r="D1152">
        <v>22</v>
      </c>
      <c r="E1152" t="s">
        <v>43</v>
      </c>
      <c r="F1152" t="s">
        <v>62</v>
      </c>
      <c r="G1152" s="1">
        <v>46225</v>
      </c>
      <c r="I1152" s="2"/>
      <c r="J1152" t="s">
        <v>289</v>
      </c>
      <c r="K1152">
        <v>9971</v>
      </c>
      <c r="M1152">
        <v>2261723</v>
      </c>
      <c r="N1152">
        <v>3</v>
      </c>
    </row>
    <row r="1153" spans="2:14" hidden="1" x14ac:dyDescent="0.25">
      <c r="B1153" t="s">
        <v>318</v>
      </c>
      <c r="C1153" t="str">
        <f>_xlfn.XLOOKUP(B1153,Tabla2[CODIGO],Tabla2[MATERIAL],"N/A",0)</f>
        <v>Cable AL aa-8000 4 awg</v>
      </c>
      <c r="D1153">
        <v>25</v>
      </c>
      <c r="E1153" t="s">
        <v>43</v>
      </c>
      <c r="F1153" t="s">
        <v>62</v>
      </c>
      <c r="G1153" s="1">
        <v>46225</v>
      </c>
      <c r="I1153" s="2"/>
      <c r="J1153" t="s">
        <v>289</v>
      </c>
      <c r="K1153">
        <v>9971</v>
      </c>
      <c r="M1153">
        <v>2262037</v>
      </c>
      <c r="N1153">
        <v>7</v>
      </c>
    </row>
    <row r="1154" spans="2:14" hidden="1" x14ac:dyDescent="0.25">
      <c r="B1154" t="s">
        <v>318</v>
      </c>
      <c r="C1154" t="str">
        <f>_xlfn.XLOOKUP(B1154,Tabla2[CODIGO],Tabla2[MATERIAL],"N/A",0)</f>
        <v>Cable AL aa-8000 4 awg</v>
      </c>
      <c r="D1154">
        <v>22</v>
      </c>
      <c r="E1154" t="s">
        <v>43</v>
      </c>
      <c r="F1154" t="s">
        <v>62</v>
      </c>
      <c r="G1154" s="1">
        <v>46225</v>
      </c>
      <c r="I1154" s="2"/>
      <c r="J1154" t="s">
        <v>289</v>
      </c>
      <c r="K1154">
        <v>9971</v>
      </c>
      <c r="M1154">
        <v>2261812</v>
      </c>
      <c r="N1154">
        <v>9</v>
      </c>
    </row>
    <row r="1155" spans="2:14" hidden="1" x14ac:dyDescent="0.25">
      <c r="B1155" t="s">
        <v>318</v>
      </c>
      <c r="C1155" t="str">
        <f>_xlfn.XLOOKUP(B1155,Tabla2[CODIGO],Tabla2[MATERIAL],"N/A",0)</f>
        <v>Cable AL aa-8000 4 awg</v>
      </c>
      <c r="D1155">
        <v>18</v>
      </c>
      <c r="E1155" t="s">
        <v>43</v>
      </c>
      <c r="F1155" t="s">
        <v>62</v>
      </c>
      <c r="G1155" s="1">
        <v>46225</v>
      </c>
      <c r="I1155" s="2"/>
      <c r="J1155" t="s">
        <v>289</v>
      </c>
      <c r="K1155">
        <v>9971</v>
      </c>
      <c r="M1155">
        <v>2261995</v>
      </c>
      <c r="N1155">
        <v>11</v>
      </c>
    </row>
    <row r="1156" spans="2:14" hidden="1" x14ac:dyDescent="0.25">
      <c r="B1156" t="s">
        <v>318</v>
      </c>
      <c r="C1156" t="str">
        <f>_xlfn.XLOOKUP(B1156,Tabla2[CODIGO],Tabla2[MATERIAL],"N/A",0)</f>
        <v>Cable AL aa-8000 4 awg</v>
      </c>
      <c r="D1156">
        <v>25</v>
      </c>
      <c r="E1156" t="s">
        <v>43</v>
      </c>
      <c r="F1156" t="s">
        <v>62</v>
      </c>
      <c r="G1156" s="1">
        <v>46225</v>
      </c>
      <c r="I1156" s="2"/>
      <c r="J1156" t="s">
        <v>289</v>
      </c>
      <c r="K1156">
        <v>9971</v>
      </c>
      <c r="M1156">
        <v>2261855</v>
      </c>
      <c r="N1156">
        <v>15</v>
      </c>
    </row>
    <row r="1157" spans="2:14" hidden="1" x14ac:dyDescent="0.25">
      <c r="B1157" t="s">
        <v>318</v>
      </c>
      <c r="C1157" t="str">
        <f>_xlfn.XLOOKUP(B1157,Tabla2[CODIGO],Tabla2[MATERIAL],"N/A",0)</f>
        <v>Cable AL aa-8000 4 awg</v>
      </c>
      <c r="D1157">
        <v>25</v>
      </c>
      <c r="E1157" t="s">
        <v>43</v>
      </c>
      <c r="F1157" t="s">
        <v>62</v>
      </c>
      <c r="G1157" s="1">
        <v>46225</v>
      </c>
      <c r="I1157" s="2"/>
      <c r="J1157" t="s">
        <v>289</v>
      </c>
      <c r="K1157">
        <v>9971</v>
      </c>
      <c r="M1157">
        <v>2261901</v>
      </c>
      <c r="N1157">
        <v>19</v>
      </c>
    </row>
    <row r="1158" spans="2:14" hidden="1" x14ac:dyDescent="0.25">
      <c r="B1158" t="s">
        <v>38</v>
      </c>
      <c r="C1158" t="str">
        <f>_xlfn.XLOOKUP(B1158,Tabla2[CODIGO],Tabla2[MATERIAL],"N/A",0)</f>
        <v>Tuberia Conduflex 3/4"</v>
      </c>
      <c r="D1158">
        <v>0.6</v>
      </c>
      <c r="E1158" t="s">
        <v>43</v>
      </c>
      <c r="F1158" t="s">
        <v>62</v>
      </c>
      <c r="G1158" s="1">
        <v>46225</v>
      </c>
      <c r="I1158" s="2"/>
      <c r="J1158" t="s">
        <v>289</v>
      </c>
      <c r="K1158">
        <v>9971</v>
      </c>
      <c r="M1158">
        <v>2262008</v>
      </c>
      <c r="N1158">
        <v>1</v>
      </c>
    </row>
    <row r="1159" spans="2:14" hidden="1" x14ac:dyDescent="0.25">
      <c r="B1159" t="s">
        <v>38</v>
      </c>
      <c r="C1159" t="str">
        <f>_xlfn.XLOOKUP(B1159,Tabla2[CODIGO],Tabla2[MATERIAL],"N/A",0)</f>
        <v>Tuberia Conduflex 3/4"</v>
      </c>
      <c r="D1159">
        <v>1</v>
      </c>
      <c r="E1159" t="s">
        <v>43</v>
      </c>
      <c r="F1159" t="s">
        <v>62</v>
      </c>
      <c r="G1159" s="1">
        <v>46225</v>
      </c>
      <c r="I1159" s="2"/>
      <c r="J1159" t="s">
        <v>289</v>
      </c>
      <c r="K1159">
        <v>9971</v>
      </c>
      <c r="M1159">
        <v>2261723</v>
      </c>
      <c r="N1159">
        <v>3</v>
      </c>
    </row>
    <row r="1160" spans="2:14" hidden="1" x14ac:dyDescent="0.25">
      <c r="B1160" t="s">
        <v>38</v>
      </c>
      <c r="C1160" t="str">
        <f>_xlfn.XLOOKUP(B1160,Tabla2[CODIGO],Tabla2[MATERIAL],"N/A",0)</f>
        <v>Tuberia Conduflex 3/4"</v>
      </c>
      <c r="D1160">
        <v>0.2</v>
      </c>
      <c r="E1160" t="s">
        <v>43</v>
      </c>
      <c r="F1160" t="s">
        <v>62</v>
      </c>
      <c r="G1160" s="1">
        <v>46225</v>
      </c>
      <c r="I1160" s="2"/>
      <c r="J1160" t="s">
        <v>289</v>
      </c>
      <c r="K1160">
        <v>9971</v>
      </c>
      <c r="M1160">
        <v>2261774</v>
      </c>
      <c r="N1160">
        <v>5</v>
      </c>
    </row>
    <row r="1161" spans="2:14" hidden="1" x14ac:dyDescent="0.25">
      <c r="B1161" t="s">
        <v>38</v>
      </c>
      <c r="C1161" t="str">
        <f>_xlfn.XLOOKUP(B1161,Tabla2[CODIGO],Tabla2[MATERIAL],"N/A",0)</f>
        <v>Tuberia Conduflex 3/4"</v>
      </c>
      <c r="D1161">
        <v>1</v>
      </c>
      <c r="E1161" t="s">
        <v>43</v>
      </c>
      <c r="F1161" t="s">
        <v>62</v>
      </c>
      <c r="G1161" s="1">
        <v>46225</v>
      </c>
      <c r="I1161" s="2"/>
      <c r="J1161" t="s">
        <v>289</v>
      </c>
      <c r="K1161">
        <v>9971</v>
      </c>
      <c r="M1161">
        <v>2262037</v>
      </c>
      <c r="N1161">
        <v>7</v>
      </c>
    </row>
    <row r="1162" spans="2:14" hidden="1" x14ac:dyDescent="0.25">
      <c r="B1162" t="s">
        <v>38</v>
      </c>
      <c r="C1162" t="str">
        <f>_xlfn.XLOOKUP(B1162,Tabla2[CODIGO],Tabla2[MATERIAL],"N/A",0)</f>
        <v>Tuberia Conduflex 3/4"</v>
      </c>
      <c r="D1162">
        <v>1</v>
      </c>
      <c r="E1162" t="s">
        <v>43</v>
      </c>
      <c r="F1162" t="s">
        <v>62</v>
      </c>
      <c r="G1162" s="1">
        <v>46225</v>
      </c>
      <c r="I1162" s="2"/>
      <c r="J1162" t="s">
        <v>289</v>
      </c>
      <c r="K1162">
        <v>9971</v>
      </c>
      <c r="M1162">
        <v>2261812</v>
      </c>
      <c r="N1162">
        <v>9</v>
      </c>
    </row>
    <row r="1163" spans="2:14" hidden="1" x14ac:dyDescent="0.25">
      <c r="B1163" t="s">
        <v>38</v>
      </c>
      <c r="C1163" t="str">
        <f>_xlfn.XLOOKUP(B1163,Tabla2[CODIGO],Tabla2[MATERIAL],"N/A",0)</f>
        <v>Tuberia Conduflex 3/4"</v>
      </c>
      <c r="D1163">
        <v>1</v>
      </c>
      <c r="E1163" t="s">
        <v>43</v>
      </c>
      <c r="F1163" t="s">
        <v>62</v>
      </c>
      <c r="G1163" s="1">
        <v>46225</v>
      </c>
      <c r="I1163" s="2"/>
      <c r="J1163" t="s">
        <v>289</v>
      </c>
      <c r="K1163">
        <v>9971</v>
      </c>
      <c r="M1163">
        <v>2261995</v>
      </c>
      <c r="N1163">
        <v>11</v>
      </c>
    </row>
    <row r="1164" spans="2:14" hidden="1" x14ac:dyDescent="0.25">
      <c r="B1164" t="s">
        <v>38</v>
      </c>
      <c r="C1164" t="str">
        <f>_xlfn.XLOOKUP(B1164,Tabla2[CODIGO],Tabla2[MATERIAL],"N/A",0)</f>
        <v>Tuberia Conduflex 3/4"</v>
      </c>
      <c r="D1164">
        <v>1</v>
      </c>
      <c r="E1164" t="s">
        <v>43</v>
      </c>
      <c r="F1164" t="s">
        <v>62</v>
      </c>
      <c r="G1164" s="1">
        <v>46225</v>
      </c>
      <c r="I1164" s="2"/>
      <c r="J1164" t="s">
        <v>289</v>
      </c>
      <c r="K1164">
        <v>9971</v>
      </c>
      <c r="M1164">
        <v>2261944</v>
      </c>
      <c r="N1164">
        <v>13</v>
      </c>
    </row>
    <row r="1165" spans="2:14" hidden="1" x14ac:dyDescent="0.25">
      <c r="B1165" t="s">
        <v>38</v>
      </c>
      <c r="C1165" t="str">
        <f>_xlfn.XLOOKUP(B1165,Tabla2[CODIGO],Tabla2[MATERIAL],"N/A",0)</f>
        <v>Tuberia Conduflex 3/4"</v>
      </c>
      <c r="D1165">
        <v>1</v>
      </c>
      <c r="E1165" t="s">
        <v>43</v>
      </c>
      <c r="F1165" t="s">
        <v>62</v>
      </c>
      <c r="G1165" s="1">
        <v>46225</v>
      </c>
      <c r="I1165" s="2"/>
      <c r="J1165" t="s">
        <v>289</v>
      </c>
      <c r="K1165">
        <v>9971</v>
      </c>
      <c r="M1165">
        <v>2261855</v>
      </c>
      <c r="N1165">
        <v>15</v>
      </c>
    </row>
    <row r="1166" spans="2:14" hidden="1" x14ac:dyDescent="0.25">
      <c r="B1166" t="s">
        <v>38</v>
      </c>
      <c r="C1166" t="str">
        <f>_xlfn.XLOOKUP(B1166,Tabla2[CODIGO],Tabla2[MATERIAL],"N/A",0)</f>
        <v>Tuberia Conduflex 3/4"</v>
      </c>
      <c r="D1166">
        <v>1</v>
      </c>
      <c r="E1166" t="s">
        <v>43</v>
      </c>
      <c r="F1166" t="s">
        <v>62</v>
      </c>
      <c r="G1166" s="1">
        <v>46225</v>
      </c>
      <c r="I1166" s="2"/>
      <c r="J1166" t="s">
        <v>289</v>
      </c>
      <c r="K1166">
        <v>9971</v>
      </c>
      <c r="M1166">
        <v>2261901</v>
      </c>
      <c r="N1166">
        <v>19</v>
      </c>
    </row>
    <row r="1167" spans="2:14" hidden="1" x14ac:dyDescent="0.25">
      <c r="B1167" t="s">
        <v>214</v>
      </c>
      <c r="C1167" t="str">
        <f>_xlfn.XLOOKUP(B1167,Tabla2[CODIGO],Tabla2[MATERIAL],"N/A",0)</f>
        <v>Marco para caja ap</v>
      </c>
      <c r="D1167">
        <v>1</v>
      </c>
      <c r="E1167" t="s">
        <v>42</v>
      </c>
      <c r="F1167" t="s">
        <v>62</v>
      </c>
      <c r="G1167" s="1">
        <v>46225</v>
      </c>
      <c r="I1167" s="2"/>
      <c r="J1167" t="s">
        <v>289</v>
      </c>
      <c r="K1167">
        <v>9971</v>
      </c>
      <c r="M1167">
        <v>2262008</v>
      </c>
      <c r="N1167">
        <v>1</v>
      </c>
    </row>
    <row r="1168" spans="2:14" hidden="1" x14ac:dyDescent="0.25">
      <c r="B1168" t="s">
        <v>214</v>
      </c>
      <c r="C1168" t="str">
        <f>_xlfn.XLOOKUP(B1168,Tabla2[CODIGO],Tabla2[MATERIAL],"N/A",0)</f>
        <v>Marco para caja ap</v>
      </c>
      <c r="D1168">
        <v>1</v>
      </c>
      <c r="E1168" t="s">
        <v>42</v>
      </c>
      <c r="F1168" t="s">
        <v>62</v>
      </c>
      <c r="G1168" s="1">
        <v>46225</v>
      </c>
      <c r="I1168" s="2"/>
      <c r="J1168" t="s">
        <v>289</v>
      </c>
      <c r="K1168">
        <v>9971</v>
      </c>
      <c r="M1168">
        <v>2261723</v>
      </c>
      <c r="N1168">
        <v>3</v>
      </c>
    </row>
    <row r="1169" spans="2:14" hidden="1" x14ac:dyDescent="0.25">
      <c r="B1169" t="s">
        <v>214</v>
      </c>
      <c r="C1169" t="str">
        <f>_xlfn.XLOOKUP(B1169,Tabla2[CODIGO],Tabla2[MATERIAL],"N/A",0)</f>
        <v>Marco para caja ap</v>
      </c>
      <c r="D1169">
        <v>1</v>
      </c>
      <c r="E1169" t="s">
        <v>42</v>
      </c>
      <c r="F1169" t="s">
        <v>62</v>
      </c>
      <c r="G1169" s="1">
        <v>46225</v>
      </c>
      <c r="I1169" s="2"/>
      <c r="J1169" t="s">
        <v>289</v>
      </c>
      <c r="K1169">
        <v>9971</v>
      </c>
      <c r="M1169">
        <v>2261774</v>
      </c>
      <c r="N1169">
        <v>5</v>
      </c>
    </row>
    <row r="1170" spans="2:14" hidden="1" x14ac:dyDescent="0.25">
      <c r="B1170" t="s">
        <v>214</v>
      </c>
      <c r="C1170" t="str">
        <f>_xlfn.XLOOKUP(B1170,Tabla2[CODIGO],Tabla2[MATERIAL],"N/A",0)</f>
        <v>Marco para caja ap</v>
      </c>
      <c r="D1170">
        <v>1</v>
      </c>
      <c r="E1170" t="s">
        <v>42</v>
      </c>
      <c r="F1170" t="s">
        <v>62</v>
      </c>
      <c r="G1170" s="1">
        <v>46225</v>
      </c>
      <c r="I1170" s="2"/>
      <c r="J1170" t="s">
        <v>289</v>
      </c>
      <c r="K1170">
        <v>9971</v>
      </c>
      <c r="M1170">
        <v>2262037</v>
      </c>
      <c r="N1170">
        <v>7</v>
      </c>
    </row>
    <row r="1171" spans="2:14" hidden="1" x14ac:dyDescent="0.25">
      <c r="B1171" t="s">
        <v>214</v>
      </c>
      <c r="C1171" t="str">
        <f>_xlfn.XLOOKUP(B1171,Tabla2[CODIGO],Tabla2[MATERIAL],"N/A",0)</f>
        <v>Marco para caja ap</v>
      </c>
      <c r="D1171">
        <v>1</v>
      </c>
      <c r="E1171" t="s">
        <v>42</v>
      </c>
      <c r="F1171" t="s">
        <v>62</v>
      </c>
      <c r="G1171" s="1">
        <v>46225</v>
      </c>
      <c r="I1171" s="2"/>
      <c r="J1171" t="s">
        <v>289</v>
      </c>
      <c r="K1171">
        <v>9971</v>
      </c>
      <c r="M1171">
        <v>2261812</v>
      </c>
      <c r="N1171">
        <v>9</v>
      </c>
    </row>
    <row r="1172" spans="2:14" hidden="1" x14ac:dyDescent="0.25">
      <c r="B1172" t="s">
        <v>214</v>
      </c>
      <c r="C1172" t="str">
        <f>_xlfn.XLOOKUP(B1172,Tabla2[CODIGO],Tabla2[MATERIAL],"N/A",0)</f>
        <v>Marco para caja ap</v>
      </c>
      <c r="D1172">
        <v>1</v>
      </c>
      <c r="E1172" t="s">
        <v>42</v>
      </c>
      <c r="F1172" t="s">
        <v>62</v>
      </c>
      <c r="G1172" s="1">
        <v>46225</v>
      </c>
      <c r="I1172" s="2"/>
      <c r="J1172" t="s">
        <v>289</v>
      </c>
      <c r="K1172">
        <v>9971</v>
      </c>
      <c r="M1172">
        <v>2261995</v>
      </c>
      <c r="N1172">
        <v>11</v>
      </c>
    </row>
    <row r="1173" spans="2:14" hidden="1" x14ac:dyDescent="0.25">
      <c r="B1173" t="s">
        <v>214</v>
      </c>
      <c r="C1173" t="str">
        <f>_xlfn.XLOOKUP(B1173,Tabla2[CODIGO],Tabla2[MATERIAL],"N/A",0)</f>
        <v>Marco para caja ap</v>
      </c>
      <c r="D1173">
        <v>1</v>
      </c>
      <c r="E1173" t="s">
        <v>42</v>
      </c>
      <c r="F1173" t="s">
        <v>62</v>
      </c>
      <c r="G1173" s="1">
        <v>46225</v>
      </c>
      <c r="I1173" s="2"/>
      <c r="J1173" t="s">
        <v>289</v>
      </c>
      <c r="K1173">
        <v>9971</v>
      </c>
      <c r="M1173">
        <v>2261855</v>
      </c>
      <c r="N1173">
        <v>15</v>
      </c>
    </row>
    <row r="1174" spans="2:14" hidden="1" x14ac:dyDescent="0.25">
      <c r="B1174" t="s">
        <v>78</v>
      </c>
      <c r="C1174" t="str">
        <f>_xlfn.XLOOKUP(B1174,Tabla2[CODIGO],Tabla2[MATERIAL],"N/A",0)</f>
        <v>Tapa Concreto</v>
      </c>
      <c r="D1174">
        <v>1</v>
      </c>
      <c r="E1174" t="s">
        <v>42</v>
      </c>
      <c r="F1174" t="s">
        <v>62</v>
      </c>
      <c r="G1174" s="1">
        <v>46225</v>
      </c>
      <c r="I1174" s="2"/>
      <c r="J1174" t="s">
        <v>289</v>
      </c>
      <c r="K1174">
        <v>9971</v>
      </c>
      <c r="M1174">
        <v>2262008</v>
      </c>
      <c r="N1174">
        <v>1</v>
      </c>
    </row>
    <row r="1175" spans="2:14" hidden="1" x14ac:dyDescent="0.25">
      <c r="B1175" t="s">
        <v>78</v>
      </c>
      <c r="C1175" t="str">
        <f>_xlfn.XLOOKUP(B1175,Tabla2[CODIGO],Tabla2[MATERIAL],"N/A",0)</f>
        <v>Tapa Concreto</v>
      </c>
      <c r="D1175">
        <v>1</v>
      </c>
      <c r="E1175" t="s">
        <v>42</v>
      </c>
      <c r="F1175" t="s">
        <v>62</v>
      </c>
      <c r="G1175" s="1">
        <v>46225</v>
      </c>
      <c r="I1175" s="2"/>
      <c r="J1175" t="s">
        <v>289</v>
      </c>
      <c r="K1175">
        <v>9971</v>
      </c>
      <c r="M1175">
        <v>2261723</v>
      </c>
      <c r="N1175">
        <v>3</v>
      </c>
    </row>
    <row r="1176" spans="2:14" hidden="1" x14ac:dyDescent="0.25">
      <c r="B1176" t="s">
        <v>78</v>
      </c>
      <c r="C1176" t="str">
        <f>_xlfn.XLOOKUP(B1176,Tabla2[CODIGO],Tabla2[MATERIAL],"N/A",0)</f>
        <v>Tapa Concreto</v>
      </c>
      <c r="D1176">
        <v>1</v>
      </c>
      <c r="E1176" t="s">
        <v>42</v>
      </c>
      <c r="F1176" t="s">
        <v>62</v>
      </c>
      <c r="G1176" s="1">
        <v>46225</v>
      </c>
      <c r="I1176" s="2"/>
      <c r="J1176" t="s">
        <v>289</v>
      </c>
      <c r="K1176">
        <v>9971</v>
      </c>
      <c r="M1176">
        <v>2261774</v>
      </c>
      <c r="N1176">
        <v>5</v>
      </c>
    </row>
    <row r="1177" spans="2:14" hidden="1" x14ac:dyDescent="0.25">
      <c r="B1177" t="s">
        <v>78</v>
      </c>
      <c r="C1177" t="str">
        <f>_xlfn.XLOOKUP(B1177,Tabla2[CODIGO],Tabla2[MATERIAL],"N/A",0)</f>
        <v>Tapa Concreto</v>
      </c>
      <c r="D1177">
        <v>1</v>
      </c>
      <c r="E1177" t="s">
        <v>42</v>
      </c>
      <c r="F1177" t="s">
        <v>62</v>
      </c>
      <c r="G1177" s="1">
        <v>46225</v>
      </c>
      <c r="I1177" s="2"/>
      <c r="J1177" t="s">
        <v>289</v>
      </c>
      <c r="K1177">
        <v>9971</v>
      </c>
      <c r="M1177">
        <v>2262037</v>
      </c>
      <c r="N1177">
        <v>7</v>
      </c>
    </row>
    <row r="1178" spans="2:14" hidden="1" x14ac:dyDescent="0.25">
      <c r="B1178" t="s">
        <v>78</v>
      </c>
      <c r="C1178" t="str">
        <f>_xlfn.XLOOKUP(B1178,Tabla2[CODIGO],Tabla2[MATERIAL],"N/A",0)</f>
        <v>Tapa Concreto</v>
      </c>
      <c r="D1178">
        <v>1</v>
      </c>
      <c r="E1178" t="s">
        <v>42</v>
      </c>
      <c r="F1178" t="s">
        <v>62</v>
      </c>
      <c r="G1178" s="1">
        <v>46225</v>
      </c>
      <c r="I1178" s="2"/>
      <c r="J1178" t="s">
        <v>289</v>
      </c>
      <c r="K1178">
        <v>9971</v>
      </c>
      <c r="M1178">
        <v>2261812</v>
      </c>
      <c r="N1178">
        <v>9</v>
      </c>
    </row>
    <row r="1179" spans="2:14" hidden="1" x14ac:dyDescent="0.25">
      <c r="B1179" t="s">
        <v>78</v>
      </c>
      <c r="C1179" t="str">
        <f>_xlfn.XLOOKUP(B1179,Tabla2[CODIGO],Tabla2[MATERIAL],"N/A",0)</f>
        <v>Tapa Concreto</v>
      </c>
      <c r="D1179">
        <v>1</v>
      </c>
      <c r="E1179" t="s">
        <v>42</v>
      </c>
      <c r="F1179" t="s">
        <v>62</v>
      </c>
      <c r="G1179" s="1">
        <v>46225</v>
      </c>
      <c r="I1179" s="2"/>
      <c r="J1179" t="s">
        <v>289</v>
      </c>
      <c r="K1179">
        <v>9971</v>
      </c>
      <c r="M1179">
        <v>2261995</v>
      </c>
      <c r="N1179">
        <v>11</v>
      </c>
    </row>
    <row r="1180" spans="2:14" hidden="1" x14ac:dyDescent="0.25">
      <c r="B1180" t="s">
        <v>78</v>
      </c>
      <c r="C1180" t="str">
        <f>_xlfn.XLOOKUP(B1180,Tabla2[CODIGO],Tabla2[MATERIAL],"N/A",0)</f>
        <v>Tapa Concreto</v>
      </c>
      <c r="D1180">
        <v>1</v>
      </c>
      <c r="E1180" t="s">
        <v>42</v>
      </c>
      <c r="F1180" t="s">
        <v>62</v>
      </c>
      <c r="G1180" s="1">
        <v>46225</v>
      </c>
      <c r="I1180" s="2"/>
      <c r="J1180" t="s">
        <v>289</v>
      </c>
      <c r="K1180">
        <v>9971</v>
      </c>
      <c r="M1180">
        <v>2261855</v>
      </c>
      <c r="N1180">
        <v>15</v>
      </c>
    </row>
    <row r="1181" spans="2:14" hidden="1" x14ac:dyDescent="0.25">
      <c r="B1181" t="s">
        <v>239</v>
      </c>
      <c r="C1181" t="str">
        <f>_xlfn.XLOOKUP(B1181,Tabla2[CODIGO],Tabla2[MATERIAL],"N/A",0)</f>
        <v>Tubo Conduit imc 3/4"</v>
      </c>
      <c r="D1181">
        <v>2</v>
      </c>
      <c r="E1181" t="s">
        <v>42</v>
      </c>
      <c r="F1181" t="s">
        <v>62</v>
      </c>
      <c r="G1181" s="1">
        <v>46225</v>
      </c>
      <c r="I1181" s="2"/>
      <c r="J1181" t="s">
        <v>289</v>
      </c>
      <c r="K1181">
        <v>9971</v>
      </c>
      <c r="M1181">
        <v>2262008</v>
      </c>
      <c r="N1181">
        <v>1</v>
      </c>
    </row>
    <row r="1182" spans="2:14" hidden="1" x14ac:dyDescent="0.25">
      <c r="B1182" t="s">
        <v>239</v>
      </c>
      <c r="C1182" t="str">
        <f>_xlfn.XLOOKUP(B1182,Tabla2[CODIGO],Tabla2[MATERIAL],"N/A",0)</f>
        <v>Tubo Conduit imc 3/4"</v>
      </c>
      <c r="D1182">
        <v>2</v>
      </c>
      <c r="E1182" t="s">
        <v>42</v>
      </c>
      <c r="F1182" t="s">
        <v>62</v>
      </c>
      <c r="G1182" s="1">
        <v>46225</v>
      </c>
      <c r="I1182" s="2"/>
      <c r="J1182" t="s">
        <v>289</v>
      </c>
      <c r="K1182">
        <v>9971</v>
      </c>
      <c r="M1182">
        <v>2261812</v>
      </c>
      <c r="N1182">
        <v>9</v>
      </c>
    </row>
    <row r="1183" spans="2:14" hidden="1" x14ac:dyDescent="0.25">
      <c r="B1183" t="s">
        <v>239</v>
      </c>
      <c r="C1183" t="str">
        <f>_xlfn.XLOOKUP(B1183,Tabla2[CODIGO],Tabla2[MATERIAL],"N/A",0)</f>
        <v>Tubo Conduit imc 3/4"</v>
      </c>
      <c r="D1183">
        <v>2</v>
      </c>
      <c r="E1183" t="s">
        <v>42</v>
      </c>
      <c r="F1183" t="s">
        <v>62</v>
      </c>
      <c r="G1183" s="1">
        <v>46225</v>
      </c>
      <c r="I1183" s="2"/>
      <c r="J1183" t="s">
        <v>289</v>
      </c>
      <c r="K1183">
        <v>9971</v>
      </c>
      <c r="M1183">
        <v>2261944</v>
      </c>
      <c r="N1183">
        <v>13</v>
      </c>
    </row>
    <row r="1184" spans="2:14" x14ac:dyDescent="0.25">
      <c r="B1184" t="s">
        <v>235</v>
      </c>
      <c r="C1184" t="str">
        <f>_xlfn.XLOOKUP(B1184,Tabla2[CODIGO],Tabla2[MATERIAL],"N/A",0)</f>
        <v>Luminaria Ret. 150w</v>
      </c>
      <c r="D1184">
        <v>1</v>
      </c>
      <c r="E1184" t="s">
        <v>42</v>
      </c>
      <c r="F1184" t="s">
        <v>61</v>
      </c>
      <c r="G1184" s="1">
        <v>46225</v>
      </c>
      <c r="I1184" s="2"/>
      <c r="J1184" t="s">
        <v>289</v>
      </c>
      <c r="K1184">
        <v>9971</v>
      </c>
      <c r="M1184">
        <v>2262008</v>
      </c>
      <c r="N1184">
        <v>1</v>
      </c>
    </row>
    <row r="1185" spans="2:14" x14ac:dyDescent="0.25">
      <c r="B1185" t="s">
        <v>235</v>
      </c>
      <c r="C1185" t="str">
        <f>_xlfn.XLOOKUP(B1185,Tabla2[CODIGO],Tabla2[MATERIAL],"N/A",0)</f>
        <v>Luminaria Ret. 150w</v>
      </c>
      <c r="D1185">
        <v>1</v>
      </c>
      <c r="E1185" t="s">
        <v>42</v>
      </c>
      <c r="F1185" t="s">
        <v>61</v>
      </c>
      <c r="G1185" s="1">
        <v>46225</v>
      </c>
      <c r="I1185" s="2"/>
      <c r="J1185" t="s">
        <v>289</v>
      </c>
      <c r="K1185">
        <v>9971</v>
      </c>
      <c r="M1185">
        <v>2261723</v>
      </c>
      <c r="N1185">
        <v>3</v>
      </c>
    </row>
    <row r="1186" spans="2:14" x14ac:dyDescent="0.25">
      <c r="B1186" t="s">
        <v>235</v>
      </c>
      <c r="C1186" t="str">
        <f>_xlfn.XLOOKUP(B1186,Tabla2[CODIGO],Tabla2[MATERIAL],"N/A",0)</f>
        <v>Luminaria Ret. 150w</v>
      </c>
      <c r="D1186">
        <v>1</v>
      </c>
      <c r="E1186" t="s">
        <v>42</v>
      </c>
      <c r="F1186" t="s">
        <v>61</v>
      </c>
      <c r="G1186" s="1">
        <v>46225</v>
      </c>
      <c r="I1186" s="2"/>
      <c r="J1186" t="s">
        <v>289</v>
      </c>
      <c r="K1186">
        <v>9971</v>
      </c>
      <c r="M1186">
        <v>2261723</v>
      </c>
      <c r="N1186">
        <v>4</v>
      </c>
    </row>
    <row r="1187" spans="2:14" x14ac:dyDescent="0.25">
      <c r="B1187" t="s">
        <v>235</v>
      </c>
      <c r="C1187" t="str">
        <f>_xlfn.XLOOKUP(B1187,Tabla2[CODIGO],Tabla2[MATERIAL],"N/A",0)</f>
        <v>Luminaria Ret. 150w</v>
      </c>
      <c r="D1187">
        <v>1</v>
      </c>
      <c r="E1187" t="s">
        <v>42</v>
      </c>
      <c r="F1187" t="s">
        <v>61</v>
      </c>
      <c r="G1187" s="1">
        <v>46225</v>
      </c>
      <c r="I1187" s="2"/>
      <c r="J1187" t="s">
        <v>289</v>
      </c>
      <c r="K1187">
        <v>9971</v>
      </c>
      <c r="M1187">
        <v>2261774</v>
      </c>
      <c r="N1187">
        <v>5</v>
      </c>
    </row>
    <row r="1188" spans="2:14" x14ac:dyDescent="0.25">
      <c r="B1188" t="s">
        <v>235</v>
      </c>
      <c r="C1188" t="str">
        <f>_xlfn.XLOOKUP(B1188,Tabla2[CODIGO],Tabla2[MATERIAL],"N/A",0)</f>
        <v>Luminaria Ret. 150w</v>
      </c>
      <c r="D1188">
        <v>1</v>
      </c>
      <c r="E1188" t="s">
        <v>42</v>
      </c>
      <c r="F1188" t="s">
        <v>61</v>
      </c>
      <c r="G1188" s="1">
        <v>46225</v>
      </c>
      <c r="I1188" s="2"/>
      <c r="J1188" t="s">
        <v>289</v>
      </c>
      <c r="K1188">
        <v>9971</v>
      </c>
      <c r="M1188">
        <v>2261774</v>
      </c>
      <c r="N1188">
        <v>6</v>
      </c>
    </row>
    <row r="1189" spans="2:14" x14ac:dyDescent="0.25">
      <c r="B1189" t="s">
        <v>235</v>
      </c>
      <c r="C1189" t="str">
        <f>_xlfn.XLOOKUP(B1189,Tabla2[CODIGO],Tabla2[MATERIAL],"N/A",0)</f>
        <v>Luminaria Ret. 150w</v>
      </c>
      <c r="D1189">
        <v>1</v>
      </c>
      <c r="E1189" t="s">
        <v>42</v>
      </c>
      <c r="F1189" t="s">
        <v>61</v>
      </c>
      <c r="G1189" s="1">
        <v>46225</v>
      </c>
      <c r="I1189" s="2"/>
      <c r="J1189" t="s">
        <v>289</v>
      </c>
      <c r="K1189">
        <v>9971</v>
      </c>
      <c r="M1189">
        <v>2262037</v>
      </c>
      <c r="N1189">
        <v>7</v>
      </c>
    </row>
    <row r="1190" spans="2:14" x14ac:dyDescent="0.25">
      <c r="B1190" t="s">
        <v>235</v>
      </c>
      <c r="C1190" t="str">
        <f>_xlfn.XLOOKUP(B1190,Tabla2[CODIGO],Tabla2[MATERIAL],"N/A",0)</f>
        <v>Luminaria Ret. 150w</v>
      </c>
      <c r="D1190">
        <v>1</v>
      </c>
      <c r="E1190" t="s">
        <v>42</v>
      </c>
      <c r="F1190" t="s">
        <v>61</v>
      </c>
      <c r="G1190" s="1">
        <v>46225</v>
      </c>
      <c r="I1190" s="2"/>
      <c r="J1190" t="s">
        <v>289</v>
      </c>
      <c r="K1190">
        <v>9971</v>
      </c>
      <c r="M1190">
        <v>2262037</v>
      </c>
      <c r="N1190">
        <v>8</v>
      </c>
    </row>
    <row r="1191" spans="2:14" x14ac:dyDescent="0.25">
      <c r="B1191" t="s">
        <v>235</v>
      </c>
      <c r="C1191" t="str">
        <f>_xlfn.XLOOKUP(B1191,Tabla2[CODIGO],Tabla2[MATERIAL],"N/A",0)</f>
        <v>Luminaria Ret. 150w</v>
      </c>
      <c r="D1191">
        <v>1</v>
      </c>
      <c r="E1191" t="s">
        <v>42</v>
      </c>
      <c r="F1191" t="s">
        <v>61</v>
      </c>
      <c r="G1191" s="1">
        <v>46225</v>
      </c>
      <c r="I1191" s="2"/>
      <c r="J1191" t="s">
        <v>289</v>
      </c>
      <c r="K1191">
        <v>9971</v>
      </c>
      <c r="M1191">
        <v>2261812</v>
      </c>
      <c r="N1191">
        <v>9</v>
      </c>
    </row>
    <row r="1192" spans="2:14" x14ac:dyDescent="0.25">
      <c r="B1192" t="s">
        <v>235</v>
      </c>
      <c r="C1192" t="str">
        <f>_xlfn.XLOOKUP(B1192,Tabla2[CODIGO],Tabla2[MATERIAL],"N/A",0)</f>
        <v>Luminaria Ret. 150w</v>
      </c>
      <c r="D1192">
        <v>1</v>
      </c>
      <c r="E1192" t="s">
        <v>42</v>
      </c>
      <c r="F1192" t="s">
        <v>61</v>
      </c>
      <c r="G1192" s="1">
        <v>46225</v>
      </c>
      <c r="I1192" s="2"/>
      <c r="J1192" t="s">
        <v>289</v>
      </c>
      <c r="K1192">
        <v>9971</v>
      </c>
      <c r="M1192">
        <v>2261812</v>
      </c>
      <c r="N1192">
        <v>10</v>
      </c>
    </row>
    <row r="1193" spans="2:14" x14ac:dyDescent="0.25">
      <c r="B1193" t="s">
        <v>235</v>
      </c>
      <c r="C1193" t="str">
        <f>_xlfn.XLOOKUP(B1193,Tabla2[CODIGO],Tabla2[MATERIAL],"N/A",0)</f>
        <v>Luminaria Ret. 150w</v>
      </c>
      <c r="D1193">
        <v>1</v>
      </c>
      <c r="E1193" t="s">
        <v>42</v>
      </c>
      <c r="F1193" t="s">
        <v>61</v>
      </c>
      <c r="G1193" s="1">
        <v>46225</v>
      </c>
      <c r="I1193" s="2"/>
      <c r="J1193" t="s">
        <v>289</v>
      </c>
      <c r="K1193">
        <v>9971</v>
      </c>
      <c r="M1193">
        <v>2261995</v>
      </c>
      <c r="N1193">
        <v>11</v>
      </c>
    </row>
    <row r="1194" spans="2:14" x14ac:dyDescent="0.25">
      <c r="B1194" t="s">
        <v>235</v>
      </c>
      <c r="C1194" t="str">
        <f>_xlfn.XLOOKUP(B1194,Tabla2[CODIGO],Tabla2[MATERIAL],"N/A",0)</f>
        <v>Luminaria Ret. 150w</v>
      </c>
      <c r="D1194">
        <v>1</v>
      </c>
      <c r="E1194" t="s">
        <v>42</v>
      </c>
      <c r="F1194" t="s">
        <v>61</v>
      </c>
      <c r="G1194" s="1">
        <v>46225</v>
      </c>
      <c r="I1194" s="2"/>
      <c r="J1194" t="s">
        <v>289</v>
      </c>
      <c r="K1194">
        <v>9971</v>
      </c>
      <c r="M1194">
        <v>2261995</v>
      </c>
      <c r="N1194">
        <v>12</v>
      </c>
    </row>
    <row r="1195" spans="2:14" x14ac:dyDescent="0.25">
      <c r="B1195" t="s">
        <v>235</v>
      </c>
      <c r="C1195" t="str">
        <f>_xlfn.XLOOKUP(B1195,Tabla2[CODIGO],Tabla2[MATERIAL],"N/A",0)</f>
        <v>Luminaria Ret. 150w</v>
      </c>
      <c r="D1195">
        <v>1</v>
      </c>
      <c r="E1195" t="s">
        <v>42</v>
      </c>
      <c r="F1195" t="s">
        <v>61</v>
      </c>
      <c r="G1195" s="1">
        <v>46225</v>
      </c>
      <c r="I1195" s="2"/>
      <c r="J1195" t="s">
        <v>289</v>
      </c>
      <c r="K1195">
        <v>9971</v>
      </c>
      <c r="M1195">
        <v>2261944</v>
      </c>
      <c r="N1195">
        <v>13</v>
      </c>
    </row>
    <row r="1196" spans="2:14" x14ac:dyDescent="0.25">
      <c r="B1196" t="s">
        <v>235</v>
      </c>
      <c r="C1196" t="str">
        <f>_xlfn.XLOOKUP(B1196,Tabla2[CODIGO],Tabla2[MATERIAL],"N/A",0)</f>
        <v>Luminaria Ret. 150w</v>
      </c>
      <c r="D1196">
        <v>1</v>
      </c>
      <c r="E1196" t="s">
        <v>42</v>
      </c>
      <c r="F1196" t="s">
        <v>61</v>
      </c>
      <c r="G1196" s="1">
        <v>46225</v>
      </c>
      <c r="I1196" s="2"/>
      <c r="J1196" t="s">
        <v>289</v>
      </c>
      <c r="K1196">
        <v>9971</v>
      </c>
      <c r="M1196">
        <v>2261944</v>
      </c>
      <c r="N1196">
        <v>14</v>
      </c>
    </row>
    <row r="1197" spans="2:14" x14ac:dyDescent="0.25">
      <c r="B1197" t="s">
        <v>235</v>
      </c>
      <c r="C1197" t="str">
        <f>_xlfn.XLOOKUP(B1197,Tabla2[CODIGO],Tabla2[MATERIAL],"N/A",0)</f>
        <v>Luminaria Ret. 150w</v>
      </c>
      <c r="D1197">
        <v>1</v>
      </c>
      <c r="E1197" t="s">
        <v>42</v>
      </c>
      <c r="F1197" t="s">
        <v>61</v>
      </c>
      <c r="G1197" s="1">
        <v>46225</v>
      </c>
      <c r="I1197" s="2"/>
      <c r="J1197" t="s">
        <v>289</v>
      </c>
      <c r="K1197">
        <v>9971</v>
      </c>
      <c r="M1197">
        <v>2261855</v>
      </c>
      <c r="N1197">
        <v>15</v>
      </c>
    </row>
    <row r="1198" spans="2:14" x14ac:dyDescent="0.25">
      <c r="B1198" t="s">
        <v>235</v>
      </c>
      <c r="C1198" t="str">
        <f>_xlfn.XLOOKUP(B1198,Tabla2[CODIGO],Tabla2[MATERIAL],"N/A",0)</f>
        <v>Luminaria Ret. 150w</v>
      </c>
      <c r="D1198">
        <v>1</v>
      </c>
      <c r="E1198" t="s">
        <v>42</v>
      </c>
      <c r="F1198" t="s">
        <v>61</v>
      </c>
      <c r="G1198" s="1">
        <v>46225</v>
      </c>
      <c r="I1198" s="2"/>
      <c r="J1198" t="s">
        <v>289</v>
      </c>
      <c r="K1198">
        <v>9971</v>
      </c>
      <c r="M1198">
        <v>2261855</v>
      </c>
      <c r="N1198">
        <v>16</v>
      </c>
    </row>
    <row r="1199" spans="2:14" x14ac:dyDescent="0.25">
      <c r="B1199" t="s">
        <v>235</v>
      </c>
      <c r="C1199" t="str">
        <f>_xlfn.XLOOKUP(B1199,Tabla2[CODIGO],Tabla2[MATERIAL],"N/A",0)</f>
        <v>Luminaria Ret. 150w</v>
      </c>
      <c r="D1199">
        <v>1</v>
      </c>
      <c r="E1199" t="s">
        <v>42</v>
      </c>
      <c r="F1199" t="s">
        <v>61</v>
      </c>
      <c r="G1199" s="1">
        <v>46225</v>
      </c>
      <c r="I1199" s="2"/>
      <c r="J1199" t="s">
        <v>289</v>
      </c>
      <c r="K1199">
        <v>9971</v>
      </c>
      <c r="M1199">
        <v>2261901</v>
      </c>
      <c r="N1199">
        <v>17</v>
      </c>
    </row>
    <row r="1200" spans="2:14" x14ac:dyDescent="0.25">
      <c r="B1200" t="s">
        <v>235</v>
      </c>
      <c r="C1200" t="str">
        <f>_xlfn.XLOOKUP(B1200,Tabla2[CODIGO],Tabla2[MATERIAL],"N/A",0)</f>
        <v>Luminaria Ret. 150w</v>
      </c>
      <c r="D1200">
        <v>1</v>
      </c>
      <c r="E1200" t="s">
        <v>42</v>
      </c>
      <c r="F1200" t="s">
        <v>61</v>
      </c>
      <c r="G1200" s="1">
        <v>46225</v>
      </c>
      <c r="I1200" s="2"/>
      <c r="J1200" t="s">
        <v>289</v>
      </c>
      <c r="K1200">
        <v>9971</v>
      </c>
      <c r="M1200">
        <v>2261901</v>
      </c>
      <c r="N1200">
        <v>18</v>
      </c>
    </row>
    <row r="1201" spans="2:14" x14ac:dyDescent="0.25">
      <c r="B1201" t="s">
        <v>235</v>
      </c>
      <c r="C1201" t="str">
        <f>_xlfn.XLOOKUP(B1201,Tabla2[CODIGO],Tabla2[MATERIAL],"N/A",0)</f>
        <v>Luminaria Ret. 150w</v>
      </c>
      <c r="D1201">
        <v>1</v>
      </c>
      <c r="E1201" t="s">
        <v>42</v>
      </c>
      <c r="F1201" t="s">
        <v>61</v>
      </c>
      <c r="G1201" s="1">
        <v>46225</v>
      </c>
      <c r="I1201" s="2"/>
      <c r="J1201" t="s">
        <v>289</v>
      </c>
      <c r="K1201">
        <v>9971</v>
      </c>
      <c r="M1201">
        <v>2261901</v>
      </c>
      <c r="N1201">
        <v>19</v>
      </c>
    </row>
    <row r="1202" spans="2:14" x14ac:dyDescent="0.25">
      <c r="B1202" t="s">
        <v>60</v>
      </c>
      <c r="C1202" t="str">
        <f>_xlfn.XLOOKUP(B1202,Tabla2[CODIGO],Tabla2[MATERIAL],"N/A",0)</f>
        <v>Fotocelda</v>
      </c>
      <c r="D1202">
        <v>1</v>
      </c>
      <c r="E1202" t="s">
        <v>42</v>
      </c>
      <c r="F1202" t="s">
        <v>61</v>
      </c>
      <c r="G1202" s="1">
        <v>46225</v>
      </c>
      <c r="I1202" s="2"/>
      <c r="J1202" t="s">
        <v>289</v>
      </c>
      <c r="K1202">
        <v>9971</v>
      </c>
      <c r="M1202">
        <v>2262008</v>
      </c>
      <c r="N1202">
        <v>1</v>
      </c>
    </row>
    <row r="1203" spans="2:14" x14ac:dyDescent="0.25">
      <c r="B1203" t="s">
        <v>60</v>
      </c>
      <c r="C1203" t="str">
        <f>_xlfn.XLOOKUP(B1203,Tabla2[CODIGO],Tabla2[MATERIAL],"N/A",0)</f>
        <v>Fotocelda</v>
      </c>
      <c r="D1203">
        <v>1</v>
      </c>
      <c r="E1203" t="s">
        <v>42</v>
      </c>
      <c r="F1203" t="s">
        <v>61</v>
      </c>
      <c r="G1203" s="1">
        <v>46225</v>
      </c>
      <c r="I1203" s="2"/>
      <c r="J1203" t="s">
        <v>289</v>
      </c>
      <c r="K1203">
        <v>9971</v>
      </c>
      <c r="M1203">
        <v>2261723</v>
      </c>
      <c r="N1203">
        <v>3</v>
      </c>
    </row>
    <row r="1204" spans="2:14" x14ac:dyDescent="0.25">
      <c r="B1204" t="s">
        <v>60</v>
      </c>
      <c r="C1204" t="str">
        <f>_xlfn.XLOOKUP(B1204,Tabla2[CODIGO],Tabla2[MATERIAL],"N/A",0)</f>
        <v>Fotocelda</v>
      </c>
      <c r="D1204">
        <v>1</v>
      </c>
      <c r="E1204" t="s">
        <v>42</v>
      </c>
      <c r="F1204" t="s">
        <v>61</v>
      </c>
      <c r="G1204" s="1">
        <v>46225</v>
      </c>
      <c r="I1204" s="2"/>
      <c r="J1204" t="s">
        <v>289</v>
      </c>
      <c r="K1204">
        <v>9971</v>
      </c>
      <c r="M1204">
        <v>2261723</v>
      </c>
      <c r="N1204">
        <v>4</v>
      </c>
    </row>
    <row r="1205" spans="2:14" x14ac:dyDescent="0.25">
      <c r="B1205" t="s">
        <v>60</v>
      </c>
      <c r="C1205" t="str">
        <f>_xlfn.XLOOKUP(B1205,Tabla2[CODIGO],Tabla2[MATERIAL],"N/A",0)</f>
        <v>Fotocelda</v>
      </c>
      <c r="D1205">
        <v>1</v>
      </c>
      <c r="E1205" t="s">
        <v>42</v>
      </c>
      <c r="F1205" t="s">
        <v>61</v>
      </c>
      <c r="G1205" s="1">
        <v>46225</v>
      </c>
      <c r="I1205" s="2"/>
      <c r="J1205" t="s">
        <v>289</v>
      </c>
      <c r="K1205">
        <v>9971</v>
      </c>
      <c r="M1205">
        <v>2261774</v>
      </c>
      <c r="N1205">
        <v>5</v>
      </c>
    </row>
    <row r="1206" spans="2:14" x14ac:dyDescent="0.25">
      <c r="B1206" t="s">
        <v>60</v>
      </c>
      <c r="C1206" t="str">
        <f>_xlfn.XLOOKUP(B1206,Tabla2[CODIGO],Tabla2[MATERIAL],"N/A",0)</f>
        <v>Fotocelda</v>
      </c>
      <c r="D1206">
        <v>1</v>
      </c>
      <c r="E1206" t="s">
        <v>42</v>
      </c>
      <c r="F1206" t="s">
        <v>61</v>
      </c>
      <c r="G1206" s="1">
        <v>46225</v>
      </c>
      <c r="I1206" s="2"/>
      <c r="J1206" t="s">
        <v>289</v>
      </c>
      <c r="K1206">
        <v>9971</v>
      </c>
      <c r="M1206">
        <v>2261774</v>
      </c>
      <c r="N1206">
        <v>6</v>
      </c>
    </row>
    <row r="1207" spans="2:14" x14ac:dyDescent="0.25">
      <c r="B1207" t="s">
        <v>60</v>
      </c>
      <c r="C1207" t="str">
        <f>_xlfn.XLOOKUP(B1207,Tabla2[CODIGO],Tabla2[MATERIAL],"N/A",0)</f>
        <v>Fotocelda</v>
      </c>
      <c r="D1207">
        <v>1</v>
      </c>
      <c r="E1207" t="s">
        <v>42</v>
      </c>
      <c r="F1207" t="s">
        <v>61</v>
      </c>
      <c r="G1207" s="1">
        <v>46225</v>
      </c>
      <c r="I1207" s="2"/>
      <c r="J1207" t="s">
        <v>289</v>
      </c>
      <c r="K1207">
        <v>9971</v>
      </c>
      <c r="M1207">
        <v>2262037</v>
      </c>
      <c r="N1207">
        <v>7</v>
      </c>
    </row>
    <row r="1208" spans="2:14" x14ac:dyDescent="0.25">
      <c r="B1208" t="s">
        <v>60</v>
      </c>
      <c r="C1208" t="str">
        <f>_xlfn.XLOOKUP(B1208,Tabla2[CODIGO],Tabla2[MATERIAL],"N/A",0)</f>
        <v>Fotocelda</v>
      </c>
      <c r="D1208">
        <v>1</v>
      </c>
      <c r="E1208" t="s">
        <v>42</v>
      </c>
      <c r="F1208" t="s">
        <v>61</v>
      </c>
      <c r="G1208" s="1">
        <v>46225</v>
      </c>
      <c r="I1208" s="2"/>
      <c r="J1208" t="s">
        <v>289</v>
      </c>
      <c r="K1208">
        <v>9971</v>
      </c>
      <c r="M1208">
        <v>2262037</v>
      </c>
      <c r="N1208">
        <v>8</v>
      </c>
    </row>
    <row r="1209" spans="2:14" x14ac:dyDescent="0.25">
      <c r="B1209" t="s">
        <v>60</v>
      </c>
      <c r="C1209" t="str">
        <f>_xlfn.XLOOKUP(B1209,Tabla2[CODIGO],Tabla2[MATERIAL],"N/A",0)</f>
        <v>Fotocelda</v>
      </c>
      <c r="D1209">
        <v>1</v>
      </c>
      <c r="E1209" t="s">
        <v>42</v>
      </c>
      <c r="F1209" t="s">
        <v>61</v>
      </c>
      <c r="G1209" s="1">
        <v>46225</v>
      </c>
      <c r="I1209" s="2"/>
      <c r="J1209" t="s">
        <v>289</v>
      </c>
      <c r="K1209">
        <v>9971</v>
      </c>
      <c r="M1209">
        <v>2261812</v>
      </c>
      <c r="N1209">
        <v>9</v>
      </c>
    </row>
    <row r="1210" spans="2:14" x14ac:dyDescent="0.25">
      <c r="B1210" t="s">
        <v>60</v>
      </c>
      <c r="C1210" t="str">
        <f>_xlfn.XLOOKUP(B1210,Tabla2[CODIGO],Tabla2[MATERIAL],"N/A",0)</f>
        <v>Fotocelda</v>
      </c>
      <c r="D1210">
        <v>1</v>
      </c>
      <c r="E1210" t="s">
        <v>42</v>
      </c>
      <c r="F1210" t="s">
        <v>61</v>
      </c>
      <c r="G1210" s="1">
        <v>46225</v>
      </c>
      <c r="I1210" s="2"/>
      <c r="J1210" t="s">
        <v>289</v>
      </c>
      <c r="K1210">
        <v>9971</v>
      </c>
      <c r="M1210">
        <v>2261812</v>
      </c>
      <c r="N1210">
        <v>10</v>
      </c>
    </row>
    <row r="1211" spans="2:14" x14ac:dyDescent="0.25">
      <c r="B1211" t="s">
        <v>60</v>
      </c>
      <c r="C1211" t="str">
        <f>_xlfn.XLOOKUP(B1211,Tabla2[CODIGO],Tabla2[MATERIAL],"N/A",0)</f>
        <v>Fotocelda</v>
      </c>
      <c r="D1211">
        <v>1</v>
      </c>
      <c r="E1211" t="s">
        <v>42</v>
      </c>
      <c r="F1211" t="s">
        <v>61</v>
      </c>
      <c r="G1211" s="1">
        <v>46225</v>
      </c>
      <c r="I1211" s="2"/>
      <c r="J1211" t="s">
        <v>289</v>
      </c>
      <c r="K1211">
        <v>9971</v>
      </c>
      <c r="M1211">
        <v>2261995</v>
      </c>
      <c r="N1211">
        <v>11</v>
      </c>
    </row>
    <row r="1212" spans="2:14" x14ac:dyDescent="0.25">
      <c r="B1212" t="s">
        <v>60</v>
      </c>
      <c r="C1212" t="str">
        <f>_xlfn.XLOOKUP(B1212,Tabla2[CODIGO],Tabla2[MATERIAL],"N/A",0)</f>
        <v>Fotocelda</v>
      </c>
      <c r="D1212">
        <v>1</v>
      </c>
      <c r="E1212" t="s">
        <v>42</v>
      </c>
      <c r="F1212" t="s">
        <v>61</v>
      </c>
      <c r="G1212" s="1">
        <v>46225</v>
      </c>
      <c r="I1212" s="2"/>
      <c r="J1212" t="s">
        <v>289</v>
      </c>
      <c r="K1212">
        <v>9971</v>
      </c>
      <c r="M1212">
        <v>2261995</v>
      </c>
      <c r="N1212">
        <v>12</v>
      </c>
    </row>
    <row r="1213" spans="2:14" x14ac:dyDescent="0.25">
      <c r="B1213" t="s">
        <v>60</v>
      </c>
      <c r="C1213" t="str">
        <f>_xlfn.XLOOKUP(B1213,Tabla2[CODIGO],Tabla2[MATERIAL],"N/A",0)</f>
        <v>Fotocelda</v>
      </c>
      <c r="D1213">
        <v>1</v>
      </c>
      <c r="E1213" t="s">
        <v>42</v>
      </c>
      <c r="F1213" t="s">
        <v>61</v>
      </c>
      <c r="G1213" s="1">
        <v>46225</v>
      </c>
      <c r="I1213" s="2"/>
      <c r="J1213" t="s">
        <v>289</v>
      </c>
      <c r="K1213">
        <v>9971</v>
      </c>
      <c r="M1213">
        <v>2261944</v>
      </c>
      <c r="N1213">
        <v>13</v>
      </c>
    </row>
    <row r="1214" spans="2:14" x14ac:dyDescent="0.25">
      <c r="B1214" t="s">
        <v>60</v>
      </c>
      <c r="C1214" t="str">
        <f>_xlfn.XLOOKUP(B1214,Tabla2[CODIGO],Tabla2[MATERIAL],"N/A",0)</f>
        <v>Fotocelda</v>
      </c>
      <c r="D1214">
        <v>1</v>
      </c>
      <c r="E1214" t="s">
        <v>42</v>
      </c>
      <c r="F1214" t="s">
        <v>61</v>
      </c>
      <c r="G1214" s="1">
        <v>46225</v>
      </c>
      <c r="I1214" s="2"/>
      <c r="J1214" t="s">
        <v>289</v>
      </c>
      <c r="K1214">
        <v>9971</v>
      </c>
      <c r="M1214">
        <v>2261944</v>
      </c>
      <c r="N1214">
        <v>14</v>
      </c>
    </row>
    <row r="1215" spans="2:14" x14ac:dyDescent="0.25">
      <c r="B1215" t="s">
        <v>60</v>
      </c>
      <c r="C1215" t="str">
        <f>_xlfn.XLOOKUP(B1215,Tabla2[CODIGO],Tabla2[MATERIAL],"N/A",0)</f>
        <v>Fotocelda</v>
      </c>
      <c r="D1215">
        <v>1</v>
      </c>
      <c r="E1215" t="s">
        <v>42</v>
      </c>
      <c r="F1215" t="s">
        <v>61</v>
      </c>
      <c r="G1215" s="1">
        <v>46225</v>
      </c>
      <c r="I1215" s="2"/>
      <c r="J1215" t="s">
        <v>289</v>
      </c>
      <c r="K1215">
        <v>9971</v>
      </c>
      <c r="M1215">
        <v>2261855</v>
      </c>
      <c r="N1215">
        <v>15</v>
      </c>
    </row>
    <row r="1216" spans="2:14" x14ac:dyDescent="0.25">
      <c r="B1216" t="s">
        <v>60</v>
      </c>
      <c r="C1216" t="str">
        <f>_xlfn.XLOOKUP(B1216,Tabla2[CODIGO],Tabla2[MATERIAL],"N/A",0)</f>
        <v>Fotocelda</v>
      </c>
      <c r="D1216">
        <v>1</v>
      </c>
      <c r="E1216" t="s">
        <v>42</v>
      </c>
      <c r="F1216" t="s">
        <v>61</v>
      </c>
      <c r="G1216" s="1">
        <v>46225</v>
      </c>
      <c r="I1216" s="2"/>
      <c r="J1216" t="s">
        <v>289</v>
      </c>
      <c r="K1216">
        <v>9971</v>
      </c>
      <c r="M1216">
        <v>2261855</v>
      </c>
      <c r="N1216">
        <v>16</v>
      </c>
    </row>
    <row r="1217" spans="2:14" x14ac:dyDescent="0.25">
      <c r="B1217" t="s">
        <v>60</v>
      </c>
      <c r="C1217" t="str">
        <f>_xlfn.XLOOKUP(B1217,Tabla2[CODIGO],Tabla2[MATERIAL],"N/A",0)</f>
        <v>Fotocelda</v>
      </c>
      <c r="D1217">
        <v>1</v>
      </c>
      <c r="E1217" t="s">
        <v>42</v>
      </c>
      <c r="F1217" t="s">
        <v>61</v>
      </c>
      <c r="G1217" s="1">
        <v>46225</v>
      </c>
      <c r="I1217" s="2"/>
      <c r="J1217" t="s">
        <v>289</v>
      </c>
      <c r="K1217">
        <v>9971</v>
      </c>
      <c r="M1217">
        <v>2261901</v>
      </c>
      <c r="N1217">
        <v>17</v>
      </c>
    </row>
    <row r="1218" spans="2:14" x14ac:dyDescent="0.25">
      <c r="B1218" t="s">
        <v>60</v>
      </c>
      <c r="C1218" t="str">
        <f>_xlfn.XLOOKUP(B1218,Tabla2[CODIGO],Tabla2[MATERIAL],"N/A",0)</f>
        <v>Fotocelda</v>
      </c>
      <c r="D1218">
        <v>1</v>
      </c>
      <c r="E1218" t="s">
        <v>42</v>
      </c>
      <c r="F1218" t="s">
        <v>61</v>
      </c>
      <c r="G1218" s="1">
        <v>46225</v>
      </c>
      <c r="I1218" s="2"/>
      <c r="J1218" t="s">
        <v>289</v>
      </c>
      <c r="K1218">
        <v>9971</v>
      </c>
      <c r="M1218">
        <v>2261901</v>
      </c>
      <c r="N1218">
        <v>18</v>
      </c>
    </row>
    <row r="1219" spans="2:14" x14ac:dyDescent="0.25">
      <c r="B1219" t="s">
        <v>60</v>
      </c>
      <c r="C1219" t="str">
        <f>_xlfn.XLOOKUP(B1219,Tabla2[CODIGO],Tabla2[MATERIAL],"N/A",0)</f>
        <v>Fotocelda</v>
      </c>
      <c r="D1219">
        <v>1</v>
      </c>
      <c r="E1219" t="s">
        <v>42</v>
      </c>
      <c r="F1219" t="s">
        <v>61</v>
      </c>
      <c r="G1219" s="1">
        <v>46225</v>
      </c>
      <c r="I1219" s="2"/>
      <c r="J1219" t="s">
        <v>289</v>
      </c>
      <c r="K1219">
        <v>9971</v>
      </c>
      <c r="M1219">
        <v>2261901</v>
      </c>
      <c r="N1219">
        <v>19</v>
      </c>
    </row>
    <row r="1220" spans="2:14" hidden="1" x14ac:dyDescent="0.25">
      <c r="B1220" t="s">
        <v>47</v>
      </c>
      <c r="C1220" t="str">
        <f>_xlfn.XLOOKUP(B1220,Tabla2[CODIGO],Tabla2[MATERIAL],"N/A",0)</f>
        <v>Luminaria 75w</v>
      </c>
      <c r="D1220">
        <v>1</v>
      </c>
      <c r="E1220" t="s">
        <v>42</v>
      </c>
      <c r="F1220" t="s">
        <v>62</v>
      </c>
      <c r="G1220" s="1">
        <v>46225</v>
      </c>
      <c r="H1220" t="s">
        <v>64</v>
      </c>
      <c r="I1220" s="2" t="s">
        <v>307</v>
      </c>
      <c r="J1220" t="s">
        <v>289</v>
      </c>
      <c r="K1220">
        <v>9966</v>
      </c>
      <c r="M1220">
        <v>2262215</v>
      </c>
      <c r="N1220">
        <v>1</v>
      </c>
    </row>
    <row r="1221" spans="2:14" hidden="1" x14ac:dyDescent="0.25">
      <c r="B1221" t="s">
        <v>47</v>
      </c>
      <c r="C1221" t="str">
        <f>_xlfn.XLOOKUP(B1221,Tabla2[CODIGO],Tabla2[MATERIAL],"N/A",0)</f>
        <v>Luminaria 75w</v>
      </c>
      <c r="D1221">
        <v>1</v>
      </c>
      <c r="E1221" t="s">
        <v>42</v>
      </c>
      <c r="F1221" t="s">
        <v>62</v>
      </c>
      <c r="G1221" s="1">
        <v>46225</v>
      </c>
      <c r="H1221" t="s">
        <v>64</v>
      </c>
      <c r="I1221" s="2" t="s">
        <v>310</v>
      </c>
      <c r="J1221" t="s">
        <v>289</v>
      </c>
      <c r="K1221">
        <v>9966</v>
      </c>
      <c r="M1221">
        <v>2262215</v>
      </c>
      <c r="N1221">
        <v>2</v>
      </c>
    </row>
    <row r="1222" spans="2:14" hidden="1" x14ac:dyDescent="0.25">
      <c r="B1222" t="s">
        <v>84</v>
      </c>
      <c r="C1222" t="str">
        <f>_xlfn.XLOOKUP(B1222,Tabla2[CODIGO],Tabla2[MATERIAL],"N/A",0)</f>
        <v>Luminaria 110w</v>
      </c>
      <c r="D1222">
        <v>1</v>
      </c>
      <c r="E1222" t="s">
        <v>42</v>
      </c>
      <c r="F1222" t="s">
        <v>62</v>
      </c>
      <c r="G1222" s="1">
        <v>46225</v>
      </c>
      <c r="H1222" t="s">
        <v>64</v>
      </c>
      <c r="I1222" s="2" t="s">
        <v>301</v>
      </c>
      <c r="J1222" t="s">
        <v>289</v>
      </c>
      <c r="K1222">
        <v>9966</v>
      </c>
      <c r="M1222">
        <v>2085887</v>
      </c>
      <c r="N1222">
        <v>3</v>
      </c>
    </row>
    <row r="1223" spans="2:14" hidden="1" x14ac:dyDescent="0.25">
      <c r="B1223" t="s">
        <v>84</v>
      </c>
      <c r="C1223" t="str">
        <f>_xlfn.XLOOKUP(B1223,Tabla2[CODIGO],Tabla2[MATERIAL],"N/A",0)</f>
        <v>Luminaria 110w</v>
      </c>
      <c r="D1223">
        <v>1</v>
      </c>
      <c r="E1223" t="s">
        <v>42</v>
      </c>
      <c r="F1223" t="s">
        <v>62</v>
      </c>
      <c r="G1223" s="1">
        <v>46225</v>
      </c>
      <c r="H1223" t="s">
        <v>64</v>
      </c>
      <c r="I1223" s="2" t="s">
        <v>303</v>
      </c>
      <c r="J1223" t="s">
        <v>289</v>
      </c>
      <c r="K1223">
        <v>9966</v>
      </c>
      <c r="M1223">
        <v>2085887</v>
      </c>
      <c r="N1223">
        <v>4</v>
      </c>
    </row>
    <row r="1224" spans="2:14" hidden="1" x14ac:dyDescent="0.25">
      <c r="B1224" t="s">
        <v>47</v>
      </c>
      <c r="C1224" t="str">
        <f>_xlfn.XLOOKUP(B1224,Tabla2[CODIGO],Tabla2[MATERIAL],"N/A",0)</f>
        <v>Luminaria 75w</v>
      </c>
      <c r="D1224">
        <v>1</v>
      </c>
      <c r="E1224" t="s">
        <v>42</v>
      </c>
      <c r="F1224" t="s">
        <v>62</v>
      </c>
      <c r="G1224" s="1">
        <v>46225</v>
      </c>
      <c r="H1224" t="s">
        <v>64</v>
      </c>
      <c r="I1224" s="2" t="s">
        <v>314</v>
      </c>
      <c r="J1224" t="s">
        <v>289</v>
      </c>
      <c r="K1224">
        <v>9966</v>
      </c>
      <c r="M1224">
        <v>2262177</v>
      </c>
      <c r="N1224">
        <v>5</v>
      </c>
    </row>
    <row r="1225" spans="2:14" hidden="1" x14ac:dyDescent="0.25">
      <c r="B1225" t="s">
        <v>47</v>
      </c>
      <c r="C1225" t="str">
        <f>_xlfn.XLOOKUP(B1225,Tabla2[CODIGO],Tabla2[MATERIAL],"N/A",0)</f>
        <v>Luminaria 75w</v>
      </c>
      <c r="D1225">
        <v>1</v>
      </c>
      <c r="E1225" t="s">
        <v>42</v>
      </c>
      <c r="F1225" t="s">
        <v>62</v>
      </c>
      <c r="G1225" s="1">
        <v>46225</v>
      </c>
      <c r="H1225" t="s">
        <v>64</v>
      </c>
      <c r="I1225" s="2" t="s">
        <v>312</v>
      </c>
      <c r="J1225" t="s">
        <v>289</v>
      </c>
      <c r="K1225">
        <v>9966</v>
      </c>
      <c r="M1225">
        <v>2262177</v>
      </c>
      <c r="N1225">
        <v>6</v>
      </c>
    </row>
    <row r="1226" spans="2:14" hidden="1" x14ac:dyDescent="0.25">
      <c r="B1226" t="s">
        <v>47</v>
      </c>
      <c r="C1226" t="str">
        <f>_xlfn.XLOOKUP(B1226,Tabla2[CODIGO],Tabla2[MATERIAL],"N/A",0)</f>
        <v>Luminaria 75w</v>
      </c>
      <c r="D1226">
        <v>1</v>
      </c>
      <c r="E1226" t="s">
        <v>42</v>
      </c>
      <c r="F1226" t="s">
        <v>62</v>
      </c>
      <c r="G1226" s="1">
        <v>46225</v>
      </c>
      <c r="H1226" t="s">
        <v>64</v>
      </c>
      <c r="I1226" s="2" t="s">
        <v>306</v>
      </c>
      <c r="J1226" t="s">
        <v>289</v>
      </c>
      <c r="K1226">
        <v>9966</v>
      </c>
      <c r="M1226">
        <v>2262258</v>
      </c>
      <c r="N1226">
        <v>7</v>
      </c>
    </row>
    <row r="1227" spans="2:14" hidden="1" x14ac:dyDescent="0.25">
      <c r="B1227" t="s">
        <v>47</v>
      </c>
      <c r="C1227" t="str">
        <f>_xlfn.XLOOKUP(B1227,Tabla2[CODIGO],Tabla2[MATERIAL],"N/A",0)</f>
        <v>Luminaria 75w</v>
      </c>
      <c r="D1227">
        <v>1</v>
      </c>
      <c r="E1227" t="s">
        <v>42</v>
      </c>
      <c r="F1227" t="s">
        <v>62</v>
      </c>
      <c r="G1227" s="1">
        <v>46225</v>
      </c>
      <c r="H1227" t="s">
        <v>64</v>
      </c>
      <c r="I1227" s="2" t="s">
        <v>311</v>
      </c>
      <c r="J1227" t="s">
        <v>289</v>
      </c>
      <c r="K1227">
        <v>9966</v>
      </c>
      <c r="M1227">
        <v>2262258</v>
      </c>
      <c r="N1227">
        <v>8</v>
      </c>
    </row>
    <row r="1228" spans="2:14" hidden="1" x14ac:dyDescent="0.25">
      <c r="B1228" t="s">
        <v>47</v>
      </c>
      <c r="C1228" t="str">
        <f>_xlfn.XLOOKUP(B1228,Tabla2[CODIGO],Tabla2[MATERIAL],"N/A",0)</f>
        <v>Luminaria 75w</v>
      </c>
      <c r="D1228">
        <v>1</v>
      </c>
      <c r="E1228" t="s">
        <v>42</v>
      </c>
      <c r="F1228" t="s">
        <v>62</v>
      </c>
      <c r="G1228" s="1">
        <v>46225</v>
      </c>
      <c r="H1228" t="s">
        <v>64</v>
      </c>
      <c r="I1228" s="2" t="s">
        <v>313</v>
      </c>
      <c r="J1228" t="s">
        <v>289</v>
      </c>
      <c r="K1228">
        <v>9966</v>
      </c>
      <c r="M1228">
        <v>2262304</v>
      </c>
      <c r="N1228">
        <v>9</v>
      </c>
    </row>
    <row r="1229" spans="2:14" hidden="1" x14ac:dyDescent="0.25">
      <c r="B1229" t="s">
        <v>47</v>
      </c>
      <c r="C1229" t="str">
        <f>_xlfn.XLOOKUP(B1229,Tabla2[CODIGO],Tabla2[MATERIAL],"N/A",0)</f>
        <v>Luminaria 75w</v>
      </c>
      <c r="D1229">
        <v>1</v>
      </c>
      <c r="E1229" t="s">
        <v>42</v>
      </c>
      <c r="F1229" t="s">
        <v>62</v>
      </c>
      <c r="G1229" s="1">
        <v>46225</v>
      </c>
      <c r="H1229" t="s">
        <v>64</v>
      </c>
      <c r="I1229" s="2" t="s">
        <v>309</v>
      </c>
      <c r="J1229" t="s">
        <v>289</v>
      </c>
      <c r="K1229">
        <v>9966</v>
      </c>
      <c r="M1229">
        <v>2262304</v>
      </c>
      <c r="N1229">
        <v>10</v>
      </c>
    </row>
    <row r="1230" spans="2:14" hidden="1" x14ac:dyDescent="0.25">
      <c r="B1230" t="s">
        <v>47</v>
      </c>
      <c r="C1230" t="str">
        <f>_xlfn.XLOOKUP(B1230,Tabla2[CODIGO],Tabla2[MATERIAL],"N/A",0)</f>
        <v>Luminaria 75w</v>
      </c>
      <c r="D1230">
        <v>1</v>
      </c>
      <c r="E1230" t="s">
        <v>42</v>
      </c>
      <c r="F1230" t="s">
        <v>62</v>
      </c>
      <c r="G1230" s="1">
        <v>46225</v>
      </c>
      <c r="H1230" t="s">
        <v>64</v>
      </c>
      <c r="I1230" s="2" t="s">
        <v>317</v>
      </c>
      <c r="J1230" t="s">
        <v>289</v>
      </c>
      <c r="K1230">
        <v>9966</v>
      </c>
      <c r="M1230">
        <v>2262347</v>
      </c>
      <c r="N1230">
        <v>11</v>
      </c>
    </row>
    <row r="1231" spans="2:14" hidden="1" x14ac:dyDescent="0.25">
      <c r="B1231" t="s">
        <v>47</v>
      </c>
      <c r="C1231" t="str">
        <f>_xlfn.XLOOKUP(B1231,Tabla2[CODIGO],Tabla2[MATERIAL],"N/A",0)</f>
        <v>Luminaria 75w</v>
      </c>
      <c r="D1231">
        <v>1</v>
      </c>
      <c r="E1231" t="s">
        <v>42</v>
      </c>
      <c r="F1231" t="s">
        <v>62</v>
      </c>
      <c r="G1231" s="1">
        <v>46225</v>
      </c>
      <c r="H1231" t="s">
        <v>64</v>
      </c>
      <c r="I1231" s="2" t="s">
        <v>453</v>
      </c>
      <c r="J1231" t="s">
        <v>289</v>
      </c>
      <c r="K1231">
        <v>9966</v>
      </c>
      <c r="M1231">
        <v>2262347</v>
      </c>
      <c r="N1231">
        <v>12</v>
      </c>
    </row>
    <row r="1232" spans="2:14" hidden="1" x14ac:dyDescent="0.25">
      <c r="B1232" t="s">
        <v>47</v>
      </c>
      <c r="C1232" t="str">
        <f>_xlfn.XLOOKUP(B1232,Tabla2[CODIGO],Tabla2[MATERIAL],"N/A",0)</f>
        <v>Luminaria 75w</v>
      </c>
      <c r="D1232">
        <v>1</v>
      </c>
      <c r="E1232" t="s">
        <v>42</v>
      </c>
      <c r="F1232" t="s">
        <v>62</v>
      </c>
      <c r="G1232" s="1">
        <v>46225</v>
      </c>
      <c r="H1232" t="s">
        <v>64</v>
      </c>
      <c r="I1232" s="2" t="s">
        <v>316</v>
      </c>
      <c r="J1232" t="s">
        <v>289</v>
      </c>
      <c r="K1232">
        <v>9966</v>
      </c>
      <c r="M1232">
        <v>2262398</v>
      </c>
      <c r="N1232">
        <v>13</v>
      </c>
    </row>
    <row r="1233" spans="2:14" hidden="1" x14ac:dyDescent="0.25">
      <c r="B1233" t="s">
        <v>47</v>
      </c>
      <c r="C1233" t="str">
        <f>_xlfn.XLOOKUP(B1233,Tabla2[CODIGO],Tabla2[MATERIAL],"N/A",0)</f>
        <v>Luminaria 75w</v>
      </c>
      <c r="D1233">
        <v>1</v>
      </c>
      <c r="E1233" t="s">
        <v>42</v>
      </c>
      <c r="F1233" t="s">
        <v>62</v>
      </c>
      <c r="G1233" s="1">
        <v>46225</v>
      </c>
      <c r="H1233" t="s">
        <v>64</v>
      </c>
      <c r="I1233" s="2" t="s">
        <v>315</v>
      </c>
      <c r="J1233" t="s">
        <v>289</v>
      </c>
      <c r="K1233">
        <v>9966</v>
      </c>
      <c r="M1233">
        <v>2262398</v>
      </c>
      <c r="N1233">
        <v>14</v>
      </c>
    </row>
    <row r="1234" spans="2:14" hidden="1" x14ac:dyDescent="0.25">
      <c r="B1234" t="s">
        <v>47</v>
      </c>
      <c r="C1234" t="str">
        <f>_xlfn.XLOOKUP(B1234,Tabla2[CODIGO],Tabla2[MATERIAL],"N/A",0)</f>
        <v>Luminaria 75w</v>
      </c>
      <c r="D1234">
        <v>1</v>
      </c>
      <c r="E1234" t="s">
        <v>42</v>
      </c>
      <c r="F1234" t="s">
        <v>62</v>
      </c>
      <c r="G1234" s="1">
        <v>46225</v>
      </c>
      <c r="H1234" t="s">
        <v>64</v>
      </c>
      <c r="I1234" s="2" t="s">
        <v>305</v>
      </c>
      <c r="J1234" t="s">
        <v>289</v>
      </c>
      <c r="K1234">
        <v>9966</v>
      </c>
      <c r="M1234">
        <v>2262126</v>
      </c>
      <c r="N1234">
        <v>15</v>
      </c>
    </row>
    <row r="1235" spans="2:14" hidden="1" x14ac:dyDescent="0.25">
      <c r="B1235" t="s">
        <v>47</v>
      </c>
      <c r="C1235" t="str">
        <f>_xlfn.XLOOKUP(B1235,Tabla2[CODIGO],Tabla2[MATERIAL],"N/A",0)</f>
        <v>Luminaria 75w</v>
      </c>
      <c r="D1235">
        <v>1</v>
      </c>
      <c r="E1235" t="s">
        <v>42</v>
      </c>
      <c r="F1235" t="s">
        <v>62</v>
      </c>
      <c r="G1235" s="1">
        <v>46225</v>
      </c>
      <c r="H1235" t="s">
        <v>64</v>
      </c>
      <c r="I1235" s="2" t="s">
        <v>308</v>
      </c>
      <c r="J1235" t="s">
        <v>289</v>
      </c>
      <c r="K1235">
        <v>9966</v>
      </c>
      <c r="M1235">
        <v>2262126</v>
      </c>
      <c r="N1235">
        <v>16</v>
      </c>
    </row>
    <row r="1236" spans="2:14" hidden="1" x14ac:dyDescent="0.25">
      <c r="B1236" t="s">
        <v>84</v>
      </c>
      <c r="C1236" t="str">
        <f>_xlfn.XLOOKUP(B1236,Tabla2[CODIGO],Tabla2[MATERIAL],"N/A",0)</f>
        <v>Luminaria 110w</v>
      </c>
      <c r="D1236">
        <v>1</v>
      </c>
      <c r="E1236" t="s">
        <v>42</v>
      </c>
      <c r="F1236" t="s">
        <v>62</v>
      </c>
      <c r="G1236" s="1">
        <v>46225</v>
      </c>
      <c r="H1236" t="s">
        <v>64</v>
      </c>
      <c r="I1236" s="2" t="s">
        <v>302</v>
      </c>
      <c r="J1236" t="s">
        <v>289</v>
      </c>
      <c r="K1236">
        <v>9966</v>
      </c>
      <c r="M1236">
        <v>2262487</v>
      </c>
      <c r="N1236">
        <v>17</v>
      </c>
    </row>
    <row r="1237" spans="2:14" hidden="1" x14ac:dyDescent="0.25">
      <c r="B1237" t="s">
        <v>290</v>
      </c>
      <c r="C1237" t="str">
        <f>_xlfn.XLOOKUP(B1237,Tabla2[CODIGO],Tabla2[MATERIAL],"N/A",0)</f>
        <v>proyector 90w</v>
      </c>
      <c r="D1237">
        <v>1</v>
      </c>
      <c r="E1237" t="s">
        <v>42</v>
      </c>
      <c r="F1237" t="s">
        <v>62</v>
      </c>
      <c r="G1237" s="1">
        <v>46225</v>
      </c>
      <c r="H1237" t="s">
        <v>64</v>
      </c>
      <c r="I1237" s="2" t="s">
        <v>454</v>
      </c>
      <c r="J1237" t="s">
        <v>289</v>
      </c>
      <c r="K1237">
        <v>9966</v>
      </c>
      <c r="M1237">
        <v>2262487</v>
      </c>
      <c r="N1237">
        <v>18</v>
      </c>
    </row>
    <row r="1238" spans="2:14" hidden="1" x14ac:dyDescent="0.25">
      <c r="B1238" t="s">
        <v>290</v>
      </c>
      <c r="C1238" t="str">
        <f>_xlfn.XLOOKUP(B1238,Tabla2[CODIGO],Tabla2[MATERIAL],"N/A",0)</f>
        <v>proyector 90w</v>
      </c>
      <c r="D1238">
        <v>1</v>
      </c>
      <c r="E1238" t="s">
        <v>42</v>
      </c>
      <c r="F1238" t="s">
        <v>62</v>
      </c>
      <c r="G1238" s="1">
        <v>46225</v>
      </c>
      <c r="H1238" t="s">
        <v>64</v>
      </c>
      <c r="I1238" s="2" t="s">
        <v>455</v>
      </c>
      <c r="J1238" t="s">
        <v>289</v>
      </c>
      <c r="K1238">
        <v>9966</v>
      </c>
      <c r="M1238">
        <v>2262487</v>
      </c>
      <c r="N1238">
        <v>19</v>
      </c>
    </row>
    <row r="1239" spans="2:14" hidden="1" x14ac:dyDescent="0.25">
      <c r="B1239" t="s">
        <v>290</v>
      </c>
      <c r="C1239" t="str">
        <f>_xlfn.XLOOKUP(B1239,Tabla2[CODIGO],Tabla2[MATERIAL],"N/A",0)</f>
        <v>proyector 90w</v>
      </c>
      <c r="D1239">
        <v>1</v>
      </c>
      <c r="E1239" t="s">
        <v>42</v>
      </c>
      <c r="F1239" t="s">
        <v>62</v>
      </c>
      <c r="G1239" s="1">
        <v>46225</v>
      </c>
      <c r="H1239" t="s">
        <v>64</v>
      </c>
      <c r="I1239" s="2" t="s">
        <v>456</v>
      </c>
      <c r="J1239" t="s">
        <v>289</v>
      </c>
      <c r="K1239">
        <v>9966</v>
      </c>
      <c r="M1239">
        <v>2262487</v>
      </c>
      <c r="N1239">
        <v>20</v>
      </c>
    </row>
    <row r="1240" spans="2:14" hidden="1" x14ac:dyDescent="0.25">
      <c r="B1240" t="s">
        <v>290</v>
      </c>
      <c r="C1240" t="str">
        <f>_xlfn.XLOOKUP(B1240,Tabla2[CODIGO],Tabla2[MATERIAL],"N/A",0)</f>
        <v>proyector 90w</v>
      </c>
      <c r="D1240">
        <v>1</v>
      </c>
      <c r="E1240" t="s">
        <v>42</v>
      </c>
      <c r="F1240" t="s">
        <v>62</v>
      </c>
      <c r="G1240" s="1">
        <v>46225</v>
      </c>
      <c r="H1240" t="s">
        <v>64</v>
      </c>
      <c r="I1240" s="2" t="s">
        <v>457</v>
      </c>
      <c r="J1240" t="s">
        <v>289</v>
      </c>
      <c r="K1240">
        <v>9966</v>
      </c>
      <c r="M1240">
        <v>2262436</v>
      </c>
      <c r="N1240">
        <v>21</v>
      </c>
    </row>
    <row r="1241" spans="2:14" hidden="1" x14ac:dyDescent="0.25">
      <c r="B1241" t="s">
        <v>290</v>
      </c>
      <c r="C1241" t="str">
        <f>_xlfn.XLOOKUP(B1241,Tabla2[CODIGO],Tabla2[MATERIAL],"N/A",0)</f>
        <v>proyector 90w</v>
      </c>
      <c r="D1241">
        <v>1</v>
      </c>
      <c r="E1241" t="s">
        <v>42</v>
      </c>
      <c r="F1241" t="s">
        <v>62</v>
      </c>
      <c r="G1241" s="1">
        <v>46225</v>
      </c>
      <c r="H1241" t="s">
        <v>64</v>
      </c>
      <c r="I1241" s="2" t="s">
        <v>458</v>
      </c>
      <c r="J1241" t="s">
        <v>289</v>
      </c>
      <c r="K1241">
        <v>9966</v>
      </c>
      <c r="M1241">
        <v>2262436</v>
      </c>
      <c r="N1241">
        <v>22</v>
      </c>
    </row>
    <row r="1242" spans="2:14" hidden="1" x14ac:dyDescent="0.25">
      <c r="B1242" t="s">
        <v>290</v>
      </c>
      <c r="C1242" t="str">
        <f>_xlfn.XLOOKUP(B1242,Tabla2[CODIGO],Tabla2[MATERIAL],"N/A",0)</f>
        <v>proyector 90w</v>
      </c>
      <c r="D1242">
        <v>1</v>
      </c>
      <c r="E1242" t="s">
        <v>42</v>
      </c>
      <c r="F1242" t="s">
        <v>62</v>
      </c>
      <c r="G1242" s="1">
        <v>46225</v>
      </c>
      <c r="H1242" t="s">
        <v>64</v>
      </c>
      <c r="I1242" s="2" t="s">
        <v>459</v>
      </c>
      <c r="J1242" t="s">
        <v>289</v>
      </c>
      <c r="K1242">
        <v>9966</v>
      </c>
      <c r="M1242">
        <v>2262436</v>
      </c>
      <c r="N1242">
        <v>23</v>
      </c>
    </row>
    <row r="1243" spans="2:14" hidden="1" x14ac:dyDescent="0.25">
      <c r="B1243" t="s">
        <v>84</v>
      </c>
      <c r="C1243" t="str">
        <f>_xlfn.XLOOKUP(B1243,Tabla2[CODIGO],Tabla2[MATERIAL],"N/A",0)</f>
        <v>Luminaria 110w</v>
      </c>
      <c r="D1243">
        <v>1</v>
      </c>
      <c r="E1243" t="s">
        <v>42</v>
      </c>
      <c r="F1243" t="s">
        <v>62</v>
      </c>
      <c r="G1243" s="1">
        <v>46225</v>
      </c>
      <c r="H1243" t="s">
        <v>64</v>
      </c>
      <c r="I1243" s="2" t="s">
        <v>300</v>
      </c>
      <c r="J1243" t="s">
        <v>289</v>
      </c>
      <c r="K1243">
        <v>9966</v>
      </c>
      <c r="M1243">
        <v>2262436</v>
      </c>
      <c r="N1243">
        <v>24</v>
      </c>
    </row>
    <row r="1244" spans="2:14" hidden="1" x14ac:dyDescent="0.25">
      <c r="B1244" t="s">
        <v>137</v>
      </c>
      <c r="C1244" t="str">
        <f>_xlfn.XLOOKUP(B1244,Tabla2[CODIGO],Tabla2[MATERIAL],"N/A",0)</f>
        <v>Fotocelda</v>
      </c>
      <c r="D1244">
        <v>1</v>
      </c>
      <c r="E1244" t="s">
        <v>42</v>
      </c>
      <c r="F1244" t="s">
        <v>62</v>
      </c>
      <c r="G1244" s="1">
        <v>46225</v>
      </c>
      <c r="I1244" s="2"/>
      <c r="J1244" t="s">
        <v>289</v>
      </c>
      <c r="K1244">
        <v>9966</v>
      </c>
      <c r="M1244">
        <v>2262215</v>
      </c>
      <c r="N1244">
        <v>1</v>
      </c>
    </row>
    <row r="1245" spans="2:14" hidden="1" x14ac:dyDescent="0.25">
      <c r="B1245" t="s">
        <v>137</v>
      </c>
      <c r="C1245" t="str">
        <f>_xlfn.XLOOKUP(B1245,Tabla2[CODIGO],Tabla2[MATERIAL],"N/A",0)</f>
        <v>Fotocelda</v>
      </c>
      <c r="D1245">
        <v>1</v>
      </c>
      <c r="E1245" t="s">
        <v>42</v>
      </c>
      <c r="F1245" t="s">
        <v>62</v>
      </c>
      <c r="G1245" s="1">
        <v>46225</v>
      </c>
      <c r="I1245" s="2"/>
      <c r="J1245" t="s">
        <v>289</v>
      </c>
      <c r="K1245">
        <v>9966</v>
      </c>
      <c r="M1245">
        <v>2262215</v>
      </c>
      <c r="N1245">
        <v>2</v>
      </c>
    </row>
    <row r="1246" spans="2:14" hidden="1" x14ac:dyDescent="0.25">
      <c r="B1246" t="s">
        <v>137</v>
      </c>
      <c r="C1246" t="str">
        <f>_xlfn.XLOOKUP(B1246,Tabla2[CODIGO],Tabla2[MATERIAL],"N/A",0)</f>
        <v>Fotocelda</v>
      </c>
      <c r="D1246">
        <v>1</v>
      </c>
      <c r="E1246" t="s">
        <v>42</v>
      </c>
      <c r="F1246" t="s">
        <v>62</v>
      </c>
      <c r="G1246" s="1">
        <v>46225</v>
      </c>
      <c r="I1246" s="2"/>
      <c r="J1246" t="s">
        <v>289</v>
      </c>
      <c r="K1246">
        <v>9966</v>
      </c>
      <c r="M1246">
        <v>2085887</v>
      </c>
      <c r="N1246">
        <v>3</v>
      </c>
    </row>
    <row r="1247" spans="2:14" hidden="1" x14ac:dyDescent="0.25">
      <c r="B1247" t="s">
        <v>137</v>
      </c>
      <c r="C1247" t="str">
        <f>_xlfn.XLOOKUP(B1247,Tabla2[CODIGO],Tabla2[MATERIAL],"N/A",0)</f>
        <v>Fotocelda</v>
      </c>
      <c r="D1247">
        <v>1</v>
      </c>
      <c r="E1247" t="s">
        <v>42</v>
      </c>
      <c r="F1247" t="s">
        <v>62</v>
      </c>
      <c r="G1247" s="1">
        <v>46225</v>
      </c>
      <c r="I1247" s="2"/>
      <c r="J1247" t="s">
        <v>289</v>
      </c>
      <c r="K1247">
        <v>9966</v>
      </c>
      <c r="M1247">
        <v>2085887</v>
      </c>
      <c r="N1247">
        <v>4</v>
      </c>
    </row>
    <row r="1248" spans="2:14" hidden="1" x14ac:dyDescent="0.25">
      <c r="B1248" t="s">
        <v>137</v>
      </c>
      <c r="C1248" t="str">
        <f>_xlfn.XLOOKUP(B1248,Tabla2[CODIGO],Tabla2[MATERIAL],"N/A",0)</f>
        <v>Fotocelda</v>
      </c>
      <c r="D1248">
        <v>1</v>
      </c>
      <c r="E1248" t="s">
        <v>42</v>
      </c>
      <c r="F1248" t="s">
        <v>62</v>
      </c>
      <c r="G1248" s="1">
        <v>46225</v>
      </c>
      <c r="I1248" s="2"/>
      <c r="J1248" t="s">
        <v>289</v>
      </c>
      <c r="K1248">
        <v>9966</v>
      </c>
      <c r="M1248">
        <v>2262177</v>
      </c>
      <c r="N1248">
        <v>5</v>
      </c>
    </row>
    <row r="1249" spans="2:14" hidden="1" x14ac:dyDescent="0.25">
      <c r="B1249" t="s">
        <v>137</v>
      </c>
      <c r="C1249" t="str">
        <f>_xlfn.XLOOKUP(B1249,Tabla2[CODIGO],Tabla2[MATERIAL],"N/A",0)</f>
        <v>Fotocelda</v>
      </c>
      <c r="D1249">
        <v>1</v>
      </c>
      <c r="E1249" t="s">
        <v>42</v>
      </c>
      <c r="F1249" t="s">
        <v>62</v>
      </c>
      <c r="G1249" s="1">
        <v>46225</v>
      </c>
      <c r="I1249" s="2"/>
      <c r="J1249" t="s">
        <v>289</v>
      </c>
      <c r="K1249">
        <v>9966</v>
      </c>
      <c r="M1249">
        <v>2262177</v>
      </c>
      <c r="N1249">
        <v>6</v>
      </c>
    </row>
    <row r="1250" spans="2:14" hidden="1" x14ac:dyDescent="0.25">
      <c r="B1250" t="s">
        <v>137</v>
      </c>
      <c r="C1250" t="str">
        <f>_xlfn.XLOOKUP(B1250,Tabla2[CODIGO],Tabla2[MATERIAL],"N/A",0)</f>
        <v>Fotocelda</v>
      </c>
      <c r="D1250">
        <v>1</v>
      </c>
      <c r="E1250" t="s">
        <v>42</v>
      </c>
      <c r="F1250" t="s">
        <v>62</v>
      </c>
      <c r="G1250" s="1">
        <v>46225</v>
      </c>
      <c r="I1250" s="2"/>
      <c r="J1250" t="s">
        <v>289</v>
      </c>
      <c r="K1250">
        <v>9966</v>
      </c>
      <c r="M1250">
        <v>2262258</v>
      </c>
      <c r="N1250">
        <v>7</v>
      </c>
    </row>
    <row r="1251" spans="2:14" hidden="1" x14ac:dyDescent="0.25">
      <c r="B1251" t="s">
        <v>137</v>
      </c>
      <c r="C1251" t="str">
        <f>_xlfn.XLOOKUP(B1251,Tabla2[CODIGO],Tabla2[MATERIAL],"N/A",0)</f>
        <v>Fotocelda</v>
      </c>
      <c r="D1251">
        <v>1</v>
      </c>
      <c r="E1251" t="s">
        <v>42</v>
      </c>
      <c r="F1251" t="s">
        <v>62</v>
      </c>
      <c r="G1251" s="1">
        <v>46225</v>
      </c>
      <c r="I1251" s="2"/>
      <c r="J1251" t="s">
        <v>289</v>
      </c>
      <c r="K1251">
        <v>9966</v>
      </c>
      <c r="M1251">
        <v>2262258</v>
      </c>
      <c r="N1251">
        <v>8</v>
      </c>
    </row>
    <row r="1252" spans="2:14" hidden="1" x14ac:dyDescent="0.25">
      <c r="B1252" t="s">
        <v>137</v>
      </c>
      <c r="C1252" t="str">
        <f>_xlfn.XLOOKUP(B1252,Tabla2[CODIGO],Tabla2[MATERIAL],"N/A",0)</f>
        <v>Fotocelda</v>
      </c>
      <c r="D1252">
        <v>1</v>
      </c>
      <c r="E1252" t="s">
        <v>42</v>
      </c>
      <c r="F1252" t="s">
        <v>62</v>
      </c>
      <c r="G1252" s="1">
        <v>46225</v>
      </c>
      <c r="I1252" s="2"/>
      <c r="J1252" t="s">
        <v>289</v>
      </c>
      <c r="K1252">
        <v>9966</v>
      </c>
      <c r="M1252">
        <v>2262304</v>
      </c>
      <c r="N1252">
        <v>9</v>
      </c>
    </row>
    <row r="1253" spans="2:14" hidden="1" x14ac:dyDescent="0.25">
      <c r="B1253" t="s">
        <v>137</v>
      </c>
      <c r="C1253" t="str">
        <f>_xlfn.XLOOKUP(B1253,Tabla2[CODIGO],Tabla2[MATERIAL],"N/A",0)</f>
        <v>Fotocelda</v>
      </c>
      <c r="D1253">
        <v>1</v>
      </c>
      <c r="E1253" t="s">
        <v>42</v>
      </c>
      <c r="F1253" t="s">
        <v>62</v>
      </c>
      <c r="G1253" s="1">
        <v>46225</v>
      </c>
      <c r="I1253" s="2"/>
      <c r="J1253" t="s">
        <v>289</v>
      </c>
      <c r="K1253">
        <v>9966</v>
      </c>
      <c r="M1253">
        <v>2262304</v>
      </c>
      <c r="N1253">
        <v>10</v>
      </c>
    </row>
    <row r="1254" spans="2:14" hidden="1" x14ac:dyDescent="0.25">
      <c r="B1254" t="s">
        <v>137</v>
      </c>
      <c r="C1254" t="str">
        <f>_xlfn.XLOOKUP(B1254,Tabla2[CODIGO],Tabla2[MATERIAL],"N/A",0)</f>
        <v>Fotocelda</v>
      </c>
      <c r="D1254">
        <v>1</v>
      </c>
      <c r="E1254" t="s">
        <v>42</v>
      </c>
      <c r="F1254" t="s">
        <v>62</v>
      </c>
      <c r="G1254" s="1">
        <v>46225</v>
      </c>
      <c r="I1254" s="2"/>
      <c r="J1254" t="s">
        <v>289</v>
      </c>
      <c r="K1254">
        <v>9966</v>
      </c>
      <c r="M1254">
        <v>2262347</v>
      </c>
      <c r="N1254">
        <v>11</v>
      </c>
    </row>
    <row r="1255" spans="2:14" hidden="1" x14ac:dyDescent="0.25">
      <c r="B1255" t="s">
        <v>137</v>
      </c>
      <c r="C1255" t="str">
        <f>_xlfn.XLOOKUP(B1255,Tabla2[CODIGO],Tabla2[MATERIAL],"N/A",0)</f>
        <v>Fotocelda</v>
      </c>
      <c r="D1255">
        <v>1</v>
      </c>
      <c r="E1255" t="s">
        <v>42</v>
      </c>
      <c r="F1255" t="s">
        <v>62</v>
      </c>
      <c r="G1255" s="1">
        <v>46225</v>
      </c>
      <c r="I1255" s="2"/>
      <c r="J1255" t="s">
        <v>289</v>
      </c>
      <c r="K1255">
        <v>9966</v>
      </c>
      <c r="M1255">
        <v>2262347</v>
      </c>
      <c r="N1255">
        <v>12</v>
      </c>
    </row>
    <row r="1256" spans="2:14" hidden="1" x14ac:dyDescent="0.25">
      <c r="B1256" t="s">
        <v>137</v>
      </c>
      <c r="C1256" t="str">
        <f>_xlfn.XLOOKUP(B1256,Tabla2[CODIGO],Tabla2[MATERIAL],"N/A",0)</f>
        <v>Fotocelda</v>
      </c>
      <c r="D1256">
        <v>1</v>
      </c>
      <c r="E1256" t="s">
        <v>42</v>
      </c>
      <c r="F1256" t="s">
        <v>62</v>
      </c>
      <c r="G1256" s="1">
        <v>46225</v>
      </c>
      <c r="I1256" s="2"/>
      <c r="J1256" t="s">
        <v>289</v>
      </c>
      <c r="K1256">
        <v>9966</v>
      </c>
      <c r="M1256">
        <v>2262398</v>
      </c>
      <c r="N1256">
        <v>13</v>
      </c>
    </row>
    <row r="1257" spans="2:14" hidden="1" x14ac:dyDescent="0.25">
      <c r="B1257" t="s">
        <v>137</v>
      </c>
      <c r="C1257" t="str">
        <f>_xlfn.XLOOKUP(B1257,Tabla2[CODIGO],Tabla2[MATERIAL],"N/A",0)</f>
        <v>Fotocelda</v>
      </c>
      <c r="D1257">
        <v>1</v>
      </c>
      <c r="E1257" t="s">
        <v>42</v>
      </c>
      <c r="F1257" t="s">
        <v>62</v>
      </c>
      <c r="G1257" s="1">
        <v>46225</v>
      </c>
      <c r="I1257" s="2"/>
      <c r="J1257" t="s">
        <v>289</v>
      </c>
      <c r="K1257">
        <v>9966</v>
      </c>
      <c r="M1257">
        <v>2262398</v>
      </c>
      <c r="N1257">
        <v>14</v>
      </c>
    </row>
    <row r="1258" spans="2:14" hidden="1" x14ac:dyDescent="0.25">
      <c r="B1258" t="s">
        <v>137</v>
      </c>
      <c r="C1258" t="str">
        <f>_xlfn.XLOOKUP(B1258,Tabla2[CODIGO],Tabla2[MATERIAL],"N/A",0)</f>
        <v>Fotocelda</v>
      </c>
      <c r="D1258">
        <v>1</v>
      </c>
      <c r="E1258" t="s">
        <v>42</v>
      </c>
      <c r="F1258" t="s">
        <v>62</v>
      </c>
      <c r="G1258" s="1">
        <v>46225</v>
      </c>
      <c r="I1258" s="2"/>
      <c r="J1258" t="s">
        <v>289</v>
      </c>
      <c r="K1258">
        <v>9966</v>
      </c>
      <c r="M1258">
        <v>2262126</v>
      </c>
      <c r="N1258">
        <v>15</v>
      </c>
    </row>
    <row r="1259" spans="2:14" hidden="1" x14ac:dyDescent="0.25">
      <c r="B1259" t="s">
        <v>137</v>
      </c>
      <c r="C1259" t="str">
        <f>_xlfn.XLOOKUP(B1259,Tabla2[CODIGO],Tabla2[MATERIAL],"N/A",0)</f>
        <v>Fotocelda</v>
      </c>
      <c r="D1259">
        <v>1</v>
      </c>
      <c r="E1259" t="s">
        <v>42</v>
      </c>
      <c r="F1259" t="s">
        <v>62</v>
      </c>
      <c r="G1259" s="1">
        <v>46225</v>
      </c>
      <c r="I1259" s="2"/>
      <c r="J1259" t="s">
        <v>289</v>
      </c>
      <c r="K1259">
        <v>9966</v>
      </c>
      <c r="M1259">
        <v>2262126</v>
      </c>
      <c r="N1259">
        <v>16</v>
      </c>
    </row>
    <row r="1260" spans="2:14" hidden="1" x14ac:dyDescent="0.25">
      <c r="B1260" t="s">
        <v>137</v>
      </c>
      <c r="C1260" t="str">
        <f>_xlfn.XLOOKUP(B1260,Tabla2[CODIGO],Tabla2[MATERIAL],"N/A",0)</f>
        <v>Fotocelda</v>
      </c>
      <c r="D1260">
        <v>1</v>
      </c>
      <c r="E1260" t="s">
        <v>42</v>
      </c>
      <c r="F1260" t="s">
        <v>62</v>
      </c>
      <c r="G1260" s="1">
        <v>46225</v>
      </c>
      <c r="I1260" s="2"/>
      <c r="J1260" t="s">
        <v>289</v>
      </c>
      <c r="K1260">
        <v>9966</v>
      </c>
      <c r="M1260">
        <v>2262487</v>
      </c>
      <c r="N1260">
        <v>17</v>
      </c>
    </row>
    <row r="1261" spans="2:14" hidden="1" x14ac:dyDescent="0.25">
      <c r="B1261" t="s">
        <v>137</v>
      </c>
      <c r="C1261" t="str">
        <f>_xlfn.XLOOKUP(B1261,Tabla2[CODIGO],Tabla2[MATERIAL],"N/A",0)</f>
        <v>Fotocelda</v>
      </c>
      <c r="D1261">
        <v>1</v>
      </c>
      <c r="E1261" t="s">
        <v>42</v>
      </c>
      <c r="F1261" t="s">
        <v>62</v>
      </c>
      <c r="G1261" s="1">
        <v>46225</v>
      </c>
      <c r="I1261" s="2"/>
      <c r="J1261" t="s">
        <v>289</v>
      </c>
      <c r="K1261">
        <v>9966</v>
      </c>
      <c r="M1261">
        <v>2262487</v>
      </c>
      <c r="N1261">
        <v>18</v>
      </c>
    </row>
    <row r="1262" spans="2:14" hidden="1" x14ac:dyDescent="0.25">
      <c r="B1262" t="s">
        <v>137</v>
      </c>
      <c r="C1262" t="str">
        <f>_xlfn.XLOOKUP(B1262,Tabla2[CODIGO],Tabla2[MATERIAL],"N/A",0)</f>
        <v>Fotocelda</v>
      </c>
      <c r="D1262">
        <v>1</v>
      </c>
      <c r="E1262" t="s">
        <v>42</v>
      </c>
      <c r="F1262" t="s">
        <v>62</v>
      </c>
      <c r="G1262" s="1">
        <v>46225</v>
      </c>
      <c r="I1262" s="2"/>
      <c r="J1262" t="s">
        <v>289</v>
      </c>
      <c r="K1262">
        <v>9966</v>
      </c>
      <c r="M1262">
        <v>2262487</v>
      </c>
      <c r="N1262">
        <v>19</v>
      </c>
    </row>
    <row r="1263" spans="2:14" hidden="1" x14ac:dyDescent="0.25">
      <c r="B1263" t="s">
        <v>137</v>
      </c>
      <c r="C1263" t="str">
        <f>_xlfn.XLOOKUP(B1263,Tabla2[CODIGO],Tabla2[MATERIAL],"N/A",0)</f>
        <v>Fotocelda</v>
      </c>
      <c r="D1263">
        <v>1</v>
      </c>
      <c r="E1263" t="s">
        <v>42</v>
      </c>
      <c r="F1263" t="s">
        <v>62</v>
      </c>
      <c r="G1263" s="1">
        <v>46225</v>
      </c>
      <c r="I1263" s="2"/>
      <c r="J1263" t="s">
        <v>289</v>
      </c>
      <c r="K1263">
        <v>9966</v>
      </c>
      <c r="M1263">
        <v>2262487</v>
      </c>
      <c r="N1263">
        <v>20</v>
      </c>
    </row>
    <row r="1264" spans="2:14" hidden="1" x14ac:dyDescent="0.25">
      <c r="B1264" t="s">
        <v>137</v>
      </c>
      <c r="C1264" t="str">
        <f>_xlfn.XLOOKUP(B1264,Tabla2[CODIGO],Tabla2[MATERIAL],"N/A",0)</f>
        <v>Fotocelda</v>
      </c>
      <c r="D1264">
        <v>1</v>
      </c>
      <c r="E1264" t="s">
        <v>42</v>
      </c>
      <c r="F1264" t="s">
        <v>62</v>
      </c>
      <c r="G1264" s="1">
        <v>46225</v>
      </c>
      <c r="I1264" s="2"/>
      <c r="J1264" t="s">
        <v>289</v>
      </c>
      <c r="K1264">
        <v>9966</v>
      </c>
      <c r="M1264">
        <v>2262436</v>
      </c>
      <c r="N1264">
        <v>21</v>
      </c>
    </row>
    <row r="1265" spans="2:14" hidden="1" x14ac:dyDescent="0.25">
      <c r="B1265" t="s">
        <v>137</v>
      </c>
      <c r="C1265" t="str">
        <f>_xlfn.XLOOKUP(B1265,Tabla2[CODIGO],Tabla2[MATERIAL],"N/A",0)</f>
        <v>Fotocelda</v>
      </c>
      <c r="D1265">
        <v>1</v>
      </c>
      <c r="E1265" t="s">
        <v>42</v>
      </c>
      <c r="F1265" t="s">
        <v>62</v>
      </c>
      <c r="G1265" s="1">
        <v>46225</v>
      </c>
      <c r="I1265" s="2"/>
      <c r="J1265" t="s">
        <v>289</v>
      </c>
      <c r="K1265">
        <v>9966</v>
      </c>
      <c r="M1265">
        <v>2262436</v>
      </c>
      <c r="N1265">
        <v>22</v>
      </c>
    </row>
    <row r="1266" spans="2:14" hidden="1" x14ac:dyDescent="0.25">
      <c r="B1266" t="s">
        <v>137</v>
      </c>
      <c r="C1266" t="str">
        <f>_xlfn.XLOOKUP(B1266,Tabla2[CODIGO],Tabla2[MATERIAL],"N/A",0)</f>
        <v>Fotocelda</v>
      </c>
      <c r="D1266">
        <v>1</v>
      </c>
      <c r="E1266" t="s">
        <v>42</v>
      </c>
      <c r="F1266" t="s">
        <v>62</v>
      </c>
      <c r="G1266" s="1">
        <v>46225</v>
      </c>
      <c r="I1266" s="2"/>
      <c r="J1266" t="s">
        <v>289</v>
      </c>
      <c r="K1266">
        <v>9966</v>
      </c>
      <c r="M1266">
        <v>2262436</v>
      </c>
      <c r="N1266">
        <v>23</v>
      </c>
    </row>
    <row r="1267" spans="2:14" hidden="1" x14ac:dyDescent="0.25">
      <c r="B1267" t="s">
        <v>137</v>
      </c>
      <c r="C1267" t="str">
        <f>_xlfn.XLOOKUP(B1267,Tabla2[CODIGO],Tabla2[MATERIAL],"N/A",0)</f>
        <v>Fotocelda</v>
      </c>
      <c r="D1267">
        <v>1</v>
      </c>
      <c r="E1267" t="s">
        <v>42</v>
      </c>
      <c r="F1267" t="s">
        <v>62</v>
      </c>
      <c r="G1267" s="1">
        <v>46225</v>
      </c>
      <c r="I1267" s="2"/>
      <c r="J1267" t="s">
        <v>289</v>
      </c>
      <c r="K1267">
        <v>9966</v>
      </c>
      <c r="M1267">
        <v>2262436</v>
      </c>
      <c r="N1267">
        <v>24</v>
      </c>
    </row>
    <row r="1268" spans="2:14" hidden="1" x14ac:dyDescent="0.25">
      <c r="B1268" t="s">
        <v>212</v>
      </c>
      <c r="C1268" t="str">
        <f>_xlfn.XLOOKUP(B1268,Tabla2[CODIGO],Tabla2[MATERIAL],"N/A",0)</f>
        <v>Grillete galvanizado 1,1/2</v>
      </c>
      <c r="D1268">
        <v>2</v>
      </c>
      <c r="E1268" t="s">
        <v>42</v>
      </c>
      <c r="F1268" t="s">
        <v>62</v>
      </c>
      <c r="G1268" s="1">
        <v>46225</v>
      </c>
      <c r="I1268" s="2"/>
      <c r="J1268" t="s">
        <v>289</v>
      </c>
      <c r="K1268">
        <v>9966</v>
      </c>
      <c r="M1268">
        <v>2262215</v>
      </c>
      <c r="N1268">
        <v>1</v>
      </c>
    </row>
    <row r="1269" spans="2:14" hidden="1" x14ac:dyDescent="0.25">
      <c r="B1269" t="s">
        <v>212</v>
      </c>
      <c r="C1269" t="str">
        <f>_xlfn.XLOOKUP(B1269,Tabla2[CODIGO],Tabla2[MATERIAL],"N/A",0)</f>
        <v>Grillete galvanizado 1,1/2</v>
      </c>
      <c r="D1269">
        <v>2</v>
      </c>
      <c r="E1269" t="s">
        <v>42</v>
      </c>
      <c r="F1269" t="s">
        <v>62</v>
      </c>
      <c r="G1269" s="1">
        <v>46225</v>
      </c>
      <c r="I1269" s="2"/>
      <c r="J1269" t="s">
        <v>289</v>
      </c>
      <c r="K1269">
        <v>9966</v>
      </c>
      <c r="M1269">
        <v>2262215</v>
      </c>
      <c r="N1269">
        <v>2</v>
      </c>
    </row>
    <row r="1270" spans="2:14" hidden="1" x14ac:dyDescent="0.25">
      <c r="B1270" t="s">
        <v>212</v>
      </c>
      <c r="C1270" t="str">
        <f>_xlfn.XLOOKUP(B1270,Tabla2[CODIGO],Tabla2[MATERIAL],"N/A",0)</f>
        <v>Grillete galvanizado 1,1/2</v>
      </c>
      <c r="D1270">
        <v>2</v>
      </c>
      <c r="E1270" t="s">
        <v>42</v>
      </c>
      <c r="F1270" t="s">
        <v>62</v>
      </c>
      <c r="G1270" s="1">
        <v>46225</v>
      </c>
      <c r="I1270" s="2"/>
      <c r="J1270" t="s">
        <v>289</v>
      </c>
      <c r="K1270">
        <v>9966</v>
      </c>
      <c r="M1270">
        <v>2262177</v>
      </c>
      <c r="N1270">
        <v>5</v>
      </c>
    </row>
    <row r="1271" spans="2:14" hidden="1" x14ac:dyDescent="0.25">
      <c r="B1271" t="s">
        <v>212</v>
      </c>
      <c r="C1271" t="str">
        <f>_xlfn.XLOOKUP(B1271,Tabla2[CODIGO],Tabla2[MATERIAL],"N/A",0)</f>
        <v>Grillete galvanizado 1,1/2</v>
      </c>
      <c r="D1271">
        <v>2</v>
      </c>
      <c r="E1271" t="s">
        <v>42</v>
      </c>
      <c r="F1271" t="s">
        <v>62</v>
      </c>
      <c r="G1271" s="1">
        <v>46225</v>
      </c>
      <c r="I1271" s="2"/>
      <c r="J1271" t="s">
        <v>289</v>
      </c>
      <c r="K1271">
        <v>9966</v>
      </c>
      <c r="M1271">
        <v>2262177</v>
      </c>
      <c r="N1271">
        <v>6</v>
      </c>
    </row>
    <row r="1272" spans="2:14" hidden="1" x14ac:dyDescent="0.25">
      <c r="B1272" t="s">
        <v>212</v>
      </c>
      <c r="C1272" t="str">
        <f>_xlfn.XLOOKUP(B1272,Tabla2[CODIGO],Tabla2[MATERIAL],"N/A",0)</f>
        <v>Grillete galvanizado 1,1/2</v>
      </c>
      <c r="D1272">
        <v>2</v>
      </c>
      <c r="E1272" t="s">
        <v>42</v>
      </c>
      <c r="F1272" t="s">
        <v>62</v>
      </c>
      <c r="G1272" s="1">
        <v>46225</v>
      </c>
      <c r="I1272" s="2"/>
      <c r="J1272" t="s">
        <v>289</v>
      </c>
      <c r="K1272">
        <v>9966</v>
      </c>
      <c r="M1272">
        <v>2262398</v>
      </c>
      <c r="N1272">
        <v>13</v>
      </c>
    </row>
    <row r="1273" spans="2:14" hidden="1" x14ac:dyDescent="0.25">
      <c r="B1273" t="s">
        <v>212</v>
      </c>
      <c r="C1273" t="str">
        <f>_xlfn.XLOOKUP(B1273,Tabla2[CODIGO],Tabla2[MATERIAL],"N/A",0)</f>
        <v>Grillete galvanizado 1,1/2</v>
      </c>
      <c r="D1273">
        <v>2</v>
      </c>
      <c r="E1273" t="s">
        <v>42</v>
      </c>
      <c r="F1273" t="s">
        <v>62</v>
      </c>
      <c r="G1273" s="1">
        <v>46225</v>
      </c>
      <c r="I1273" s="2"/>
      <c r="J1273" t="s">
        <v>289</v>
      </c>
      <c r="K1273">
        <v>9966</v>
      </c>
      <c r="M1273">
        <v>2262398</v>
      </c>
      <c r="N1273">
        <v>14</v>
      </c>
    </row>
    <row r="1274" spans="2:14" hidden="1" x14ac:dyDescent="0.25">
      <c r="B1274" t="s">
        <v>212</v>
      </c>
      <c r="C1274" t="str">
        <f>_xlfn.XLOOKUP(B1274,Tabla2[CODIGO],Tabla2[MATERIAL],"N/A",0)</f>
        <v>Grillete galvanizado 1,1/2</v>
      </c>
      <c r="D1274">
        <v>2</v>
      </c>
      <c r="E1274" t="s">
        <v>42</v>
      </c>
      <c r="F1274" t="s">
        <v>62</v>
      </c>
      <c r="G1274" s="1">
        <v>46225</v>
      </c>
      <c r="I1274" s="2"/>
      <c r="J1274" t="s">
        <v>289</v>
      </c>
      <c r="K1274">
        <v>9966</v>
      </c>
      <c r="M1274">
        <v>2262126</v>
      </c>
      <c r="N1274">
        <v>15</v>
      </c>
    </row>
    <row r="1275" spans="2:14" hidden="1" x14ac:dyDescent="0.25">
      <c r="B1275" t="s">
        <v>212</v>
      </c>
      <c r="C1275" t="str">
        <f>_xlfn.XLOOKUP(B1275,Tabla2[CODIGO],Tabla2[MATERIAL],"N/A",0)</f>
        <v>Grillete galvanizado 1,1/2</v>
      </c>
      <c r="D1275">
        <v>2</v>
      </c>
      <c r="E1275" t="s">
        <v>42</v>
      </c>
      <c r="F1275" t="s">
        <v>62</v>
      </c>
      <c r="G1275" s="1">
        <v>46225</v>
      </c>
      <c r="I1275" s="2"/>
      <c r="J1275" t="s">
        <v>289</v>
      </c>
      <c r="K1275">
        <v>9966</v>
      </c>
      <c r="M1275">
        <v>2262126</v>
      </c>
      <c r="N1275">
        <v>16</v>
      </c>
    </row>
    <row r="1276" spans="2:14" hidden="1" x14ac:dyDescent="0.25">
      <c r="B1276" t="s">
        <v>212</v>
      </c>
      <c r="C1276" t="str">
        <f>_xlfn.XLOOKUP(B1276,Tabla2[CODIGO],Tabla2[MATERIAL],"N/A",0)</f>
        <v>Grillete galvanizado 1,1/2</v>
      </c>
      <c r="D1276">
        <v>2</v>
      </c>
      <c r="E1276" t="s">
        <v>42</v>
      </c>
      <c r="F1276" t="s">
        <v>62</v>
      </c>
      <c r="G1276" s="1">
        <v>46225</v>
      </c>
      <c r="I1276" s="2"/>
      <c r="J1276" t="s">
        <v>289</v>
      </c>
      <c r="K1276">
        <v>9966</v>
      </c>
      <c r="M1276">
        <v>2262487</v>
      </c>
      <c r="N1276">
        <v>20</v>
      </c>
    </row>
    <row r="1277" spans="2:14" hidden="1" x14ac:dyDescent="0.25">
      <c r="B1277" t="s">
        <v>212</v>
      </c>
      <c r="C1277" t="str">
        <f>_xlfn.XLOOKUP(B1277,Tabla2[CODIGO],Tabla2[MATERIAL],"N/A",0)</f>
        <v>Grillete galvanizado 1,1/2</v>
      </c>
      <c r="D1277">
        <v>2</v>
      </c>
      <c r="E1277" t="s">
        <v>42</v>
      </c>
      <c r="F1277" t="s">
        <v>62</v>
      </c>
      <c r="G1277" s="1">
        <v>46225</v>
      </c>
      <c r="I1277" s="2"/>
      <c r="J1277" t="s">
        <v>289</v>
      </c>
      <c r="K1277">
        <v>9966</v>
      </c>
      <c r="M1277">
        <v>2262436</v>
      </c>
      <c r="N1277">
        <v>24</v>
      </c>
    </row>
    <row r="1278" spans="2:14" hidden="1" x14ac:dyDescent="0.25">
      <c r="B1278" t="s">
        <v>261</v>
      </c>
      <c r="C1278" t="str">
        <f>_xlfn.XLOOKUP(B1278,Tabla2[CODIGO],Tabla2[MATERIAL],"N/A",0)</f>
        <v>Abrazadera sin salida 6"</v>
      </c>
      <c r="D1278">
        <v>2</v>
      </c>
      <c r="E1278" t="s">
        <v>42</v>
      </c>
      <c r="F1278" t="s">
        <v>62</v>
      </c>
      <c r="G1278" s="1">
        <v>46225</v>
      </c>
      <c r="I1278" s="2"/>
      <c r="J1278" t="s">
        <v>289</v>
      </c>
      <c r="K1278">
        <v>9966</v>
      </c>
      <c r="M1278">
        <v>2262215</v>
      </c>
      <c r="N1278">
        <v>1</v>
      </c>
    </row>
    <row r="1279" spans="2:14" hidden="1" x14ac:dyDescent="0.25">
      <c r="B1279" t="s">
        <v>225</v>
      </c>
      <c r="C1279" t="str">
        <f>_xlfn.XLOOKUP(B1279,Tabla2[CODIGO],Tabla2[MATERIAL],"N/A",0)</f>
        <v>Abrazadera una salida 6"</v>
      </c>
      <c r="D1279">
        <v>1</v>
      </c>
      <c r="E1279" t="s">
        <v>42</v>
      </c>
      <c r="F1279" t="s">
        <v>62</v>
      </c>
      <c r="G1279" s="1">
        <v>46225</v>
      </c>
      <c r="I1279" s="2"/>
      <c r="J1279" t="s">
        <v>289</v>
      </c>
      <c r="K1279">
        <v>9966</v>
      </c>
      <c r="M1279">
        <v>2085887</v>
      </c>
      <c r="N1279">
        <v>3</v>
      </c>
    </row>
    <row r="1280" spans="2:14" hidden="1" x14ac:dyDescent="0.25">
      <c r="B1280" t="s">
        <v>259</v>
      </c>
      <c r="C1280" t="str">
        <f>_xlfn.XLOOKUP(B1280,Tabla2[CODIGO],Tabla2[MATERIAL],"N/A",0)</f>
        <v>Abrazadera sin salida 6"</v>
      </c>
      <c r="D1280">
        <v>1</v>
      </c>
      <c r="E1280" t="s">
        <v>42</v>
      </c>
      <c r="F1280" t="s">
        <v>62</v>
      </c>
      <c r="G1280" s="1">
        <v>46225</v>
      </c>
      <c r="I1280" s="2"/>
      <c r="J1280" t="s">
        <v>289</v>
      </c>
      <c r="K1280">
        <v>9966</v>
      </c>
      <c r="M1280">
        <v>2085887</v>
      </c>
      <c r="N1280">
        <v>3</v>
      </c>
    </row>
    <row r="1281" spans="2:14" hidden="1" x14ac:dyDescent="0.25">
      <c r="B1281" t="s">
        <v>259</v>
      </c>
      <c r="C1281" t="str">
        <f>_xlfn.XLOOKUP(B1281,Tabla2[CODIGO],Tabla2[MATERIAL],"N/A",0)</f>
        <v>Abrazadera sin salida 6"</v>
      </c>
      <c r="D1281">
        <v>2</v>
      </c>
      <c r="E1281" t="s">
        <v>42</v>
      </c>
      <c r="F1281" t="s">
        <v>62</v>
      </c>
      <c r="G1281" s="1">
        <v>46225</v>
      </c>
      <c r="I1281" s="2"/>
      <c r="J1281" t="s">
        <v>289</v>
      </c>
      <c r="K1281">
        <v>9966</v>
      </c>
      <c r="M1281">
        <v>2262177</v>
      </c>
      <c r="N1281">
        <v>5</v>
      </c>
    </row>
    <row r="1282" spans="2:14" hidden="1" x14ac:dyDescent="0.25">
      <c r="B1282" t="s">
        <v>259</v>
      </c>
      <c r="C1282" t="str">
        <f>_xlfn.XLOOKUP(B1282,Tabla2[CODIGO],Tabla2[MATERIAL],"N/A",0)</f>
        <v>Abrazadera sin salida 6"</v>
      </c>
      <c r="D1282">
        <v>2</v>
      </c>
      <c r="E1282" t="s">
        <v>42</v>
      </c>
      <c r="F1282" t="s">
        <v>62</v>
      </c>
      <c r="G1282" s="1">
        <v>46225</v>
      </c>
      <c r="I1282" s="2"/>
      <c r="J1282" t="s">
        <v>289</v>
      </c>
      <c r="K1282">
        <v>9966</v>
      </c>
      <c r="M1282">
        <v>2262258</v>
      </c>
      <c r="N1282">
        <v>7</v>
      </c>
    </row>
    <row r="1283" spans="2:14" hidden="1" x14ac:dyDescent="0.25">
      <c r="B1283" t="s">
        <v>259</v>
      </c>
      <c r="C1283" t="str">
        <f>_xlfn.XLOOKUP(B1283,Tabla2[CODIGO],Tabla2[MATERIAL],"N/A",0)</f>
        <v>Abrazadera sin salida 6"</v>
      </c>
      <c r="D1283">
        <v>2</v>
      </c>
      <c r="E1283" t="s">
        <v>42</v>
      </c>
      <c r="F1283" t="s">
        <v>62</v>
      </c>
      <c r="G1283" s="1">
        <v>46225</v>
      </c>
      <c r="I1283" s="2"/>
      <c r="J1283" t="s">
        <v>289</v>
      </c>
      <c r="K1283">
        <v>9966</v>
      </c>
      <c r="M1283">
        <v>2262258</v>
      </c>
      <c r="N1283">
        <v>9</v>
      </c>
    </row>
    <row r="1284" spans="2:14" hidden="1" x14ac:dyDescent="0.25">
      <c r="B1284" t="s">
        <v>259</v>
      </c>
      <c r="C1284" t="str">
        <f>_xlfn.XLOOKUP(B1284,Tabla2[CODIGO],Tabla2[MATERIAL],"N/A",0)</f>
        <v>Abrazadera sin salida 6"</v>
      </c>
      <c r="D1284">
        <v>1</v>
      </c>
      <c r="E1284" t="s">
        <v>42</v>
      </c>
      <c r="F1284" t="s">
        <v>62</v>
      </c>
      <c r="G1284" s="1">
        <v>46225</v>
      </c>
      <c r="I1284" s="2"/>
      <c r="J1284" t="s">
        <v>289</v>
      </c>
      <c r="K1284">
        <v>9966</v>
      </c>
      <c r="M1284">
        <v>2262304</v>
      </c>
      <c r="N1284">
        <v>11</v>
      </c>
    </row>
    <row r="1285" spans="2:14" hidden="1" x14ac:dyDescent="0.25">
      <c r="B1285" t="s">
        <v>259</v>
      </c>
      <c r="C1285" t="str">
        <f>_xlfn.XLOOKUP(B1285,Tabla2[CODIGO],Tabla2[MATERIAL],"N/A",0)</f>
        <v>Abrazadera sin salida 6"</v>
      </c>
      <c r="D1285">
        <v>1</v>
      </c>
      <c r="E1285" t="s">
        <v>42</v>
      </c>
      <c r="F1285" t="s">
        <v>62</v>
      </c>
      <c r="G1285" s="1">
        <v>46225</v>
      </c>
      <c r="I1285" s="2"/>
      <c r="J1285" t="s">
        <v>289</v>
      </c>
      <c r="K1285">
        <v>9966</v>
      </c>
      <c r="M1285">
        <v>2262347</v>
      </c>
      <c r="N1285">
        <v>12</v>
      </c>
    </row>
    <row r="1286" spans="2:14" hidden="1" x14ac:dyDescent="0.25">
      <c r="B1286" t="s">
        <v>259</v>
      </c>
      <c r="C1286" t="str">
        <f>_xlfn.XLOOKUP(B1286,Tabla2[CODIGO],Tabla2[MATERIAL],"N/A",0)</f>
        <v>Abrazadera sin salida 6"</v>
      </c>
      <c r="D1286">
        <v>2</v>
      </c>
      <c r="E1286" t="s">
        <v>42</v>
      </c>
      <c r="F1286" t="s">
        <v>62</v>
      </c>
      <c r="G1286" s="1">
        <v>46225</v>
      </c>
      <c r="I1286" s="2"/>
      <c r="J1286" t="s">
        <v>289</v>
      </c>
      <c r="K1286">
        <v>9966</v>
      </c>
      <c r="M1286">
        <v>2262398</v>
      </c>
      <c r="N1286">
        <v>13</v>
      </c>
    </row>
    <row r="1287" spans="2:14" hidden="1" x14ac:dyDescent="0.25">
      <c r="B1287" t="s">
        <v>259</v>
      </c>
      <c r="C1287" t="str">
        <f>_xlfn.XLOOKUP(B1287,Tabla2[CODIGO],Tabla2[MATERIAL],"N/A",0)</f>
        <v>Abrazadera sin salida 6"</v>
      </c>
      <c r="D1287">
        <v>2</v>
      </c>
      <c r="E1287" t="s">
        <v>42</v>
      </c>
      <c r="F1287" t="s">
        <v>62</v>
      </c>
      <c r="G1287" s="1">
        <v>46225</v>
      </c>
      <c r="I1287" s="2"/>
      <c r="J1287" t="s">
        <v>289</v>
      </c>
      <c r="K1287">
        <v>9966</v>
      </c>
      <c r="M1287">
        <v>2262126</v>
      </c>
      <c r="N1287">
        <v>16</v>
      </c>
    </row>
    <row r="1288" spans="2:14" hidden="1" x14ac:dyDescent="0.25">
      <c r="B1288" t="s">
        <v>259</v>
      </c>
      <c r="C1288" t="str">
        <f>_xlfn.XLOOKUP(B1288,Tabla2[CODIGO],Tabla2[MATERIAL],"N/A",0)</f>
        <v>Abrazadera sin salida 6"</v>
      </c>
      <c r="D1288">
        <v>2</v>
      </c>
      <c r="E1288" t="s">
        <v>42</v>
      </c>
      <c r="F1288" t="s">
        <v>62</v>
      </c>
      <c r="G1288" s="1">
        <v>46225</v>
      </c>
      <c r="I1288" s="2"/>
      <c r="J1288" t="s">
        <v>289</v>
      </c>
      <c r="K1288">
        <v>9966</v>
      </c>
      <c r="M1288">
        <v>2262487</v>
      </c>
      <c r="N1288">
        <v>17</v>
      </c>
    </row>
    <row r="1289" spans="2:14" hidden="1" x14ac:dyDescent="0.25">
      <c r="B1289" t="s">
        <v>259</v>
      </c>
      <c r="C1289" t="str">
        <f>_xlfn.XLOOKUP(B1289,Tabla2[CODIGO],Tabla2[MATERIAL],"N/A",0)</f>
        <v>Abrazadera sin salida 6"</v>
      </c>
      <c r="D1289">
        <v>2</v>
      </c>
      <c r="E1289" t="s">
        <v>42</v>
      </c>
      <c r="F1289" t="s">
        <v>62</v>
      </c>
      <c r="G1289" s="1">
        <v>46225</v>
      </c>
      <c r="I1289" s="2"/>
      <c r="J1289" t="s">
        <v>289</v>
      </c>
      <c r="K1289">
        <v>9966</v>
      </c>
      <c r="M1289">
        <v>2262487</v>
      </c>
      <c r="N1289">
        <v>20</v>
      </c>
    </row>
    <row r="1290" spans="2:14" hidden="1" x14ac:dyDescent="0.25">
      <c r="B1290" t="s">
        <v>259</v>
      </c>
      <c r="C1290" t="str">
        <f>_xlfn.XLOOKUP(B1290,Tabla2[CODIGO],Tabla2[MATERIAL],"N/A",0)</f>
        <v>Abrazadera sin salida 6"</v>
      </c>
      <c r="D1290">
        <v>2</v>
      </c>
      <c r="E1290" t="s">
        <v>42</v>
      </c>
      <c r="F1290" t="s">
        <v>62</v>
      </c>
      <c r="G1290" s="1">
        <v>46225</v>
      </c>
      <c r="I1290" s="2"/>
      <c r="J1290" t="s">
        <v>289</v>
      </c>
      <c r="K1290">
        <v>9966</v>
      </c>
      <c r="M1290">
        <v>2262126</v>
      </c>
      <c r="N1290">
        <v>21</v>
      </c>
    </row>
    <row r="1291" spans="2:14" hidden="1" x14ac:dyDescent="0.25">
      <c r="B1291" t="s">
        <v>259</v>
      </c>
      <c r="C1291" t="str">
        <f>_xlfn.XLOOKUP(B1291,Tabla2[CODIGO],Tabla2[MATERIAL],"N/A",0)</f>
        <v>Abrazadera sin salida 6"</v>
      </c>
      <c r="D1291">
        <v>2</v>
      </c>
      <c r="E1291" t="s">
        <v>42</v>
      </c>
      <c r="F1291" t="s">
        <v>62</v>
      </c>
      <c r="G1291" s="1">
        <v>46225</v>
      </c>
      <c r="I1291" s="2"/>
      <c r="J1291" t="s">
        <v>289</v>
      </c>
      <c r="K1291">
        <v>9966</v>
      </c>
      <c r="M1291">
        <v>2262436</v>
      </c>
      <c r="N1291">
        <v>22</v>
      </c>
    </row>
    <row r="1292" spans="2:14" hidden="1" x14ac:dyDescent="0.25">
      <c r="B1292" t="s">
        <v>299</v>
      </c>
      <c r="C1292" t="str">
        <f>_xlfn.XLOOKUP(B1292,Tabla2[CODIGO],Tabla2[MATERIAL],"N/A",0)</f>
        <v>Abrazadera una salida 7"</v>
      </c>
      <c r="D1292">
        <v>2</v>
      </c>
      <c r="E1292" t="s">
        <v>42</v>
      </c>
      <c r="F1292" t="s">
        <v>62</v>
      </c>
      <c r="G1292" s="1">
        <v>46225</v>
      </c>
      <c r="I1292" s="2"/>
      <c r="J1292" t="s">
        <v>289</v>
      </c>
      <c r="K1292">
        <v>9966</v>
      </c>
      <c r="M1292">
        <v>2262487</v>
      </c>
      <c r="N1292">
        <v>17</v>
      </c>
    </row>
    <row r="1293" spans="2:14" hidden="1" x14ac:dyDescent="0.25">
      <c r="B1293" t="s">
        <v>225</v>
      </c>
      <c r="C1293" t="str">
        <f>_xlfn.XLOOKUP(B1293,Tabla2[CODIGO],Tabla2[MATERIAL],"N/A",0)</f>
        <v>Abrazadera una salida 6"</v>
      </c>
      <c r="D1293">
        <v>2</v>
      </c>
      <c r="E1293" t="s">
        <v>42</v>
      </c>
      <c r="F1293" t="s">
        <v>62</v>
      </c>
      <c r="G1293" s="1">
        <v>46225</v>
      </c>
      <c r="I1293" s="2"/>
      <c r="J1293" t="s">
        <v>289</v>
      </c>
      <c r="K1293">
        <v>9966</v>
      </c>
      <c r="M1293">
        <v>2262436</v>
      </c>
      <c r="N1293">
        <v>24</v>
      </c>
    </row>
    <row r="1294" spans="2:14" hidden="1" x14ac:dyDescent="0.25">
      <c r="B1294" t="s">
        <v>50</v>
      </c>
      <c r="C1294" t="str">
        <f>_xlfn.XLOOKUP(B1294,Tabla2[CODIGO],Tabla2[MATERIAL],"N/A",0)</f>
        <v>Percha galv 1 puesto</v>
      </c>
      <c r="D1294">
        <v>1</v>
      </c>
      <c r="E1294" t="s">
        <v>42</v>
      </c>
      <c r="F1294" t="s">
        <v>62</v>
      </c>
      <c r="G1294" s="1">
        <v>46225</v>
      </c>
      <c r="I1294" s="2"/>
      <c r="J1294" t="s">
        <v>289</v>
      </c>
      <c r="K1294">
        <v>9966</v>
      </c>
      <c r="M1294">
        <v>2085887</v>
      </c>
      <c r="N1294">
        <v>3</v>
      </c>
    </row>
    <row r="1295" spans="2:14" hidden="1" x14ac:dyDescent="0.25">
      <c r="B1295" t="s">
        <v>56</v>
      </c>
      <c r="C1295" t="str">
        <f>_xlfn.XLOOKUP(B1295,Tabla2[CODIGO],Tabla2[MATERIAL],"N/A",0)</f>
        <v>Aislador Carrreto</v>
      </c>
      <c r="D1295">
        <v>1</v>
      </c>
      <c r="E1295" t="s">
        <v>42</v>
      </c>
      <c r="F1295" t="s">
        <v>62</v>
      </c>
      <c r="G1295" s="1">
        <v>46225</v>
      </c>
      <c r="I1295" s="2"/>
      <c r="J1295" t="s">
        <v>289</v>
      </c>
      <c r="K1295">
        <v>9966</v>
      </c>
      <c r="M1295">
        <v>2085887</v>
      </c>
      <c r="N1295">
        <v>3</v>
      </c>
    </row>
    <row r="1296" spans="2:14" hidden="1" x14ac:dyDescent="0.25">
      <c r="B1296" t="s">
        <v>222</v>
      </c>
      <c r="C1296" t="str">
        <f>_xlfn.XLOOKUP(B1296,Tabla2[CODIGO],Tabla2[MATERIAL],"N/A",0)</f>
        <v>Conector de Perforacion ais kz-ep (EP95) pequeño</v>
      </c>
      <c r="D1296">
        <v>3</v>
      </c>
      <c r="E1296" t="s">
        <v>42</v>
      </c>
      <c r="F1296" t="s">
        <v>62</v>
      </c>
      <c r="G1296" s="1">
        <v>46225</v>
      </c>
      <c r="I1296" s="2"/>
      <c r="J1296" t="s">
        <v>289</v>
      </c>
      <c r="K1296">
        <v>9966</v>
      </c>
      <c r="M1296">
        <v>2085887</v>
      </c>
      <c r="N1296">
        <v>3</v>
      </c>
    </row>
    <row r="1297" spans="2:14" hidden="1" x14ac:dyDescent="0.25">
      <c r="B1297" t="s">
        <v>222</v>
      </c>
      <c r="C1297" t="str">
        <f>_xlfn.XLOOKUP(B1297,Tabla2[CODIGO],Tabla2[MATERIAL],"N/A",0)</f>
        <v>Conector de Perforacion ais kz-ep (EP95) pequeño</v>
      </c>
      <c r="D1297">
        <v>2</v>
      </c>
      <c r="E1297" t="s">
        <v>42</v>
      </c>
      <c r="F1297" t="s">
        <v>62</v>
      </c>
      <c r="G1297" s="1">
        <v>46225</v>
      </c>
      <c r="I1297" s="2"/>
      <c r="J1297" t="s">
        <v>289</v>
      </c>
      <c r="K1297">
        <v>9966</v>
      </c>
      <c r="M1297">
        <v>2262487</v>
      </c>
      <c r="N1297">
        <v>17</v>
      </c>
    </row>
    <row r="1298" spans="2:14" hidden="1" x14ac:dyDescent="0.25">
      <c r="B1298" t="s">
        <v>222</v>
      </c>
      <c r="C1298" t="str">
        <f>_xlfn.XLOOKUP(B1298,Tabla2[CODIGO],Tabla2[MATERIAL],"N/A",0)</f>
        <v>Conector de Perforacion ais kz-ep (EP95) pequeño</v>
      </c>
      <c r="D1298">
        <v>2</v>
      </c>
      <c r="E1298" t="s">
        <v>42</v>
      </c>
      <c r="F1298" t="s">
        <v>62</v>
      </c>
      <c r="G1298" s="1">
        <v>46225</v>
      </c>
      <c r="I1298" s="2"/>
      <c r="J1298" t="s">
        <v>289</v>
      </c>
      <c r="K1298">
        <v>9966</v>
      </c>
      <c r="M1298" s="11">
        <v>2262436</v>
      </c>
      <c r="N1298" s="11">
        <v>23</v>
      </c>
    </row>
    <row r="1299" spans="2:14" hidden="1" x14ac:dyDescent="0.25">
      <c r="B1299" t="s">
        <v>54</v>
      </c>
      <c r="C1299" t="str">
        <f>_xlfn.XLOOKUP(B1299,Tabla2[CODIGO],Tabla2[MATERIAL],"N/A",0)</f>
        <v>Conector resorte 18-8</v>
      </c>
      <c r="D1299">
        <v>3</v>
      </c>
      <c r="E1299" t="s">
        <v>42</v>
      </c>
      <c r="F1299" t="s">
        <v>62</v>
      </c>
      <c r="G1299" s="1">
        <v>46225</v>
      </c>
      <c r="I1299" s="2"/>
      <c r="J1299" t="s">
        <v>289</v>
      </c>
      <c r="K1299">
        <v>9966</v>
      </c>
      <c r="M1299">
        <v>2262215</v>
      </c>
      <c r="N1299">
        <v>1</v>
      </c>
    </row>
    <row r="1300" spans="2:14" hidden="1" x14ac:dyDescent="0.25">
      <c r="B1300" t="s">
        <v>54</v>
      </c>
      <c r="C1300" t="str">
        <f>_xlfn.XLOOKUP(B1300,Tabla2[CODIGO],Tabla2[MATERIAL],"N/A",0)</f>
        <v>Conector resorte 18-8</v>
      </c>
      <c r="D1300">
        <v>3</v>
      </c>
      <c r="E1300" t="s">
        <v>42</v>
      </c>
      <c r="F1300" t="s">
        <v>62</v>
      </c>
      <c r="G1300" s="1">
        <v>46225</v>
      </c>
      <c r="I1300" s="2"/>
      <c r="J1300" t="s">
        <v>289</v>
      </c>
      <c r="K1300">
        <v>9966</v>
      </c>
      <c r="M1300">
        <v>2262177</v>
      </c>
      <c r="N1300">
        <v>5</v>
      </c>
    </row>
    <row r="1301" spans="2:14" hidden="1" x14ac:dyDescent="0.25">
      <c r="B1301" t="s">
        <v>54</v>
      </c>
      <c r="C1301" t="str">
        <f>_xlfn.XLOOKUP(B1301,Tabla2[CODIGO],Tabla2[MATERIAL],"N/A",0)</f>
        <v>Conector resorte 18-8</v>
      </c>
      <c r="D1301">
        <v>3</v>
      </c>
      <c r="E1301" t="s">
        <v>42</v>
      </c>
      <c r="F1301" t="s">
        <v>62</v>
      </c>
      <c r="G1301" s="1">
        <v>46225</v>
      </c>
      <c r="I1301" s="2"/>
      <c r="J1301" t="s">
        <v>289</v>
      </c>
      <c r="K1301">
        <v>9966</v>
      </c>
      <c r="M1301">
        <v>2262258</v>
      </c>
      <c r="N1301">
        <v>7</v>
      </c>
    </row>
    <row r="1302" spans="2:14" hidden="1" x14ac:dyDescent="0.25">
      <c r="B1302" t="s">
        <v>54</v>
      </c>
      <c r="C1302" t="str">
        <f>_xlfn.XLOOKUP(B1302,Tabla2[CODIGO],Tabla2[MATERIAL],"N/A",0)</f>
        <v>Conector resorte 18-8</v>
      </c>
      <c r="D1302">
        <v>3</v>
      </c>
      <c r="E1302" t="s">
        <v>42</v>
      </c>
      <c r="F1302" t="s">
        <v>62</v>
      </c>
      <c r="G1302" s="1">
        <v>46225</v>
      </c>
      <c r="I1302" s="2"/>
      <c r="J1302" t="s">
        <v>289</v>
      </c>
      <c r="K1302">
        <v>9966</v>
      </c>
      <c r="M1302">
        <v>2262304</v>
      </c>
      <c r="N1302">
        <v>9</v>
      </c>
    </row>
    <row r="1303" spans="2:14" hidden="1" x14ac:dyDescent="0.25">
      <c r="B1303" t="s">
        <v>54</v>
      </c>
      <c r="C1303" t="str">
        <f>_xlfn.XLOOKUP(B1303,Tabla2[CODIGO],Tabla2[MATERIAL],"N/A",0)</f>
        <v>Conector resorte 18-8</v>
      </c>
      <c r="D1303">
        <v>3</v>
      </c>
      <c r="E1303" t="s">
        <v>42</v>
      </c>
      <c r="F1303" t="s">
        <v>62</v>
      </c>
      <c r="G1303" s="1">
        <v>46225</v>
      </c>
      <c r="I1303" s="2"/>
      <c r="J1303" t="s">
        <v>289</v>
      </c>
      <c r="K1303">
        <v>9966</v>
      </c>
      <c r="M1303">
        <v>2262347</v>
      </c>
      <c r="N1303">
        <v>11</v>
      </c>
    </row>
    <row r="1304" spans="2:14" hidden="1" x14ac:dyDescent="0.25">
      <c r="B1304" t="s">
        <v>54</v>
      </c>
      <c r="C1304" t="str">
        <f>_xlfn.XLOOKUP(B1304,Tabla2[CODIGO],Tabla2[MATERIAL],"N/A",0)</f>
        <v>Conector resorte 18-8</v>
      </c>
      <c r="D1304">
        <v>3</v>
      </c>
      <c r="E1304" t="s">
        <v>42</v>
      </c>
      <c r="F1304" t="s">
        <v>62</v>
      </c>
      <c r="G1304" s="1">
        <v>46225</v>
      </c>
      <c r="I1304" s="2"/>
      <c r="J1304" t="s">
        <v>289</v>
      </c>
      <c r="K1304">
        <v>9966</v>
      </c>
      <c r="M1304">
        <v>2262398</v>
      </c>
      <c r="N1304">
        <v>13</v>
      </c>
    </row>
    <row r="1305" spans="2:14" hidden="1" x14ac:dyDescent="0.25">
      <c r="B1305" t="s">
        <v>54</v>
      </c>
      <c r="C1305" t="str">
        <f>_xlfn.XLOOKUP(B1305,Tabla2[CODIGO],Tabla2[MATERIAL],"N/A",0)</f>
        <v>Conector resorte 18-8</v>
      </c>
      <c r="D1305">
        <v>3</v>
      </c>
      <c r="E1305" t="s">
        <v>42</v>
      </c>
      <c r="F1305" t="s">
        <v>62</v>
      </c>
      <c r="G1305" s="1">
        <v>46225</v>
      </c>
      <c r="I1305" s="2"/>
      <c r="J1305" t="s">
        <v>289</v>
      </c>
      <c r="K1305">
        <v>9966</v>
      </c>
      <c r="M1305">
        <v>2262126</v>
      </c>
      <c r="N1305">
        <v>15</v>
      </c>
    </row>
    <row r="1306" spans="2:14" hidden="1" x14ac:dyDescent="0.25">
      <c r="B1306" t="s">
        <v>54</v>
      </c>
      <c r="C1306" t="str">
        <f>_xlfn.XLOOKUP(B1306,Tabla2[CODIGO],Tabla2[MATERIAL],"N/A",0)</f>
        <v>Conector resorte 18-8</v>
      </c>
      <c r="D1306">
        <v>1</v>
      </c>
      <c r="E1306" t="s">
        <v>42</v>
      </c>
      <c r="F1306" t="s">
        <v>62</v>
      </c>
      <c r="G1306" s="1">
        <v>46225</v>
      </c>
      <c r="I1306" s="2"/>
      <c r="J1306" t="s">
        <v>289</v>
      </c>
      <c r="K1306">
        <v>9966</v>
      </c>
      <c r="M1306">
        <v>2262487</v>
      </c>
      <c r="N1306">
        <v>17</v>
      </c>
    </row>
    <row r="1307" spans="2:14" hidden="1" x14ac:dyDescent="0.25">
      <c r="B1307" t="s">
        <v>54</v>
      </c>
      <c r="C1307" t="str">
        <f>_xlfn.XLOOKUP(B1307,Tabla2[CODIGO],Tabla2[MATERIAL],"N/A",0)</f>
        <v>Conector resorte 18-8</v>
      </c>
      <c r="D1307">
        <v>1</v>
      </c>
      <c r="E1307" t="s">
        <v>42</v>
      </c>
      <c r="F1307" t="s">
        <v>62</v>
      </c>
      <c r="G1307" s="1">
        <v>46225</v>
      </c>
      <c r="I1307" s="2"/>
      <c r="J1307" t="s">
        <v>289</v>
      </c>
      <c r="K1307">
        <v>9966</v>
      </c>
      <c r="M1307">
        <v>2262436</v>
      </c>
      <c r="N1307">
        <v>24</v>
      </c>
    </row>
    <row r="1308" spans="2:14" hidden="1" x14ac:dyDescent="0.25">
      <c r="B1308" t="s">
        <v>21</v>
      </c>
      <c r="C1308" t="str">
        <f>_xlfn.XLOOKUP(B1308,Tabla2[CODIGO],Tabla2[MATERIAL],"N/A",0)</f>
        <v>Cable Encauchetado 3x14 pvc</v>
      </c>
      <c r="D1308">
        <v>12</v>
      </c>
      <c r="E1308" t="s">
        <v>43</v>
      </c>
      <c r="F1308" t="s">
        <v>62</v>
      </c>
      <c r="G1308" s="1">
        <v>46225</v>
      </c>
      <c r="I1308" s="2"/>
      <c r="J1308" t="s">
        <v>289</v>
      </c>
      <c r="K1308">
        <v>9966</v>
      </c>
      <c r="M1308">
        <v>2262215</v>
      </c>
      <c r="N1308">
        <v>1</v>
      </c>
    </row>
    <row r="1309" spans="2:14" hidden="1" x14ac:dyDescent="0.25">
      <c r="B1309" t="s">
        <v>21</v>
      </c>
      <c r="C1309" t="str">
        <f>_xlfn.XLOOKUP(B1309,Tabla2[CODIGO],Tabla2[MATERIAL],"N/A",0)</f>
        <v>Cable Encauchetado 3x14 pvc</v>
      </c>
      <c r="D1309">
        <v>12</v>
      </c>
      <c r="E1309" t="s">
        <v>43</v>
      </c>
      <c r="F1309" t="s">
        <v>62</v>
      </c>
      <c r="G1309" s="1">
        <v>46225</v>
      </c>
      <c r="I1309" s="2"/>
      <c r="J1309" t="s">
        <v>289</v>
      </c>
      <c r="K1309">
        <v>9966</v>
      </c>
      <c r="M1309">
        <v>2262177</v>
      </c>
      <c r="N1309">
        <v>5</v>
      </c>
    </row>
    <row r="1310" spans="2:14" hidden="1" x14ac:dyDescent="0.25">
      <c r="B1310" t="s">
        <v>21</v>
      </c>
      <c r="C1310" t="str">
        <f>_xlfn.XLOOKUP(B1310,Tabla2[CODIGO],Tabla2[MATERIAL],"N/A",0)</f>
        <v>Cable Encauchetado 3x14 pvc</v>
      </c>
      <c r="D1310">
        <v>12</v>
      </c>
      <c r="E1310" t="s">
        <v>43</v>
      </c>
      <c r="F1310" t="s">
        <v>62</v>
      </c>
      <c r="G1310" s="1">
        <v>46225</v>
      </c>
      <c r="I1310" s="2"/>
      <c r="J1310" t="s">
        <v>289</v>
      </c>
      <c r="K1310">
        <v>9966</v>
      </c>
      <c r="M1310">
        <v>2262258</v>
      </c>
      <c r="N1310">
        <v>7</v>
      </c>
    </row>
    <row r="1311" spans="2:14" hidden="1" x14ac:dyDescent="0.25">
      <c r="B1311" t="s">
        <v>21</v>
      </c>
      <c r="C1311" t="str">
        <f>_xlfn.XLOOKUP(B1311,Tabla2[CODIGO],Tabla2[MATERIAL],"N/A",0)</f>
        <v>Cable Encauchetado 3x14 pvc</v>
      </c>
      <c r="D1311">
        <v>12</v>
      </c>
      <c r="E1311" t="s">
        <v>43</v>
      </c>
      <c r="F1311" t="s">
        <v>62</v>
      </c>
      <c r="G1311" s="1">
        <v>46225</v>
      </c>
      <c r="I1311" s="2"/>
      <c r="J1311" t="s">
        <v>289</v>
      </c>
      <c r="K1311">
        <v>9966</v>
      </c>
      <c r="M1311">
        <v>2262304</v>
      </c>
      <c r="N1311">
        <v>9</v>
      </c>
    </row>
    <row r="1312" spans="2:14" hidden="1" x14ac:dyDescent="0.25">
      <c r="B1312" t="s">
        <v>21</v>
      </c>
      <c r="C1312" t="str">
        <f>_xlfn.XLOOKUP(B1312,Tabla2[CODIGO],Tabla2[MATERIAL],"N/A",0)</f>
        <v>Cable Encauchetado 3x14 pvc</v>
      </c>
      <c r="D1312">
        <v>12</v>
      </c>
      <c r="E1312" t="s">
        <v>43</v>
      </c>
      <c r="F1312" t="s">
        <v>62</v>
      </c>
      <c r="G1312" s="1">
        <v>46225</v>
      </c>
      <c r="I1312" s="2"/>
      <c r="J1312" t="s">
        <v>289</v>
      </c>
      <c r="K1312">
        <v>9966</v>
      </c>
      <c r="M1312">
        <v>2262347</v>
      </c>
      <c r="N1312">
        <v>11</v>
      </c>
    </row>
    <row r="1313" spans="2:14" hidden="1" x14ac:dyDescent="0.25">
      <c r="B1313" t="s">
        <v>21</v>
      </c>
      <c r="C1313" t="str">
        <f>_xlfn.XLOOKUP(B1313,Tabla2[CODIGO],Tabla2[MATERIAL],"N/A",0)</f>
        <v>Cable Encauchetado 3x14 pvc</v>
      </c>
      <c r="D1313">
        <v>12</v>
      </c>
      <c r="E1313" t="s">
        <v>43</v>
      </c>
      <c r="F1313" t="s">
        <v>62</v>
      </c>
      <c r="G1313" s="1">
        <v>46225</v>
      </c>
      <c r="I1313" s="2"/>
      <c r="J1313" t="s">
        <v>289</v>
      </c>
      <c r="K1313">
        <v>9966</v>
      </c>
      <c r="M1313">
        <v>2262398</v>
      </c>
      <c r="N1313">
        <v>13</v>
      </c>
    </row>
    <row r="1314" spans="2:14" hidden="1" x14ac:dyDescent="0.25">
      <c r="B1314" t="s">
        <v>21</v>
      </c>
      <c r="C1314" t="str">
        <f>_xlfn.XLOOKUP(B1314,Tabla2[CODIGO],Tabla2[MATERIAL],"N/A",0)</f>
        <v>Cable Encauchetado 3x14 pvc</v>
      </c>
      <c r="D1314">
        <v>12</v>
      </c>
      <c r="E1314" t="s">
        <v>43</v>
      </c>
      <c r="F1314" t="s">
        <v>62</v>
      </c>
      <c r="G1314" s="1">
        <v>46225</v>
      </c>
      <c r="I1314" s="2"/>
      <c r="J1314" t="s">
        <v>289</v>
      </c>
      <c r="K1314">
        <v>9966</v>
      </c>
      <c r="M1314">
        <v>2262126</v>
      </c>
      <c r="N1314">
        <v>15</v>
      </c>
    </row>
    <row r="1315" spans="2:14" hidden="1" x14ac:dyDescent="0.25">
      <c r="B1315" t="s">
        <v>198</v>
      </c>
      <c r="C1315" t="str">
        <f>_xlfn.XLOOKUP(B1315,Tabla2[CODIGO],Tabla2[MATERIAL],"N/A",0)</f>
        <v>Varilla cooperweld 2,4m</v>
      </c>
      <c r="D1315">
        <v>1</v>
      </c>
      <c r="E1315" t="s">
        <v>42</v>
      </c>
      <c r="F1315" t="s">
        <v>62</v>
      </c>
      <c r="G1315" s="1">
        <v>46225</v>
      </c>
      <c r="I1315" s="2"/>
      <c r="J1315" t="s">
        <v>289</v>
      </c>
      <c r="K1315">
        <v>9966</v>
      </c>
      <c r="M1315">
        <v>2262215</v>
      </c>
      <c r="N1315">
        <v>1</v>
      </c>
    </row>
    <row r="1316" spans="2:14" hidden="1" x14ac:dyDescent="0.25">
      <c r="B1316" t="s">
        <v>198</v>
      </c>
      <c r="C1316" t="str">
        <f>_xlfn.XLOOKUP(B1316,Tabla2[CODIGO],Tabla2[MATERIAL],"N/A",0)</f>
        <v>Varilla cooperweld 2,4m</v>
      </c>
      <c r="D1316">
        <v>1</v>
      </c>
      <c r="E1316" t="s">
        <v>42</v>
      </c>
      <c r="F1316" t="s">
        <v>62</v>
      </c>
      <c r="G1316" s="1">
        <v>46225</v>
      </c>
      <c r="I1316" s="2"/>
      <c r="J1316" t="s">
        <v>289</v>
      </c>
      <c r="K1316">
        <v>9966</v>
      </c>
      <c r="M1316">
        <v>2085887</v>
      </c>
      <c r="N1316">
        <v>3</v>
      </c>
    </row>
    <row r="1317" spans="2:14" hidden="1" x14ac:dyDescent="0.25">
      <c r="B1317" t="s">
        <v>198</v>
      </c>
      <c r="C1317" t="str">
        <f>_xlfn.XLOOKUP(B1317,Tabla2[CODIGO],Tabla2[MATERIAL],"N/A",0)</f>
        <v>Varilla cooperweld 2,4m</v>
      </c>
      <c r="D1317">
        <v>1</v>
      </c>
      <c r="E1317" t="s">
        <v>42</v>
      </c>
      <c r="F1317" t="s">
        <v>62</v>
      </c>
      <c r="G1317" s="1">
        <v>46225</v>
      </c>
      <c r="I1317" s="2"/>
      <c r="J1317" t="s">
        <v>289</v>
      </c>
      <c r="K1317">
        <v>9966</v>
      </c>
      <c r="M1317">
        <v>2262177</v>
      </c>
      <c r="N1317">
        <v>5</v>
      </c>
    </row>
    <row r="1318" spans="2:14" hidden="1" x14ac:dyDescent="0.25">
      <c r="B1318" t="s">
        <v>198</v>
      </c>
      <c r="C1318" t="str">
        <f>_xlfn.XLOOKUP(B1318,Tabla2[CODIGO],Tabla2[MATERIAL],"N/A",0)</f>
        <v>Varilla cooperweld 2,4m</v>
      </c>
      <c r="D1318">
        <v>1</v>
      </c>
      <c r="E1318" t="s">
        <v>42</v>
      </c>
      <c r="F1318" t="s">
        <v>62</v>
      </c>
      <c r="G1318" s="1">
        <v>46225</v>
      </c>
      <c r="I1318" s="2"/>
      <c r="J1318" t="s">
        <v>289</v>
      </c>
      <c r="K1318">
        <v>9966</v>
      </c>
      <c r="M1318">
        <v>2262258</v>
      </c>
      <c r="N1318">
        <v>7</v>
      </c>
    </row>
    <row r="1319" spans="2:14" hidden="1" x14ac:dyDescent="0.25">
      <c r="B1319" t="s">
        <v>198</v>
      </c>
      <c r="C1319" t="str">
        <f>_xlfn.XLOOKUP(B1319,Tabla2[CODIGO],Tabla2[MATERIAL],"N/A",0)</f>
        <v>Varilla cooperweld 2,4m</v>
      </c>
      <c r="D1319">
        <v>1</v>
      </c>
      <c r="E1319" t="s">
        <v>42</v>
      </c>
      <c r="F1319" t="s">
        <v>62</v>
      </c>
      <c r="G1319" s="1">
        <v>46225</v>
      </c>
      <c r="I1319" s="2"/>
      <c r="J1319" t="s">
        <v>289</v>
      </c>
      <c r="K1319">
        <v>9966</v>
      </c>
      <c r="M1319">
        <v>2262304</v>
      </c>
      <c r="N1319">
        <v>9</v>
      </c>
    </row>
    <row r="1320" spans="2:14" hidden="1" x14ac:dyDescent="0.25">
      <c r="B1320" t="s">
        <v>198</v>
      </c>
      <c r="C1320" t="str">
        <f>_xlfn.XLOOKUP(B1320,Tabla2[CODIGO],Tabla2[MATERIAL],"N/A",0)</f>
        <v>Varilla cooperweld 2,4m</v>
      </c>
      <c r="D1320">
        <v>1</v>
      </c>
      <c r="E1320" t="s">
        <v>42</v>
      </c>
      <c r="F1320" t="s">
        <v>62</v>
      </c>
      <c r="G1320" s="1">
        <v>46225</v>
      </c>
      <c r="I1320" s="2"/>
      <c r="J1320" t="s">
        <v>289</v>
      </c>
      <c r="K1320">
        <v>9966</v>
      </c>
      <c r="M1320">
        <v>2262347</v>
      </c>
      <c r="N1320">
        <v>11</v>
      </c>
    </row>
    <row r="1321" spans="2:14" hidden="1" x14ac:dyDescent="0.25">
      <c r="B1321" t="s">
        <v>198</v>
      </c>
      <c r="C1321" t="str">
        <f>_xlfn.XLOOKUP(B1321,Tabla2[CODIGO],Tabla2[MATERIAL],"N/A",0)</f>
        <v>Varilla cooperweld 2,4m</v>
      </c>
      <c r="D1321">
        <v>1</v>
      </c>
      <c r="E1321" t="s">
        <v>42</v>
      </c>
      <c r="F1321" t="s">
        <v>62</v>
      </c>
      <c r="G1321" s="1">
        <v>46225</v>
      </c>
      <c r="I1321" s="2"/>
      <c r="J1321" t="s">
        <v>289</v>
      </c>
      <c r="K1321">
        <v>9966</v>
      </c>
      <c r="M1321">
        <v>2262126</v>
      </c>
      <c r="N1321">
        <v>15</v>
      </c>
    </row>
    <row r="1322" spans="2:14" hidden="1" x14ac:dyDescent="0.25">
      <c r="B1322" t="s">
        <v>36</v>
      </c>
      <c r="C1322" t="str">
        <f>_xlfn.XLOOKUP(B1322,Tabla2[CODIGO],Tabla2[MATERIAL],"N/A",0)</f>
        <v>Cinta Bandit 1/2"</v>
      </c>
      <c r="D1322">
        <v>4</v>
      </c>
      <c r="E1322" t="s">
        <v>42</v>
      </c>
      <c r="F1322" t="s">
        <v>62</v>
      </c>
      <c r="G1322" s="1">
        <v>46225</v>
      </c>
      <c r="I1322" s="2"/>
      <c r="J1322" t="s">
        <v>289</v>
      </c>
      <c r="K1322">
        <v>9966</v>
      </c>
      <c r="M1322" s="11">
        <v>2262436</v>
      </c>
      <c r="N1322" s="11">
        <v>23</v>
      </c>
    </row>
    <row r="1323" spans="2:14" hidden="1" x14ac:dyDescent="0.25">
      <c r="B1323" t="s">
        <v>37</v>
      </c>
      <c r="C1323" t="str">
        <f>_xlfn.XLOOKUP(B1323,Tabla2[CODIGO],Tabla2[MATERIAL],"N/A",0)</f>
        <v>Hebilla para cinta bandit 1/2"</v>
      </c>
      <c r="D1323">
        <v>4</v>
      </c>
      <c r="E1323" t="s">
        <v>42</v>
      </c>
      <c r="F1323" t="s">
        <v>62</v>
      </c>
      <c r="G1323" s="1">
        <v>46225</v>
      </c>
      <c r="I1323" s="2"/>
      <c r="J1323" t="s">
        <v>289</v>
      </c>
      <c r="K1323">
        <v>9966</v>
      </c>
      <c r="M1323" s="11">
        <v>2262436</v>
      </c>
      <c r="N1323" s="11">
        <v>23</v>
      </c>
    </row>
    <row r="1324" spans="2:14" hidden="1" x14ac:dyDescent="0.25">
      <c r="B1324" t="s">
        <v>318</v>
      </c>
      <c r="C1324" t="str">
        <f>_xlfn.XLOOKUP(B1324,Tabla2[CODIGO],Tabla2[MATERIAL],"N/A",0)</f>
        <v>Cable AL aa-8000 4 awg</v>
      </c>
      <c r="D1324">
        <v>24</v>
      </c>
      <c r="E1324" t="s">
        <v>43</v>
      </c>
      <c r="F1324" t="s">
        <v>62</v>
      </c>
      <c r="G1324" s="1">
        <v>46225</v>
      </c>
      <c r="I1324" s="2"/>
      <c r="J1324" t="s">
        <v>289</v>
      </c>
      <c r="K1324">
        <v>9966</v>
      </c>
      <c r="M1324">
        <v>2085887</v>
      </c>
      <c r="N1324">
        <v>3</v>
      </c>
    </row>
    <row r="1325" spans="2:14" hidden="1" x14ac:dyDescent="0.25">
      <c r="B1325" t="s">
        <v>318</v>
      </c>
      <c r="C1325" t="str">
        <f>_xlfn.XLOOKUP(B1325,Tabla2[CODIGO],Tabla2[MATERIAL],"N/A",0)</f>
        <v>Cable AL aa-8000 4 awg</v>
      </c>
      <c r="D1325">
        <v>92</v>
      </c>
      <c r="E1325" t="s">
        <v>43</v>
      </c>
      <c r="F1325" t="s">
        <v>62</v>
      </c>
      <c r="G1325" s="1">
        <v>46225</v>
      </c>
      <c r="I1325" s="2"/>
      <c r="J1325" t="s">
        <v>289</v>
      </c>
      <c r="K1325">
        <v>9966</v>
      </c>
      <c r="M1325">
        <v>2262487</v>
      </c>
      <c r="N1325">
        <v>17</v>
      </c>
    </row>
    <row r="1326" spans="2:14" hidden="1" x14ac:dyDescent="0.25">
      <c r="B1326" t="s">
        <v>318</v>
      </c>
      <c r="C1326" t="str">
        <f>_xlfn.XLOOKUP(B1326,Tabla2[CODIGO],Tabla2[MATERIAL],"N/A",0)</f>
        <v>Cable AL aa-8000 4 awg</v>
      </c>
      <c r="D1326">
        <v>34</v>
      </c>
      <c r="E1326" t="s">
        <v>43</v>
      </c>
      <c r="F1326" t="s">
        <v>62</v>
      </c>
      <c r="G1326" s="1">
        <v>46225</v>
      </c>
      <c r="I1326" s="2"/>
      <c r="J1326" t="s">
        <v>289</v>
      </c>
      <c r="K1326">
        <v>9966</v>
      </c>
      <c r="M1326" s="11">
        <v>2262436</v>
      </c>
      <c r="N1326" s="11">
        <v>23</v>
      </c>
    </row>
    <row r="1327" spans="2:14" hidden="1" x14ac:dyDescent="0.25">
      <c r="B1327" t="s">
        <v>38</v>
      </c>
      <c r="C1327" t="str">
        <f>_xlfn.XLOOKUP(B1327,Tabla2[CODIGO],Tabla2[MATERIAL],"N/A",0)</f>
        <v>Tuberia Conduflex 3/4"</v>
      </c>
      <c r="D1327">
        <v>0.3</v>
      </c>
      <c r="E1327" t="s">
        <v>43</v>
      </c>
      <c r="F1327" t="s">
        <v>62</v>
      </c>
      <c r="G1327" s="1">
        <v>46225</v>
      </c>
      <c r="I1327" s="2"/>
      <c r="J1327" t="s">
        <v>289</v>
      </c>
      <c r="K1327">
        <v>9966</v>
      </c>
      <c r="M1327">
        <v>2262177</v>
      </c>
      <c r="N1327">
        <v>5</v>
      </c>
    </row>
    <row r="1328" spans="2:14" hidden="1" x14ac:dyDescent="0.25">
      <c r="B1328" t="s">
        <v>38</v>
      </c>
      <c r="C1328" t="str">
        <f>_xlfn.XLOOKUP(B1328,Tabla2[CODIGO],Tabla2[MATERIAL],"N/A",0)</f>
        <v>Tuberia Conduflex 3/4"</v>
      </c>
      <c r="D1328">
        <v>0.2</v>
      </c>
      <c r="E1328" t="s">
        <v>43</v>
      </c>
      <c r="F1328" t="s">
        <v>62</v>
      </c>
      <c r="G1328" s="1">
        <v>46225</v>
      </c>
      <c r="I1328" s="2"/>
      <c r="J1328" t="s">
        <v>289</v>
      </c>
      <c r="K1328">
        <v>9966</v>
      </c>
      <c r="M1328">
        <v>2262126</v>
      </c>
      <c r="N1328">
        <v>15</v>
      </c>
    </row>
    <row r="1329" spans="2:14" hidden="1" x14ac:dyDescent="0.25">
      <c r="B1329" t="s">
        <v>38</v>
      </c>
      <c r="C1329" t="str">
        <f>_xlfn.XLOOKUP(B1329,Tabla2[CODIGO],Tabla2[MATERIAL],"N/A",0)</f>
        <v>Tuberia Conduflex 3/4"</v>
      </c>
      <c r="D1329">
        <v>2</v>
      </c>
      <c r="E1329" t="s">
        <v>43</v>
      </c>
      <c r="F1329" t="s">
        <v>62</v>
      </c>
      <c r="G1329" s="1">
        <v>46225</v>
      </c>
      <c r="I1329" s="2"/>
      <c r="J1329" t="s">
        <v>289</v>
      </c>
      <c r="K1329">
        <v>9966</v>
      </c>
      <c r="M1329" s="11">
        <v>2262436</v>
      </c>
      <c r="N1329" s="11">
        <v>23</v>
      </c>
    </row>
    <row r="1330" spans="2:14" hidden="1" x14ac:dyDescent="0.25">
      <c r="B1330" t="s">
        <v>214</v>
      </c>
      <c r="C1330" t="str">
        <f>_xlfn.XLOOKUP(B1330,Tabla2[CODIGO],Tabla2[MATERIAL],"N/A",0)</f>
        <v>Marco para caja ap</v>
      </c>
      <c r="D1330">
        <v>1</v>
      </c>
      <c r="E1330" t="s">
        <v>42</v>
      </c>
      <c r="F1330" t="s">
        <v>62</v>
      </c>
      <c r="G1330" s="1">
        <v>46225</v>
      </c>
      <c r="I1330" s="2"/>
      <c r="J1330" t="s">
        <v>289</v>
      </c>
      <c r="K1330">
        <v>9966</v>
      </c>
      <c r="M1330">
        <v>2085887</v>
      </c>
      <c r="N1330">
        <v>3</v>
      </c>
    </row>
    <row r="1331" spans="2:14" hidden="1" x14ac:dyDescent="0.25">
      <c r="B1331" t="s">
        <v>214</v>
      </c>
      <c r="C1331" t="str">
        <f>_xlfn.XLOOKUP(B1331,Tabla2[CODIGO],Tabla2[MATERIAL],"N/A",0)</f>
        <v>Marco para caja ap</v>
      </c>
      <c r="D1331">
        <v>1</v>
      </c>
      <c r="E1331" t="s">
        <v>42</v>
      </c>
      <c r="F1331" t="s">
        <v>62</v>
      </c>
      <c r="G1331" s="1">
        <v>46225</v>
      </c>
      <c r="I1331" s="2"/>
      <c r="J1331" t="s">
        <v>289</v>
      </c>
      <c r="K1331">
        <v>9966</v>
      </c>
      <c r="M1331">
        <v>2262258</v>
      </c>
      <c r="N1331">
        <v>7</v>
      </c>
    </row>
    <row r="1332" spans="2:14" hidden="1" x14ac:dyDescent="0.25">
      <c r="B1332" t="s">
        <v>214</v>
      </c>
      <c r="C1332" t="str">
        <f>_xlfn.XLOOKUP(B1332,Tabla2[CODIGO],Tabla2[MATERIAL],"N/A",0)</f>
        <v>Marco para caja ap</v>
      </c>
      <c r="D1332">
        <v>1</v>
      </c>
      <c r="E1332" t="s">
        <v>42</v>
      </c>
      <c r="F1332" t="s">
        <v>62</v>
      </c>
      <c r="G1332" s="1">
        <v>46225</v>
      </c>
      <c r="I1332" s="2"/>
      <c r="J1332" t="s">
        <v>289</v>
      </c>
      <c r="K1332">
        <v>9966</v>
      </c>
      <c r="M1332">
        <v>2262487</v>
      </c>
      <c r="N1332">
        <v>17</v>
      </c>
    </row>
    <row r="1333" spans="2:14" hidden="1" x14ac:dyDescent="0.25">
      <c r="B1333" t="s">
        <v>78</v>
      </c>
      <c r="C1333" t="str">
        <f>_xlfn.XLOOKUP(B1333,Tabla2[CODIGO],Tabla2[MATERIAL],"N/A",0)</f>
        <v>Tapa Concreto</v>
      </c>
      <c r="D1333">
        <v>1</v>
      </c>
      <c r="E1333" t="s">
        <v>42</v>
      </c>
      <c r="F1333" t="s">
        <v>62</v>
      </c>
      <c r="G1333" s="1">
        <v>46225</v>
      </c>
      <c r="I1333" s="2"/>
      <c r="J1333" t="s">
        <v>289</v>
      </c>
      <c r="K1333">
        <v>9966</v>
      </c>
      <c r="M1333">
        <v>2085887</v>
      </c>
      <c r="N1333">
        <v>3</v>
      </c>
    </row>
    <row r="1334" spans="2:14" hidden="1" x14ac:dyDescent="0.25">
      <c r="B1334" t="s">
        <v>78</v>
      </c>
      <c r="C1334" t="str">
        <f>_xlfn.XLOOKUP(B1334,Tabla2[CODIGO],Tabla2[MATERIAL],"N/A",0)</f>
        <v>Tapa Concreto</v>
      </c>
      <c r="D1334">
        <v>1</v>
      </c>
      <c r="E1334" t="s">
        <v>42</v>
      </c>
      <c r="F1334" t="s">
        <v>62</v>
      </c>
      <c r="G1334" s="1">
        <v>46225</v>
      </c>
      <c r="I1334" s="2"/>
      <c r="J1334" t="s">
        <v>289</v>
      </c>
      <c r="K1334">
        <v>9966</v>
      </c>
      <c r="M1334">
        <v>2262258</v>
      </c>
      <c r="N1334">
        <v>7</v>
      </c>
    </row>
    <row r="1335" spans="2:14" hidden="1" x14ac:dyDescent="0.25">
      <c r="B1335" t="s">
        <v>78</v>
      </c>
      <c r="C1335" t="str">
        <f>_xlfn.XLOOKUP(B1335,Tabla2[CODIGO],Tabla2[MATERIAL],"N/A",0)</f>
        <v>Tapa Concreto</v>
      </c>
      <c r="D1335">
        <v>1</v>
      </c>
      <c r="E1335" t="s">
        <v>42</v>
      </c>
      <c r="F1335" t="s">
        <v>62</v>
      </c>
      <c r="G1335" s="1">
        <v>46225</v>
      </c>
      <c r="I1335" s="2"/>
      <c r="J1335" t="s">
        <v>289</v>
      </c>
      <c r="K1335">
        <v>9966</v>
      </c>
      <c r="M1335">
        <v>2262487</v>
      </c>
      <c r="N1335">
        <v>17</v>
      </c>
    </row>
    <row r="1336" spans="2:14" hidden="1" x14ac:dyDescent="0.25">
      <c r="B1336" t="s">
        <v>389</v>
      </c>
      <c r="C1336" t="str">
        <f>_xlfn.XLOOKUP(B1336,Tabla2[CODIGO],Tabla2[MATERIAL],"N/A",0)</f>
        <v>tubo conduit imc 2"</v>
      </c>
      <c r="D1336">
        <v>2</v>
      </c>
      <c r="E1336" t="s">
        <v>42</v>
      </c>
      <c r="F1336" t="s">
        <v>62</v>
      </c>
      <c r="G1336" s="1">
        <v>46225</v>
      </c>
      <c r="I1336" s="2"/>
      <c r="J1336" t="s">
        <v>289</v>
      </c>
      <c r="K1336">
        <v>9966</v>
      </c>
      <c r="M1336">
        <v>2262487</v>
      </c>
      <c r="N1336">
        <v>17</v>
      </c>
    </row>
    <row r="1337" spans="2:14" hidden="1" x14ac:dyDescent="0.25">
      <c r="B1337" t="s">
        <v>239</v>
      </c>
      <c r="C1337" t="str">
        <f>_xlfn.XLOOKUP(B1337,Tabla2[CODIGO],Tabla2[MATERIAL],"N/A",0)</f>
        <v>Tubo Conduit imc 3/4"</v>
      </c>
      <c r="D1337">
        <v>2</v>
      </c>
      <c r="E1337" t="s">
        <v>42</v>
      </c>
      <c r="F1337" t="s">
        <v>62</v>
      </c>
      <c r="G1337" s="1">
        <v>46225</v>
      </c>
      <c r="I1337" s="2"/>
      <c r="J1337" t="s">
        <v>289</v>
      </c>
      <c r="K1337">
        <v>9966</v>
      </c>
      <c r="M1337" s="11">
        <v>2262436</v>
      </c>
      <c r="N1337" s="11">
        <v>23</v>
      </c>
    </row>
    <row r="1338" spans="2:14" hidden="1" x14ac:dyDescent="0.25">
      <c r="B1338" t="s">
        <v>319</v>
      </c>
      <c r="C1338" t="str">
        <f>_xlfn.XLOOKUP(B1338,Tabla2[CODIGO],Tabla2[MATERIAL],"N/A",0)</f>
        <v>alambre Cu thhn 14 verde</v>
      </c>
      <c r="D1338">
        <v>16</v>
      </c>
      <c r="E1338" t="s">
        <v>43</v>
      </c>
      <c r="F1338" t="s">
        <v>62</v>
      </c>
      <c r="G1338" s="1">
        <v>46225</v>
      </c>
      <c r="I1338" s="2"/>
      <c r="J1338" t="s">
        <v>289</v>
      </c>
      <c r="K1338">
        <v>9966</v>
      </c>
      <c r="M1338">
        <v>2262126</v>
      </c>
      <c r="N1338">
        <v>21</v>
      </c>
    </row>
    <row r="1339" spans="2:14" hidden="1" x14ac:dyDescent="0.25">
      <c r="B1339" t="s">
        <v>319</v>
      </c>
      <c r="C1339" t="str">
        <f>_xlfn.XLOOKUP(B1339,Tabla2[CODIGO],Tabla2[MATERIAL],"N/A",0)</f>
        <v>alambre Cu thhn 14 verde</v>
      </c>
      <c r="D1339">
        <v>16</v>
      </c>
      <c r="E1339" t="s">
        <v>43</v>
      </c>
      <c r="F1339" t="s">
        <v>62</v>
      </c>
      <c r="G1339" s="1">
        <v>46225</v>
      </c>
      <c r="I1339" s="2"/>
      <c r="J1339" t="s">
        <v>289</v>
      </c>
      <c r="K1339">
        <v>9966</v>
      </c>
      <c r="M1339">
        <v>2262487</v>
      </c>
      <c r="N1339">
        <v>17</v>
      </c>
    </row>
    <row r="1340" spans="2:14" hidden="1" x14ac:dyDescent="0.25">
      <c r="B1340" t="s">
        <v>319</v>
      </c>
      <c r="C1340" t="str">
        <f>_xlfn.XLOOKUP(B1340,Tabla2[CODIGO],Tabla2[MATERIAL],"N/A",0)</f>
        <v>alambre Cu thhn 14 verde</v>
      </c>
      <c r="D1340">
        <v>16</v>
      </c>
      <c r="E1340" t="s">
        <v>43</v>
      </c>
      <c r="F1340" t="s">
        <v>62</v>
      </c>
      <c r="G1340" s="1">
        <v>46225</v>
      </c>
      <c r="I1340" s="2"/>
      <c r="J1340" t="s">
        <v>289</v>
      </c>
      <c r="K1340">
        <v>9966</v>
      </c>
      <c r="M1340" s="11">
        <v>2262436</v>
      </c>
      <c r="N1340" s="11">
        <v>23</v>
      </c>
    </row>
    <row r="1341" spans="2:14" hidden="1" x14ac:dyDescent="0.25">
      <c r="B1341" t="s">
        <v>460</v>
      </c>
      <c r="C1341" t="str">
        <f>_xlfn.XLOOKUP(B1341,Tabla2[CODIGO],Tabla2[MATERIAL],"N/A",0)</f>
        <v>Poste fibra 12m x 510kg</v>
      </c>
      <c r="D1341">
        <v>1</v>
      </c>
      <c r="E1341" t="s">
        <v>42</v>
      </c>
      <c r="F1341" t="s">
        <v>62</v>
      </c>
      <c r="G1341" s="1">
        <v>46225</v>
      </c>
      <c r="I1341" s="2"/>
      <c r="J1341" t="s">
        <v>289</v>
      </c>
      <c r="K1341">
        <v>9966</v>
      </c>
      <c r="M1341">
        <v>2262487</v>
      </c>
      <c r="N1341">
        <v>17</v>
      </c>
    </row>
    <row r="1342" spans="2:14" hidden="1" x14ac:dyDescent="0.25">
      <c r="B1342" t="s">
        <v>53</v>
      </c>
      <c r="C1342" t="str">
        <f>_xlfn.XLOOKUP(B1342,Tabla2[CODIGO],Tabla2[MATERIAL],"N/A",0)</f>
        <v>Conector de Perforacion ais kz-ep (EP95) pequeño</v>
      </c>
      <c r="D1342">
        <v>2</v>
      </c>
      <c r="E1342" t="s">
        <v>42</v>
      </c>
      <c r="F1342" t="s">
        <v>62</v>
      </c>
      <c r="G1342" s="1">
        <v>46183</v>
      </c>
      <c r="I1342" s="2"/>
      <c r="J1342" t="s">
        <v>57</v>
      </c>
      <c r="K1342">
        <v>9820</v>
      </c>
      <c r="L1342" t="s">
        <v>463</v>
      </c>
      <c r="M1342">
        <v>5443415</v>
      </c>
      <c r="N1342">
        <v>3</v>
      </c>
    </row>
    <row r="1343" spans="2:14" hidden="1" x14ac:dyDescent="0.25">
      <c r="B1343" t="s">
        <v>53</v>
      </c>
      <c r="C1343" t="str">
        <f>_xlfn.XLOOKUP(B1343,Tabla2[CODIGO],Tabla2[MATERIAL],"N/A",0)</f>
        <v>Conector de Perforacion ais kz-ep (EP95) pequeño</v>
      </c>
      <c r="D1343">
        <v>1</v>
      </c>
      <c r="E1343" t="s">
        <v>42</v>
      </c>
      <c r="F1343" t="s">
        <v>62</v>
      </c>
      <c r="G1343" s="1">
        <v>46183</v>
      </c>
      <c r="I1343" s="2"/>
      <c r="J1343" t="s">
        <v>57</v>
      </c>
      <c r="K1343">
        <v>9820</v>
      </c>
      <c r="L1343" t="s">
        <v>463</v>
      </c>
      <c r="M1343">
        <v>5443407</v>
      </c>
      <c r="N1343">
        <v>6</v>
      </c>
    </row>
    <row r="1344" spans="2:14" hidden="1" x14ac:dyDescent="0.25">
      <c r="B1344" t="s">
        <v>53</v>
      </c>
      <c r="C1344" t="str">
        <f>_xlfn.XLOOKUP(B1344,Tabla2[CODIGO],Tabla2[MATERIAL],"N/A",0)</f>
        <v>Conector de Perforacion ais kz-ep (EP95) pequeño</v>
      </c>
      <c r="D1344">
        <v>1</v>
      </c>
      <c r="E1344" t="s">
        <v>42</v>
      </c>
      <c r="F1344" t="s">
        <v>62</v>
      </c>
      <c r="G1344" s="1">
        <v>46183</v>
      </c>
      <c r="I1344" s="2"/>
      <c r="J1344" t="s">
        <v>57</v>
      </c>
      <c r="K1344">
        <v>9820</v>
      </c>
      <c r="L1344" t="s">
        <v>463</v>
      </c>
      <c r="M1344">
        <v>2265494</v>
      </c>
      <c r="N1344">
        <v>9</v>
      </c>
    </row>
    <row r="1345" spans="2:14" hidden="1" x14ac:dyDescent="0.25">
      <c r="B1345" t="s">
        <v>53</v>
      </c>
      <c r="C1345" t="str">
        <f>_xlfn.XLOOKUP(B1345,Tabla2[CODIGO],Tabla2[MATERIAL],"N/A",0)</f>
        <v>Conector de Perforacion ais kz-ep (EP95) pequeño</v>
      </c>
      <c r="D1345">
        <v>2</v>
      </c>
      <c r="E1345" t="s">
        <v>42</v>
      </c>
      <c r="F1345" t="s">
        <v>62</v>
      </c>
      <c r="G1345" s="1">
        <v>46183</v>
      </c>
      <c r="I1345" s="2"/>
      <c r="J1345" t="s">
        <v>57</v>
      </c>
      <c r="K1345">
        <v>9820</v>
      </c>
      <c r="L1345" t="s">
        <v>463</v>
      </c>
      <c r="M1345">
        <v>2265532</v>
      </c>
      <c r="N1345">
        <v>13</v>
      </c>
    </row>
    <row r="1346" spans="2:14" hidden="1" x14ac:dyDescent="0.25">
      <c r="B1346" t="s">
        <v>54</v>
      </c>
      <c r="C1346" t="str">
        <f>_xlfn.XLOOKUP(B1346,Tabla2[CODIGO],Tabla2[MATERIAL],"N/A",0)</f>
        <v>Conector resorte 18-8</v>
      </c>
      <c r="D1346">
        <v>3</v>
      </c>
      <c r="E1346" t="s">
        <v>42</v>
      </c>
      <c r="F1346" t="s">
        <v>62</v>
      </c>
      <c r="G1346" s="1">
        <v>46183</v>
      </c>
      <c r="I1346" s="2"/>
      <c r="J1346" t="s">
        <v>57</v>
      </c>
      <c r="K1346">
        <v>9820</v>
      </c>
      <c r="L1346" t="s">
        <v>463</v>
      </c>
      <c r="M1346">
        <v>2265401</v>
      </c>
      <c r="N1346">
        <v>1</v>
      </c>
    </row>
    <row r="1347" spans="2:14" hidden="1" x14ac:dyDescent="0.25">
      <c r="B1347" t="s">
        <v>54</v>
      </c>
      <c r="C1347" t="str">
        <f>_xlfn.XLOOKUP(B1347,Tabla2[CODIGO],Tabla2[MATERIAL],"N/A",0)</f>
        <v>Conector resorte 18-8</v>
      </c>
      <c r="D1347">
        <v>3</v>
      </c>
      <c r="E1347" t="s">
        <v>42</v>
      </c>
      <c r="F1347" t="s">
        <v>62</v>
      </c>
      <c r="G1347" s="1">
        <v>46183</v>
      </c>
      <c r="I1347" s="2"/>
      <c r="J1347" t="s">
        <v>57</v>
      </c>
      <c r="K1347">
        <v>9820</v>
      </c>
      <c r="L1347" t="s">
        <v>463</v>
      </c>
      <c r="M1347">
        <v>2265443</v>
      </c>
      <c r="N1347">
        <v>4</v>
      </c>
    </row>
    <row r="1348" spans="2:14" hidden="1" x14ac:dyDescent="0.25">
      <c r="B1348" t="s">
        <v>54</v>
      </c>
      <c r="C1348" t="str">
        <f>_xlfn.XLOOKUP(B1348,Tabla2[CODIGO],Tabla2[MATERIAL],"N/A",0)</f>
        <v>Conector resorte 18-8</v>
      </c>
      <c r="D1348">
        <v>3</v>
      </c>
      <c r="E1348" t="s">
        <v>42</v>
      </c>
      <c r="F1348" t="s">
        <v>62</v>
      </c>
      <c r="G1348" s="1">
        <v>46183</v>
      </c>
      <c r="I1348" s="2"/>
      <c r="J1348" t="s">
        <v>57</v>
      </c>
      <c r="K1348">
        <v>9820</v>
      </c>
      <c r="L1348" t="s">
        <v>463</v>
      </c>
      <c r="M1348">
        <v>6728120</v>
      </c>
      <c r="N1348">
        <v>7</v>
      </c>
    </row>
    <row r="1349" spans="2:14" hidden="1" x14ac:dyDescent="0.25">
      <c r="B1349" t="s">
        <v>54</v>
      </c>
      <c r="C1349" t="str">
        <f>_xlfn.XLOOKUP(B1349,Tabla2[CODIGO],Tabla2[MATERIAL],"N/A",0)</f>
        <v>Conector resorte 18-8</v>
      </c>
      <c r="D1349">
        <v>3</v>
      </c>
      <c r="E1349" t="s">
        <v>42</v>
      </c>
      <c r="F1349" t="s">
        <v>62</v>
      </c>
      <c r="G1349" s="1">
        <v>46183</v>
      </c>
      <c r="I1349" s="2"/>
      <c r="J1349" t="s">
        <v>57</v>
      </c>
      <c r="K1349">
        <v>9820</v>
      </c>
      <c r="L1349" t="s">
        <v>463</v>
      </c>
      <c r="M1349">
        <v>2265494</v>
      </c>
      <c r="N1349">
        <v>10</v>
      </c>
    </row>
    <row r="1350" spans="2:14" hidden="1" x14ac:dyDescent="0.25">
      <c r="B1350" t="s">
        <v>54</v>
      </c>
      <c r="C1350" t="str">
        <f>_xlfn.XLOOKUP(B1350,Tabla2[CODIGO],Tabla2[MATERIAL],"N/A",0)</f>
        <v>Conector resorte 18-8</v>
      </c>
      <c r="D1350">
        <v>3</v>
      </c>
      <c r="E1350" t="s">
        <v>42</v>
      </c>
      <c r="F1350" t="s">
        <v>62</v>
      </c>
      <c r="G1350" s="1">
        <v>46183</v>
      </c>
      <c r="I1350" s="2"/>
      <c r="J1350" t="s">
        <v>57</v>
      </c>
      <c r="K1350">
        <v>9820</v>
      </c>
      <c r="L1350" t="s">
        <v>463</v>
      </c>
      <c r="M1350">
        <v>2265532</v>
      </c>
      <c r="N1350">
        <v>13</v>
      </c>
    </row>
    <row r="1351" spans="2:14" hidden="1" x14ac:dyDescent="0.25">
      <c r="B1351" t="s">
        <v>77</v>
      </c>
      <c r="C1351" t="str">
        <f>_xlfn.XLOOKUP(B1351,Tabla2[CODIGO],Tabla2[MATERIAL],"N/A",0)</f>
        <v>Empalme gel ppal 4-2/0 a der 14-6 awg (pequeño)</v>
      </c>
      <c r="D1351">
        <v>2</v>
      </c>
      <c r="E1351" t="s">
        <v>42</v>
      </c>
      <c r="F1351" t="s">
        <v>62</v>
      </c>
      <c r="G1351" s="1">
        <v>46183</v>
      </c>
      <c r="I1351" s="2"/>
      <c r="J1351" t="s">
        <v>57</v>
      </c>
      <c r="K1351">
        <v>9820</v>
      </c>
      <c r="L1351" t="s">
        <v>463</v>
      </c>
      <c r="M1351">
        <v>2265401</v>
      </c>
      <c r="N1351">
        <v>1</v>
      </c>
    </row>
    <row r="1352" spans="2:14" hidden="1" x14ac:dyDescent="0.25">
      <c r="B1352" t="s">
        <v>77</v>
      </c>
      <c r="C1352" t="str">
        <f>_xlfn.XLOOKUP(B1352,Tabla2[CODIGO],Tabla2[MATERIAL],"N/A",0)</f>
        <v>Empalme gel ppal 4-2/0 a der 14-6 awg (pequeño)</v>
      </c>
      <c r="D1352">
        <v>2</v>
      </c>
      <c r="E1352" t="s">
        <v>42</v>
      </c>
      <c r="F1352" t="s">
        <v>62</v>
      </c>
      <c r="G1352" s="1">
        <v>46183</v>
      </c>
      <c r="I1352" s="2"/>
      <c r="J1352" t="s">
        <v>57</v>
      </c>
      <c r="K1352">
        <v>9820</v>
      </c>
      <c r="L1352" t="s">
        <v>463</v>
      </c>
      <c r="M1352">
        <v>2265443</v>
      </c>
      <c r="N1352">
        <v>4</v>
      </c>
    </row>
    <row r="1353" spans="2:14" hidden="1" x14ac:dyDescent="0.25">
      <c r="B1353" t="s">
        <v>77</v>
      </c>
      <c r="C1353" t="str">
        <f>_xlfn.XLOOKUP(B1353,Tabla2[CODIGO],Tabla2[MATERIAL],"N/A",0)</f>
        <v>Empalme gel ppal 4-2/0 a der 14-6 awg (pequeño)</v>
      </c>
      <c r="D1353">
        <v>2</v>
      </c>
      <c r="E1353" t="s">
        <v>42</v>
      </c>
      <c r="F1353" t="s">
        <v>62</v>
      </c>
      <c r="G1353" s="1">
        <v>46183</v>
      </c>
      <c r="I1353" s="2"/>
      <c r="J1353" t="s">
        <v>57</v>
      </c>
      <c r="K1353">
        <v>9820</v>
      </c>
      <c r="L1353" t="s">
        <v>463</v>
      </c>
      <c r="M1353">
        <v>6728120</v>
      </c>
      <c r="N1353">
        <v>7</v>
      </c>
    </row>
    <row r="1354" spans="2:14" hidden="1" x14ac:dyDescent="0.25">
      <c r="B1354" t="s">
        <v>77</v>
      </c>
      <c r="C1354" t="str">
        <f>_xlfn.XLOOKUP(B1354,Tabla2[CODIGO],Tabla2[MATERIAL],"N/A",0)</f>
        <v>Empalme gel ppal 4-2/0 a der 14-6 awg (pequeño)</v>
      </c>
      <c r="D1354">
        <v>2</v>
      </c>
      <c r="E1354" t="s">
        <v>42</v>
      </c>
      <c r="F1354" t="s">
        <v>62</v>
      </c>
      <c r="G1354" s="1">
        <v>46183</v>
      </c>
      <c r="I1354" s="2"/>
      <c r="J1354" t="s">
        <v>57</v>
      </c>
      <c r="K1354">
        <v>9820</v>
      </c>
      <c r="L1354" t="s">
        <v>463</v>
      </c>
      <c r="M1354">
        <v>2265494</v>
      </c>
      <c r="N1354">
        <v>10</v>
      </c>
    </row>
    <row r="1355" spans="2:14" hidden="1" x14ac:dyDescent="0.25">
      <c r="B1355" t="s">
        <v>76</v>
      </c>
      <c r="C1355" t="str">
        <f>_xlfn.XLOOKUP(B1355,Tabla2[CODIGO],Tabla2[MATERIAL],"N/A",0)</f>
        <v>Empalme gel ppal 8-4/0 a der 14-2/0 awg (grande)</v>
      </c>
      <c r="D1355">
        <v>2</v>
      </c>
      <c r="E1355" t="s">
        <v>42</v>
      </c>
      <c r="F1355" t="s">
        <v>62</v>
      </c>
      <c r="G1355" s="1">
        <v>46183</v>
      </c>
      <c r="I1355" s="2"/>
      <c r="J1355" t="s">
        <v>57</v>
      </c>
      <c r="K1355">
        <v>9820</v>
      </c>
      <c r="L1355" t="s">
        <v>463</v>
      </c>
      <c r="M1355">
        <v>2265532</v>
      </c>
      <c r="N1355">
        <v>13</v>
      </c>
    </row>
    <row r="1356" spans="2:14" hidden="1" x14ac:dyDescent="0.25">
      <c r="B1356" t="s">
        <v>19</v>
      </c>
      <c r="C1356" t="str">
        <f>_xlfn.XLOOKUP(B1356,Tabla2[CODIGO],Tabla2[MATERIAL],"N/A",0)</f>
        <v>Cable Al serie AA 8000 rhw # 6 awg</v>
      </c>
      <c r="D1356">
        <v>76</v>
      </c>
      <c r="E1356" t="s">
        <v>43</v>
      </c>
      <c r="F1356" t="s">
        <v>62</v>
      </c>
      <c r="G1356" s="1">
        <v>46183</v>
      </c>
      <c r="I1356" s="2"/>
      <c r="J1356" t="s">
        <v>57</v>
      </c>
      <c r="K1356">
        <v>9820</v>
      </c>
      <c r="L1356" t="s">
        <v>463</v>
      </c>
    </row>
    <row r="1357" spans="2:14" hidden="1" x14ac:dyDescent="0.25">
      <c r="B1357" t="s">
        <v>21</v>
      </c>
      <c r="C1357" t="str">
        <f>_xlfn.XLOOKUP(B1357,Tabla2[CODIGO],Tabla2[MATERIAL],"N/A",0)</f>
        <v>Cable Encauchetado 3x14 pvc</v>
      </c>
      <c r="D1357">
        <v>10</v>
      </c>
      <c r="E1357" t="s">
        <v>43</v>
      </c>
      <c r="F1357" t="s">
        <v>62</v>
      </c>
      <c r="G1357" s="1">
        <v>46183</v>
      </c>
      <c r="I1357" s="2"/>
      <c r="J1357" t="s">
        <v>57</v>
      </c>
      <c r="K1357">
        <v>9820</v>
      </c>
      <c r="L1357" t="s">
        <v>463</v>
      </c>
      <c r="M1357">
        <v>2265401</v>
      </c>
      <c r="N1357">
        <v>1</v>
      </c>
    </row>
    <row r="1358" spans="2:14" hidden="1" x14ac:dyDescent="0.25">
      <c r="B1358" t="s">
        <v>21</v>
      </c>
      <c r="C1358" t="str">
        <f>_xlfn.XLOOKUP(B1358,Tabla2[CODIGO],Tabla2[MATERIAL],"N/A",0)</f>
        <v>Cable Encauchetado 3x14 pvc</v>
      </c>
      <c r="D1358">
        <v>10</v>
      </c>
      <c r="E1358" t="s">
        <v>43</v>
      </c>
      <c r="F1358" t="s">
        <v>62</v>
      </c>
      <c r="G1358" s="1">
        <v>46183</v>
      </c>
      <c r="I1358" s="2"/>
      <c r="J1358" t="s">
        <v>57</v>
      </c>
      <c r="K1358">
        <v>9820</v>
      </c>
      <c r="L1358" t="s">
        <v>463</v>
      </c>
      <c r="M1358">
        <v>2265443</v>
      </c>
      <c r="N1358">
        <v>4</v>
      </c>
    </row>
    <row r="1359" spans="2:14" hidden="1" x14ac:dyDescent="0.25">
      <c r="B1359" t="s">
        <v>21</v>
      </c>
      <c r="C1359" t="str">
        <f>_xlfn.XLOOKUP(B1359,Tabla2[CODIGO],Tabla2[MATERIAL],"N/A",0)</f>
        <v>Cable Encauchetado 3x14 pvc</v>
      </c>
      <c r="D1359">
        <v>10</v>
      </c>
      <c r="E1359" t="s">
        <v>43</v>
      </c>
      <c r="F1359" t="s">
        <v>62</v>
      </c>
      <c r="G1359" s="1">
        <v>46183</v>
      </c>
      <c r="I1359" s="2"/>
      <c r="J1359" t="s">
        <v>57</v>
      </c>
      <c r="K1359">
        <v>9820</v>
      </c>
      <c r="L1359" t="s">
        <v>463</v>
      </c>
      <c r="M1359">
        <v>6728120</v>
      </c>
      <c r="N1359">
        <v>7</v>
      </c>
    </row>
    <row r="1360" spans="2:14" hidden="1" x14ac:dyDescent="0.25">
      <c r="B1360" t="s">
        <v>21</v>
      </c>
      <c r="C1360" t="str">
        <f>_xlfn.XLOOKUP(B1360,Tabla2[CODIGO],Tabla2[MATERIAL],"N/A",0)</f>
        <v>Cable Encauchetado 3x14 pvc</v>
      </c>
      <c r="D1360">
        <v>10</v>
      </c>
      <c r="E1360" t="s">
        <v>43</v>
      </c>
      <c r="F1360" t="s">
        <v>62</v>
      </c>
      <c r="G1360" s="1">
        <v>46183</v>
      </c>
      <c r="I1360" s="2"/>
      <c r="J1360" t="s">
        <v>57</v>
      </c>
      <c r="K1360">
        <v>9820</v>
      </c>
      <c r="L1360" t="s">
        <v>463</v>
      </c>
      <c r="M1360">
        <v>2265494</v>
      </c>
      <c r="N1360">
        <v>10</v>
      </c>
    </row>
    <row r="1361" spans="2:14" hidden="1" x14ac:dyDescent="0.25">
      <c r="B1361" t="s">
        <v>21</v>
      </c>
      <c r="C1361" t="str">
        <f>_xlfn.XLOOKUP(B1361,Tabla2[CODIGO],Tabla2[MATERIAL],"N/A",0)</f>
        <v>Cable Encauchetado 3x14 pvc</v>
      </c>
      <c r="D1361">
        <v>10</v>
      </c>
      <c r="E1361" t="s">
        <v>43</v>
      </c>
      <c r="F1361" t="s">
        <v>62</v>
      </c>
      <c r="G1361" s="1">
        <v>46183</v>
      </c>
      <c r="I1361" s="2"/>
      <c r="J1361" t="s">
        <v>57</v>
      </c>
      <c r="K1361">
        <v>9820</v>
      </c>
      <c r="L1361" t="s">
        <v>463</v>
      </c>
      <c r="M1361">
        <v>2265532</v>
      </c>
      <c r="N1361">
        <v>13</v>
      </c>
    </row>
    <row r="1362" spans="2:14" hidden="1" x14ac:dyDescent="0.25">
      <c r="B1362" t="s">
        <v>288</v>
      </c>
      <c r="C1362" t="str">
        <f>_xlfn.XLOOKUP(B1362,Tabla2[CODIGO],Tabla2[MATERIAL],"N/A",0)</f>
        <v>Kit puesta tierra acero inoxidable</v>
      </c>
      <c r="D1362">
        <v>1</v>
      </c>
      <c r="E1362" t="s">
        <v>42</v>
      </c>
      <c r="F1362" t="s">
        <v>62</v>
      </c>
      <c r="G1362" s="1">
        <v>46183</v>
      </c>
      <c r="I1362" s="2"/>
      <c r="J1362" t="s">
        <v>57</v>
      </c>
      <c r="K1362">
        <v>9820</v>
      </c>
      <c r="L1362" t="s">
        <v>463</v>
      </c>
      <c r="M1362">
        <v>5443415</v>
      </c>
      <c r="N1362">
        <v>3</v>
      </c>
    </row>
    <row r="1363" spans="2:14" hidden="1" x14ac:dyDescent="0.25">
      <c r="B1363" t="s">
        <v>288</v>
      </c>
      <c r="C1363" t="str">
        <f>_xlfn.XLOOKUP(B1363,Tabla2[CODIGO],Tabla2[MATERIAL],"N/A",0)</f>
        <v>Kit puesta tierra acero inoxidable</v>
      </c>
      <c r="D1363">
        <v>1</v>
      </c>
      <c r="E1363" t="s">
        <v>42</v>
      </c>
      <c r="F1363" t="s">
        <v>62</v>
      </c>
      <c r="G1363" s="1">
        <v>46183</v>
      </c>
      <c r="I1363" s="2"/>
      <c r="J1363" t="s">
        <v>57</v>
      </c>
      <c r="K1363">
        <v>9820</v>
      </c>
      <c r="L1363" t="s">
        <v>463</v>
      </c>
      <c r="M1363">
        <v>2265532</v>
      </c>
      <c r="N1363">
        <v>13</v>
      </c>
    </row>
    <row r="1364" spans="2:14" hidden="1" x14ac:dyDescent="0.25">
      <c r="B1364" t="s">
        <v>464</v>
      </c>
      <c r="C1364" t="str">
        <f>_xlfn.XLOOKUP(B1364,Tabla2[CODIGO],Tabla2[MATERIAL],"N/A",0)</f>
        <v>Tuberia Conduflex 3/4"</v>
      </c>
      <c r="D1364">
        <v>1</v>
      </c>
      <c r="E1364" t="s">
        <v>43</v>
      </c>
      <c r="F1364" t="s">
        <v>62</v>
      </c>
      <c r="G1364" s="1">
        <v>46183</v>
      </c>
      <c r="I1364" s="2"/>
      <c r="J1364" t="s">
        <v>57</v>
      </c>
      <c r="K1364">
        <v>9820</v>
      </c>
      <c r="L1364" t="s">
        <v>463</v>
      </c>
    </row>
    <row r="1365" spans="2:14" hidden="1" x14ac:dyDescent="0.25">
      <c r="B1365" t="s">
        <v>212</v>
      </c>
      <c r="C1365" t="str">
        <f>_xlfn.XLOOKUP(B1365,Tabla2[CODIGO],Tabla2[MATERIAL],"N/A",0)</f>
        <v>Grillete galvanizado 1,1/2</v>
      </c>
      <c r="D1365">
        <v>2</v>
      </c>
      <c r="E1365" t="s">
        <v>42</v>
      </c>
      <c r="F1365" t="s">
        <v>62</v>
      </c>
      <c r="G1365" s="1">
        <v>46204</v>
      </c>
      <c r="I1365" s="2"/>
      <c r="J1365" t="s">
        <v>166</v>
      </c>
      <c r="K1365">
        <v>9963</v>
      </c>
      <c r="L1365" t="s">
        <v>247</v>
      </c>
      <c r="M1365">
        <v>2295528</v>
      </c>
      <c r="N1365">
        <v>10</v>
      </c>
    </row>
    <row r="1366" spans="2:14" hidden="1" x14ac:dyDescent="0.25">
      <c r="B1366" t="s">
        <v>465</v>
      </c>
      <c r="C1366" t="str">
        <f>_xlfn.XLOOKUP(B1366,Tabla2[CODIGO],Tabla2[MATERIAL],"N/A",0)</f>
        <v>Tuerca Hexagona 5/8</v>
      </c>
      <c r="D1366">
        <v>1</v>
      </c>
      <c r="E1366" t="s">
        <v>42</v>
      </c>
      <c r="F1366" t="s">
        <v>62</v>
      </c>
      <c r="G1366" s="1">
        <v>46204</v>
      </c>
      <c r="I1366" s="2"/>
      <c r="J1366" t="s">
        <v>166</v>
      </c>
      <c r="K1366">
        <v>9963</v>
      </c>
      <c r="L1366" t="s">
        <v>247</v>
      </c>
      <c r="M1366">
        <v>2295528</v>
      </c>
      <c r="N1366">
        <v>10</v>
      </c>
    </row>
    <row r="1367" spans="2:14" hidden="1" x14ac:dyDescent="0.25">
      <c r="B1367" t="s">
        <v>60</v>
      </c>
      <c r="C1367" t="str">
        <f>_xlfn.XLOOKUP(B1367,Tabla2[CODIGO],Tabla2[MATERIAL],"N/A",0)</f>
        <v>Fotocelda</v>
      </c>
      <c r="D1367">
        <v>1</v>
      </c>
      <c r="E1367" t="s">
        <v>42</v>
      </c>
      <c r="F1367" t="s">
        <v>62</v>
      </c>
      <c r="G1367" s="1">
        <v>46204</v>
      </c>
      <c r="I1367" s="2"/>
      <c r="J1367" t="s">
        <v>166</v>
      </c>
      <c r="K1367">
        <v>9963</v>
      </c>
      <c r="L1367" t="s">
        <v>247</v>
      </c>
      <c r="M1367">
        <v>2295628</v>
      </c>
      <c r="N1367">
        <v>11</v>
      </c>
    </row>
    <row r="1368" spans="2:14" hidden="1" x14ac:dyDescent="0.25">
      <c r="B1368" t="s">
        <v>261</v>
      </c>
      <c r="C1368" t="str">
        <f>_xlfn.XLOOKUP(B1368,Tabla2[CODIGO],Tabla2[MATERIAL],"N/A",0)</f>
        <v>Abrazadera sin salida 6"</v>
      </c>
      <c r="D1368">
        <v>2</v>
      </c>
      <c r="E1368" t="s">
        <v>42</v>
      </c>
      <c r="F1368" t="s">
        <v>62</v>
      </c>
      <c r="G1368" s="1">
        <v>46200</v>
      </c>
      <c r="I1368" s="2"/>
      <c r="J1368" t="s">
        <v>166</v>
      </c>
      <c r="K1368">
        <v>9961</v>
      </c>
      <c r="L1368" t="s">
        <v>165</v>
      </c>
      <c r="M1368">
        <v>6532225</v>
      </c>
      <c r="N1368">
        <v>23</v>
      </c>
    </row>
    <row r="1369" spans="2:14" hidden="1" x14ac:dyDescent="0.25">
      <c r="B1369" t="s">
        <v>248</v>
      </c>
      <c r="C1369" t="str">
        <f>_xlfn.XLOOKUP(B1369,Tabla2[CODIGO],Tabla2[MATERIAL],"N/A",0)</f>
        <v>Conector Varilla cooperw.</v>
      </c>
      <c r="D1369">
        <v>1</v>
      </c>
      <c r="E1369" t="s">
        <v>42</v>
      </c>
      <c r="F1369" t="s">
        <v>62</v>
      </c>
      <c r="G1369" s="1">
        <v>46200</v>
      </c>
      <c r="I1369" s="2"/>
      <c r="J1369" t="s">
        <v>166</v>
      </c>
      <c r="K1369">
        <v>9961</v>
      </c>
      <c r="L1369" t="s">
        <v>165</v>
      </c>
      <c r="M1369">
        <v>2257815</v>
      </c>
      <c r="N1369">
        <v>2</v>
      </c>
    </row>
    <row r="1370" spans="2:14" hidden="1" x14ac:dyDescent="0.25">
      <c r="B1370" t="s">
        <v>248</v>
      </c>
      <c r="C1370" t="str">
        <f>_xlfn.XLOOKUP(B1370,Tabla2[CODIGO],Tabla2[MATERIAL],"N/A",0)</f>
        <v>Conector Varilla cooperw.</v>
      </c>
      <c r="D1370">
        <v>1</v>
      </c>
      <c r="E1370" t="s">
        <v>42</v>
      </c>
      <c r="F1370" t="s">
        <v>62</v>
      </c>
      <c r="G1370" s="1">
        <v>46200</v>
      </c>
      <c r="I1370" s="2"/>
      <c r="J1370" t="s">
        <v>166</v>
      </c>
      <c r="K1370">
        <v>9961</v>
      </c>
      <c r="L1370" t="s">
        <v>165</v>
      </c>
      <c r="M1370">
        <v>2258897</v>
      </c>
      <c r="N1370">
        <v>4</v>
      </c>
    </row>
    <row r="1371" spans="2:14" hidden="1" x14ac:dyDescent="0.25">
      <c r="B1371" t="s">
        <v>248</v>
      </c>
      <c r="C1371" t="str">
        <f>_xlfn.XLOOKUP(B1371,Tabla2[CODIGO],Tabla2[MATERIAL],"N/A",0)</f>
        <v>Conector Varilla cooperw.</v>
      </c>
      <c r="D1371">
        <v>1</v>
      </c>
      <c r="E1371" t="s">
        <v>42</v>
      </c>
      <c r="F1371" t="s">
        <v>62</v>
      </c>
      <c r="G1371" s="1">
        <v>46200</v>
      </c>
      <c r="I1371" s="2"/>
      <c r="J1371" t="s">
        <v>166</v>
      </c>
      <c r="K1371">
        <v>9961</v>
      </c>
      <c r="L1371" t="s">
        <v>165</v>
      </c>
      <c r="M1371">
        <v>6535241</v>
      </c>
      <c r="N1371">
        <v>5</v>
      </c>
    </row>
    <row r="1372" spans="2:14" hidden="1" x14ac:dyDescent="0.25">
      <c r="B1372" t="s">
        <v>248</v>
      </c>
      <c r="C1372" t="str">
        <f>_xlfn.XLOOKUP(B1372,Tabla2[CODIGO],Tabla2[MATERIAL],"N/A",0)</f>
        <v>Conector Varilla cooperw.</v>
      </c>
      <c r="D1372">
        <v>1</v>
      </c>
      <c r="E1372" t="s">
        <v>42</v>
      </c>
      <c r="F1372" t="s">
        <v>62</v>
      </c>
      <c r="G1372" s="1">
        <v>46200</v>
      </c>
      <c r="I1372" s="2"/>
      <c r="J1372" t="s">
        <v>166</v>
      </c>
      <c r="K1372">
        <v>9961</v>
      </c>
      <c r="L1372" t="s">
        <v>165</v>
      </c>
      <c r="M1372">
        <v>6532306</v>
      </c>
      <c r="N1372">
        <v>7</v>
      </c>
    </row>
    <row r="1373" spans="2:14" hidden="1" x14ac:dyDescent="0.25">
      <c r="B1373" t="s">
        <v>248</v>
      </c>
      <c r="C1373" t="str">
        <f>_xlfn.XLOOKUP(B1373,Tabla2[CODIGO],Tabla2[MATERIAL],"N/A",0)</f>
        <v>Conector Varilla cooperw.</v>
      </c>
      <c r="D1373">
        <v>1</v>
      </c>
      <c r="E1373" t="s">
        <v>42</v>
      </c>
      <c r="F1373" t="s">
        <v>62</v>
      </c>
      <c r="G1373" s="1">
        <v>46200</v>
      </c>
      <c r="I1373" s="2"/>
      <c r="J1373" t="s">
        <v>166</v>
      </c>
      <c r="K1373">
        <v>9961</v>
      </c>
      <c r="L1373" t="s">
        <v>165</v>
      </c>
      <c r="M1373">
        <v>2173239</v>
      </c>
      <c r="N1373">
        <v>9</v>
      </c>
    </row>
    <row r="1374" spans="2:14" hidden="1" x14ac:dyDescent="0.25">
      <c r="B1374" t="s">
        <v>248</v>
      </c>
      <c r="C1374" t="str">
        <f>_xlfn.XLOOKUP(B1374,Tabla2[CODIGO],Tabla2[MATERIAL],"N/A",0)</f>
        <v>Conector Varilla cooperw.</v>
      </c>
      <c r="D1374">
        <v>1</v>
      </c>
      <c r="E1374" t="s">
        <v>42</v>
      </c>
      <c r="F1374" t="s">
        <v>62</v>
      </c>
      <c r="G1374" s="1">
        <v>46200</v>
      </c>
      <c r="I1374" s="2"/>
      <c r="J1374" t="s">
        <v>166</v>
      </c>
      <c r="K1374">
        <v>9961</v>
      </c>
      <c r="L1374" t="s">
        <v>165</v>
      </c>
      <c r="M1374">
        <v>6532292</v>
      </c>
      <c r="N1374">
        <v>12</v>
      </c>
    </row>
    <row r="1375" spans="2:14" hidden="1" x14ac:dyDescent="0.25">
      <c r="B1375" t="s">
        <v>248</v>
      </c>
      <c r="C1375" t="str">
        <f>_xlfn.XLOOKUP(B1375,Tabla2[CODIGO],Tabla2[MATERIAL],"N/A",0)</f>
        <v>Conector Varilla cooperw.</v>
      </c>
      <c r="D1375">
        <v>1</v>
      </c>
      <c r="E1375" t="s">
        <v>42</v>
      </c>
      <c r="F1375" t="s">
        <v>62</v>
      </c>
      <c r="G1375" s="1">
        <v>46200</v>
      </c>
      <c r="I1375" s="2"/>
      <c r="J1375" t="s">
        <v>166</v>
      </c>
      <c r="K1375">
        <v>9961</v>
      </c>
      <c r="L1375" t="s">
        <v>165</v>
      </c>
      <c r="M1375">
        <v>2173221</v>
      </c>
      <c r="N1375">
        <v>16</v>
      </c>
    </row>
    <row r="1376" spans="2:14" hidden="1" x14ac:dyDescent="0.25">
      <c r="B1376" t="s">
        <v>248</v>
      </c>
      <c r="C1376" t="str">
        <f>_xlfn.XLOOKUP(B1376,Tabla2[CODIGO],Tabla2[MATERIAL],"N/A",0)</f>
        <v>Conector Varilla cooperw.</v>
      </c>
      <c r="D1376">
        <v>1</v>
      </c>
      <c r="E1376" t="s">
        <v>42</v>
      </c>
      <c r="F1376" t="s">
        <v>62</v>
      </c>
      <c r="G1376" s="1">
        <v>46200</v>
      </c>
      <c r="I1376" s="2"/>
      <c r="J1376" t="s">
        <v>166</v>
      </c>
      <c r="K1376">
        <v>9961</v>
      </c>
      <c r="L1376" t="s">
        <v>165</v>
      </c>
      <c r="M1376">
        <v>6532281</v>
      </c>
      <c r="N1376">
        <v>18</v>
      </c>
    </row>
    <row r="1377" spans="2:15" hidden="1" x14ac:dyDescent="0.25">
      <c r="B1377" t="s">
        <v>248</v>
      </c>
      <c r="C1377" t="str">
        <f>_xlfn.XLOOKUP(B1377,Tabla2[CODIGO],Tabla2[MATERIAL],"N/A",0)</f>
        <v>Conector Varilla cooperw.</v>
      </c>
      <c r="D1377">
        <v>1</v>
      </c>
      <c r="E1377" t="s">
        <v>42</v>
      </c>
      <c r="F1377" t="s">
        <v>62</v>
      </c>
      <c r="G1377" s="1">
        <v>46200</v>
      </c>
      <c r="I1377" s="2"/>
      <c r="J1377" t="s">
        <v>166</v>
      </c>
      <c r="K1377">
        <v>9961</v>
      </c>
      <c r="L1377" t="s">
        <v>165</v>
      </c>
      <c r="M1377">
        <v>6522233</v>
      </c>
      <c r="N1377">
        <v>20</v>
      </c>
    </row>
    <row r="1378" spans="2:15" hidden="1" x14ac:dyDescent="0.25">
      <c r="B1378" t="s">
        <v>248</v>
      </c>
      <c r="C1378" t="str">
        <f>_xlfn.XLOOKUP(B1378,Tabla2[CODIGO],Tabla2[MATERIAL],"N/A",0)</f>
        <v>Conector Varilla cooperw.</v>
      </c>
      <c r="D1378">
        <v>1</v>
      </c>
      <c r="E1378" t="s">
        <v>42</v>
      </c>
      <c r="F1378" t="s">
        <v>62</v>
      </c>
      <c r="G1378" s="1">
        <v>46200</v>
      </c>
      <c r="I1378" s="2"/>
      <c r="J1378" t="s">
        <v>166</v>
      </c>
      <c r="K1378">
        <v>9961</v>
      </c>
      <c r="L1378" t="s">
        <v>165</v>
      </c>
      <c r="M1378">
        <v>2258935</v>
      </c>
      <c r="N1378">
        <v>21</v>
      </c>
    </row>
    <row r="1379" spans="2:15" hidden="1" x14ac:dyDescent="0.25">
      <c r="B1379" t="s">
        <v>248</v>
      </c>
      <c r="C1379" t="str">
        <f>_xlfn.XLOOKUP(B1379,Tabla2[CODIGO],Tabla2[MATERIAL],"N/A",0)</f>
        <v>Conector Varilla cooperw.</v>
      </c>
      <c r="D1379">
        <v>1</v>
      </c>
      <c r="E1379" t="s">
        <v>42</v>
      </c>
      <c r="F1379" t="s">
        <v>62</v>
      </c>
      <c r="G1379" s="1">
        <v>46200</v>
      </c>
      <c r="I1379" s="2"/>
      <c r="J1379" t="s">
        <v>166</v>
      </c>
      <c r="K1379">
        <v>9961</v>
      </c>
      <c r="L1379" t="s">
        <v>165</v>
      </c>
      <c r="M1379">
        <v>6532225</v>
      </c>
      <c r="N1379">
        <v>23</v>
      </c>
    </row>
    <row r="1380" spans="2:15" hidden="1" x14ac:dyDescent="0.25">
      <c r="B1380" t="s">
        <v>241</v>
      </c>
      <c r="C1380" t="str">
        <f>_xlfn.XLOOKUP(B1380,Tabla2[CODIGO],Tabla2[MATERIAL],"N/A",0)</f>
        <v>capacete tuberia imc 3/4"</v>
      </c>
      <c r="D1380">
        <v>5</v>
      </c>
      <c r="E1380" t="s">
        <v>42</v>
      </c>
      <c r="F1380" t="s">
        <v>16</v>
      </c>
      <c r="G1380" s="1">
        <v>46262</v>
      </c>
      <c r="I1380" s="2"/>
      <c r="J1380" t="s">
        <v>289</v>
      </c>
      <c r="K1380">
        <v>9973</v>
      </c>
    </row>
    <row r="1381" spans="2:15" hidden="1" x14ac:dyDescent="0.25">
      <c r="B1381" t="s">
        <v>319</v>
      </c>
      <c r="C1381" t="str">
        <f>_xlfn.XLOOKUP(B1381,Tabla2[CODIGO],Tabla2[MATERIAL],"N/A",0)</f>
        <v>alambre Cu thhn 14 verde</v>
      </c>
      <c r="D1381">
        <v>100</v>
      </c>
      <c r="E1381" t="s">
        <v>42</v>
      </c>
      <c r="F1381" t="s">
        <v>16</v>
      </c>
      <c r="G1381" s="1">
        <v>46262</v>
      </c>
      <c r="I1381" s="2"/>
      <c r="J1381" t="s">
        <v>289</v>
      </c>
      <c r="K1381">
        <v>9968</v>
      </c>
    </row>
    <row r="1382" spans="2:15" hidden="1" x14ac:dyDescent="0.25">
      <c r="B1382" t="s">
        <v>210</v>
      </c>
      <c r="C1382" t="str">
        <f>_xlfn.XLOOKUP(B1382,Tabla2[CODIGO],Tabla2[MATERIAL],"N/A",0)</f>
        <v>Conector Varilla cooperw.</v>
      </c>
      <c r="D1382">
        <v>17</v>
      </c>
      <c r="E1382" t="s">
        <v>42</v>
      </c>
      <c r="F1382" t="s">
        <v>16</v>
      </c>
      <c r="G1382" s="1">
        <v>46262</v>
      </c>
      <c r="I1382" s="2"/>
      <c r="J1382" t="s">
        <v>289</v>
      </c>
      <c r="K1382">
        <v>9968</v>
      </c>
    </row>
    <row r="1383" spans="2:15" hidden="1" x14ac:dyDescent="0.25">
      <c r="B1383" t="s">
        <v>30</v>
      </c>
      <c r="C1383" t="str">
        <f>_xlfn.XLOOKUP(B1383,Tabla2[CODIGO],Tabla2[MATERIAL],"N/A",0)</f>
        <v>Kit puesta tierra acero inoxidable</v>
      </c>
      <c r="D1383">
        <v>4</v>
      </c>
      <c r="E1383" t="s">
        <v>42</v>
      </c>
      <c r="F1383" t="s">
        <v>16</v>
      </c>
      <c r="G1383" s="1">
        <v>46262</v>
      </c>
      <c r="I1383" s="2"/>
      <c r="J1383" t="s">
        <v>289</v>
      </c>
      <c r="K1383">
        <v>9968</v>
      </c>
    </row>
    <row r="1384" spans="2:15" hidden="1" x14ac:dyDescent="0.25">
      <c r="B1384" t="s">
        <v>466</v>
      </c>
      <c r="C1384" t="str">
        <f>_xlfn.XLOOKUP(B1384,Tabla2[CODIGO],Tabla2[MATERIAL],"N/A",0)</f>
        <v xml:space="preserve">Perno carruaje 5-8*2 </v>
      </c>
      <c r="D1384">
        <v>38</v>
      </c>
      <c r="E1384" t="s">
        <v>42</v>
      </c>
      <c r="F1384" t="s">
        <v>16</v>
      </c>
      <c r="G1384" s="1">
        <v>46262</v>
      </c>
      <c r="I1384" s="2"/>
      <c r="J1384" t="s">
        <v>289</v>
      </c>
      <c r="K1384">
        <v>9974</v>
      </c>
    </row>
    <row r="1385" spans="2:15" hidden="1" x14ac:dyDescent="0.25">
      <c r="B1385" t="s">
        <v>213</v>
      </c>
      <c r="C1385" t="str">
        <f>_xlfn.XLOOKUP(B1385,Tabla2[CODIGO],Tabla2[MATERIAL],"N/A",0)</f>
        <v>Tuerca Hexagona 5/8</v>
      </c>
      <c r="D1385">
        <v>76</v>
      </c>
      <c r="E1385" t="s">
        <v>42</v>
      </c>
      <c r="F1385" t="s">
        <v>16</v>
      </c>
      <c r="G1385" s="1">
        <v>46262</v>
      </c>
      <c r="I1385" s="2"/>
      <c r="J1385" t="s">
        <v>289</v>
      </c>
      <c r="K1385">
        <v>9974</v>
      </c>
    </row>
    <row r="1386" spans="2:15" hidden="1" x14ac:dyDescent="0.25">
      <c r="B1386" t="s">
        <v>210</v>
      </c>
      <c r="C1386" t="str">
        <f>_xlfn.XLOOKUP(B1386,Tabla2[CODIGO],Tabla2[MATERIAL],"N/A",0)</f>
        <v>Conector Varilla cooperw.</v>
      </c>
      <c r="D1386">
        <v>5</v>
      </c>
      <c r="E1386" t="s">
        <v>42</v>
      </c>
      <c r="F1386" t="s">
        <v>16</v>
      </c>
      <c r="G1386" s="1">
        <v>46262</v>
      </c>
      <c r="I1386" s="2"/>
      <c r="J1386" t="s">
        <v>166</v>
      </c>
      <c r="K1386">
        <v>9960</v>
      </c>
      <c r="L1386" t="s">
        <v>100</v>
      </c>
    </row>
    <row r="1387" spans="2:15" hidden="1" x14ac:dyDescent="0.25">
      <c r="B1387" t="s">
        <v>60</v>
      </c>
      <c r="C1387" t="str">
        <f>_xlfn.XLOOKUP(B1387,Tabla2[CODIGO],Tabla2[MATERIAL],"N/A",0)</f>
        <v>Fotocelda</v>
      </c>
      <c r="D1387">
        <v>1</v>
      </c>
      <c r="E1387" t="s">
        <v>42</v>
      </c>
      <c r="F1387" t="s">
        <v>62</v>
      </c>
      <c r="G1387" s="1">
        <v>46178</v>
      </c>
      <c r="I1387" s="2"/>
      <c r="J1387" t="s">
        <v>57</v>
      </c>
      <c r="K1387">
        <v>9821</v>
      </c>
      <c r="L1387" t="s">
        <v>44</v>
      </c>
      <c r="M1387">
        <v>2340194</v>
      </c>
      <c r="N1387">
        <v>1</v>
      </c>
      <c r="O1387" t="s">
        <v>10</v>
      </c>
    </row>
    <row r="1388" spans="2:15" hidden="1" x14ac:dyDescent="0.25">
      <c r="B1388" t="s">
        <v>60</v>
      </c>
      <c r="C1388" t="str">
        <f>_xlfn.XLOOKUP(B1388,Tabla2[CODIGO],Tabla2[MATERIAL],"N/A",0)</f>
        <v>Fotocelda</v>
      </c>
      <c r="D1388">
        <v>1</v>
      </c>
      <c r="E1388" t="s">
        <v>42</v>
      </c>
      <c r="F1388" t="s">
        <v>62</v>
      </c>
      <c r="G1388" s="1">
        <v>46178</v>
      </c>
      <c r="I1388" s="2"/>
      <c r="J1388" t="s">
        <v>57</v>
      </c>
      <c r="K1388">
        <v>9821</v>
      </c>
      <c r="L1388" t="s">
        <v>44</v>
      </c>
      <c r="M1388">
        <v>2340194</v>
      </c>
      <c r="N1388">
        <v>2</v>
      </c>
      <c r="O1388" t="s">
        <v>10</v>
      </c>
    </row>
    <row r="1389" spans="2:15" hidden="1" x14ac:dyDescent="0.25">
      <c r="B1389" t="s">
        <v>60</v>
      </c>
      <c r="C1389" t="str">
        <f>_xlfn.XLOOKUP(B1389,Tabla2[CODIGO],Tabla2[MATERIAL],"N/A",0)</f>
        <v>Fotocelda</v>
      </c>
      <c r="D1389">
        <v>1</v>
      </c>
      <c r="E1389" t="s">
        <v>42</v>
      </c>
      <c r="F1389" t="s">
        <v>62</v>
      </c>
      <c r="G1389" s="1">
        <v>46178</v>
      </c>
      <c r="I1389" s="2"/>
      <c r="J1389" t="s">
        <v>57</v>
      </c>
      <c r="K1389">
        <v>9821</v>
      </c>
      <c r="L1389" t="s">
        <v>44</v>
      </c>
      <c r="M1389">
        <v>2340232</v>
      </c>
      <c r="N1389">
        <v>4</v>
      </c>
      <c r="O1389" t="s">
        <v>10</v>
      </c>
    </row>
    <row r="1390" spans="2:15" hidden="1" x14ac:dyDescent="0.25">
      <c r="B1390" t="s">
        <v>60</v>
      </c>
      <c r="C1390" t="str">
        <f>_xlfn.XLOOKUP(B1390,Tabla2[CODIGO],Tabla2[MATERIAL],"N/A",0)</f>
        <v>Fotocelda</v>
      </c>
      <c r="D1390">
        <v>1</v>
      </c>
      <c r="E1390" t="s">
        <v>42</v>
      </c>
      <c r="F1390" t="s">
        <v>62</v>
      </c>
      <c r="G1390" s="1">
        <v>46178</v>
      </c>
      <c r="I1390" s="2"/>
      <c r="J1390" t="s">
        <v>57</v>
      </c>
      <c r="K1390">
        <v>9821</v>
      </c>
      <c r="L1390" t="s">
        <v>44</v>
      </c>
      <c r="M1390">
        <v>2340232</v>
      </c>
      <c r="N1390">
        <v>5</v>
      </c>
      <c r="O1390" t="s">
        <v>10</v>
      </c>
    </row>
    <row r="1391" spans="2:15" hidden="1" x14ac:dyDescent="0.25">
      <c r="B1391" t="s">
        <v>60</v>
      </c>
      <c r="C1391" t="str">
        <f>_xlfn.XLOOKUP(B1391,Tabla2[CODIGO],Tabla2[MATERIAL],"N/A",0)</f>
        <v>Fotocelda</v>
      </c>
      <c r="D1391">
        <v>1</v>
      </c>
      <c r="E1391" t="s">
        <v>42</v>
      </c>
      <c r="F1391" t="s">
        <v>62</v>
      </c>
      <c r="G1391" s="1">
        <v>46178</v>
      </c>
      <c r="I1391" s="2"/>
      <c r="J1391" t="s">
        <v>57</v>
      </c>
      <c r="K1391">
        <v>9821</v>
      </c>
      <c r="L1391" t="s">
        <v>44</v>
      </c>
      <c r="M1391">
        <v>2340101</v>
      </c>
      <c r="N1391">
        <v>6</v>
      </c>
      <c r="O1391" t="s">
        <v>10</v>
      </c>
    </row>
    <row r="1392" spans="2:15" hidden="1" x14ac:dyDescent="0.25">
      <c r="B1392" t="s">
        <v>60</v>
      </c>
      <c r="C1392" t="str">
        <f>_xlfn.XLOOKUP(B1392,Tabla2[CODIGO],Tabla2[MATERIAL],"N/A",0)</f>
        <v>Fotocelda</v>
      </c>
      <c r="D1392">
        <v>1</v>
      </c>
      <c r="E1392" t="s">
        <v>42</v>
      </c>
      <c r="F1392" t="s">
        <v>62</v>
      </c>
      <c r="G1392" s="1">
        <v>46178</v>
      </c>
      <c r="I1392" s="2"/>
      <c r="J1392" t="s">
        <v>57</v>
      </c>
      <c r="K1392">
        <v>9821</v>
      </c>
      <c r="L1392" t="s">
        <v>44</v>
      </c>
      <c r="M1392">
        <v>2340054</v>
      </c>
      <c r="N1392">
        <v>3</v>
      </c>
      <c r="O1392" t="s">
        <v>10</v>
      </c>
    </row>
    <row r="1393" spans="2:15" hidden="1" x14ac:dyDescent="0.25">
      <c r="B1393" t="s">
        <v>60</v>
      </c>
      <c r="C1393" t="str">
        <f>_xlfn.XLOOKUP(B1393,Tabla2[CODIGO],Tabla2[MATERIAL],"N/A",0)</f>
        <v>Fotocelda</v>
      </c>
      <c r="D1393">
        <v>1</v>
      </c>
      <c r="E1393" t="s">
        <v>42</v>
      </c>
      <c r="F1393" t="s">
        <v>62</v>
      </c>
      <c r="G1393" s="1">
        <v>46178</v>
      </c>
      <c r="I1393" s="2"/>
      <c r="J1393" t="s">
        <v>57</v>
      </c>
      <c r="K1393">
        <v>9821</v>
      </c>
      <c r="L1393" t="s">
        <v>44</v>
      </c>
      <c r="M1393">
        <v>2340283</v>
      </c>
      <c r="N1393">
        <v>8</v>
      </c>
      <c r="O1393" t="s">
        <v>10</v>
      </c>
    </row>
    <row r="1394" spans="2:15" hidden="1" x14ac:dyDescent="0.25">
      <c r="B1394" t="s">
        <v>60</v>
      </c>
      <c r="C1394" t="str">
        <f>_xlfn.XLOOKUP(B1394,Tabla2[CODIGO],Tabla2[MATERIAL],"N/A",0)</f>
        <v>Fotocelda</v>
      </c>
      <c r="D1394">
        <v>1</v>
      </c>
      <c r="E1394" t="s">
        <v>42</v>
      </c>
      <c r="F1394" t="s">
        <v>62</v>
      </c>
      <c r="G1394" s="1">
        <v>46178</v>
      </c>
      <c r="I1394" s="2"/>
      <c r="J1394" t="s">
        <v>57</v>
      </c>
      <c r="K1394">
        <v>9821</v>
      </c>
      <c r="L1394" t="s">
        <v>44</v>
      </c>
      <c r="M1394">
        <v>2340283</v>
      </c>
      <c r="N1394">
        <v>9</v>
      </c>
      <c r="O1394" t="s">
        <v>10</v>
      </c>
    </row>
    <row r="1395" spans="2:15" hidden="1" x14ac:dyDescent="0.25">
      <c r="B1395" t="s">
        <v>60</v>
      </c>
      <c r="C1395" t="str">
        <f>_xlfn.XLOOKUP(B1395,Tabla2[CODIGO],Tabla2[MATERIAL],"N/A",0)</f>
        <v>Fotocelda</v>
      </c>
      <c r="D1395">
        <v>1</v>
      </c>
      <c r="E1395" t="s">
        <v>42</v>
      </c>
      <c r="F1395" t="s">
        <v>62</v>
      </c>
      <c r="G1395" s="1">
        <v>46178</v>
      </c>
      <c r="I1395" s="2"/>
      <c r="J1395" t="s">
        <v>57</v>
      </c>
      <c r="K1395">
        <v>9821</v>
      </c>
      <c r="L1395" t="s">
        <v>44</v>
      </c>
      <c r="M1395">
        <v>2349143</v>
      </c>
      <c r="N1395">
        <v>10</v>
      </c>
      <c r="O1395" t="s">
        <v>10</v>
      </c>
    </row>
    <row r="1396" spans="2:15" hidden="1" x14ac:dyDescent="0.25">
      <c r="B1396" t="s">
        <v>212</v>
      </c>
      <c r="C1396" t="str">
        <f>_xlfn.XLOOKUP(B1396,Tabla2[CODIGO],Tabla2[MATERIAL],"N/A",0)</f>
        <v>Grillete galvanizado 1,1/2</v>
      </c>
      <c r="D1396">
        <v>2</v>
      </c>
      <c r="E1396" t="s">
        <v>42</v>
      </c>
      <c r="F1396" t="s">
        <v>62</v>
      </c>
      <c r="G1396" s="1">
        <v>46178</v>
      </c>
      <c r="I1396" s="2"/>
      <c r="J1396" t="s">
        <v>57</v>
      </c>
      <c r="K1396">
        <v>9821</v>
      </c>
      <c r="L1396" t="s">
        <v>44</v>
      </c>
      <c r="M1396">
        <v>2340101</v>
      </c>
      <c r="N1396">
        <v>6</v>
      </c>
    </row>
    <row r="1397" spans="2:15" hidden="1" x14ac:dyDescent="0.25">
      <c r="B1397" t="s">
        <v>466</v>
      </c>
      <c r="C1397" t="str">
        <f>_xlfn.XLOOKUP(B1397,Tabla2[CODIGO],Tabla2[MATERIAL],"N/A",0)</f>
        <v xml:space="preserve">Perno carruaje 5-8*2 </v>
      </c>
      <c r="D1397">
        <v>2</v>
      </c>
      <c r="E1397" t="s">
        <v>42</v>
      </c>
      <c r="F1397" t="s">
        <v>62</v>
      </c>
      <c r="G1397" s="1">
        <v>46178</v>
      </c>
      <c r="I1397" s="2"/>
      <c r="J1397" t="s">
        <v>57</v>
      </c>
      <c r="K1397">
        <v>9821</v>
      </c>
      <c r="L1397" t="s">
        <v>44</v>
      </c>
      <c r="M1397">
        <v>2340101</v>
      </c>
      <c r="N1397">
        <v>6</v>
      </c>
    </row>
    <row r="1398" spans="2:15" hidden="1" x14ac:dyDescent="0.25">
      <c r="B1398" t="s">
        <v>465</v>
      </c>
      <c r="C1398" t="str">
        <f>_xlfn.XLOOKUP(B1398,Tabla2[CODIGO],Tabla2[MATERIAL],"N/A",0)</f>
        <v>Tuerca Hexagona 5/8</v>
      </c>
      <c r="D1398">
        <v>2</v>
      </c>
      <c r="E1398" t="s">
        <v>42</v>
      </c>
      <c r="F1398" t="s">
        <v>62</v>
      </c>
      <c r="G1398" s="1">
        <v>46178</v>
      </c>
      <c r="I1398" s="2"/>
      <c r="J1398" t="s">
        <v>57</v>
      </c>
      <c r="K1398">
        <v>9821</v>
      </c>
      <c r="L1398" t="s">
        <v>44</v>
      </c>
      <c r="M1398">
        <v>2340101</v>
      </c>
      <c r="N1398">
        <v>6</v>
      </c>
    </row>
    <row r="1399" spans="2:15" hidden="1" x14ac:dyDescent="0.25">
      <c r="B1399" t="s">
        <v>137</v>
      </c>
      <c r="C1399" t="str">
        <f>_xlfn.XLOOKUP(B1399,Tabla2[CODIGO],Tabla2[MATERIAL],"N/A",0)</f>
        <v>Fotocelda</v>
      </c>
      <c r="D1399">
        <v>1</v>
      </c>
      <c r="E1399" t="s">
        <v>42</v>
      </c>
      <c r="F1399" t="s">
        <v>62</v>
      </c>
      <c r="G1399" s="1">
        <v>46199</v>
      </c>
      <c r="I1399" s="2"/>
      <c r="J1399" t="s">
        <v>166</v>
      </c>
      <c r="K1399">
        <v>9958</v>
      </c>
      <c r="M1399">
        <v>2277638</v>
      </c>
      <c r="N1399">
        <v>1</v>
      </c>
    </row>
    <row r="1400" spans="2:15" hidden="1" x14ac:dyDescent="0.25">
      <c r="B1400" t="s">
        <v>137</v>
      </c>
      <c r="C1400" t="str">
        <f>_xlfn.XLOOKUP(B1400,Tabla2[CODIGO],Tabla2[MATERIAL],"N/A",0)</f>
        <v>Fotocelda</v>
      </c>
      <c r="D1400">
        <v>1</v>
      </c>
      <c r="E1400" t="s">
        <v>42</v>
      </c>
      <c r="F1400" t="s">
        <v>62</v>
      </c>
      <c r="G1400" s="1">
        <v>46199</v>
      </c>
      <c r="I1400" s="2"/>
      <c r="J1400" t="s">
        <v>166</v>
      </c>
      <c r="K1400">
        <v>9958</v>
      </c>
      <c r="M1400">
        <v>2277638</v>
      </c>
      <c r="N1400">
        <v>2</v>
      </c>
    </row>
    <row r="1401" spans="2:15" hidden="1" x14ac:dyDescent="0.25">
      <c r="B1401" t="s">
        <v>137</v>
      </c>
      <c r="C1401" t="str">
        <f>_xlfn.XLOOKUP(B1401,Tabla2[CODIGO],Tabla2[MATERIAL],"N/A",0)</f>
        <v>Fotocelda</v>
      </c>
      <c r="D1401">
        <v>1</v>
      </c>
      <c r="E1401" t="s">
        <v>42</v>
      </c>
      <c r="F1401" t="s">
        <v>62</v>
      </c>
      <c r="G1401" s="1">
        <v>46199</v>
      </c>
      <c r="I1401" s="2"/>
      <c r="J1401" t="s">
        <v>166</v>
      </c>
      <c r="K1401">
        <v>9958</v>
      </c>
      <c r="M1401">
        <v>2277638</v>
      </c>
      <c r="N1401">
        <v>3</v>
      </c>
    </row>
    <row r="1402" spans="2:15" hidden="1" x14ac:dyDescent="0.25">
      <c r="B1402" t="s">
        <v>137</v>
      </c>
      <c r="C1402" t="str">
        <f>_xlfn.XLOOKUP(B1402,Tabla2[CODIGO],Tabla2[MATERIAL],"N/A",0)</f>
        <v>Fotocelda</v>
      </c>
      <c r="D1402">
        <v>1</v>
      </c>
      <c r="E1402" t="s">
        <v>42</v>
      </c>
      <c r="F1402" t="s">
        <v>62</v>
      </c>
      <c r="G1402" s="1">
        <v>46199</v>
      </c>
      <c r="I1402" s="2"/>
      <c r="J1402" t="s">
        <v>166</v>
      </c>
      <c r="K1402">
        <v>9958</v>
      </c>
      <c r="M1402">
        <v>2277638</v>
      </c>
      <c r="N1402">
        <v>4</v>
      </c>
    </row>
    <row r="1403" spans="2:15" hidden="1" x14ac:dyDescent="0.25">
      <c r="B1403" t="s">
        <v>137</v>
      </c>
      <c r="C1403" t="str">
        <f>_xlfn.XLOOKUP(B1403,Tabla2[CODIGO],Tabla2[MATERIAL],"N/A",0)</f>
        <v>Fotocelda</v>
      </c>
      <c r="D1403">
        <v>1</v>
      </c>
      <c r="E1403" t="s">
        <v>42</v>
      </c>
      <c r="F1403" t="s">
        <v>62</v>
      </c>
      <c r="G1403" s="1">
        <v>46199</v>
      </c>
      <c r="I1403" s="2"/>
      <c r="J1403" t="s">
        <v>166</v>
      </c>
      <c r="K1403">
        <v>9958</v>
      </c>
      <c r="M1403">
        <v>2277638</v>
      </c>
      <c r="N1403">
        <v>5</v>
      </c>
    </row>
    <row r="1404" spans="2:15" hidden="1" x14ac:dyDescent="0.25">
      <c r="B1404" t="s">
        <v>137</v>
      </c>
      <c r="C1404" t="str">
        <f>_xlfn.XLOOKUP(B1404,Tabla2[CODIGO],Tabla2[MATERIAL],"N/A",0)</f>
        <v>Fotocelda</v>
      </c>
      <c r="D1404">
        <v>1</v>
      </c>
      <c r="E1404" t="s">
        <v>42</v>
      </c>
      <c r="F1404" t="s">
        <v>62</v>
      </c>
      <c r="G1404" s="1">
        <v>46199</v>
      </c>
      <c r="I1404" s="2"/>
      <c r="J1404" t="s">
        <v>166</v>
      </c>
      <c r="K1404">
        <v>9958</v>
      </c>
      <c r="M1404">
        <v>2277638</v>
      </c>
      <c r="N1404">
        <v>6</v>
      </c>
    </row>
    <row r="1405" spans="2:15" hidden="1" x14ac:dyDescent="0.25">
      <c r="B1405" t="s">
        <v>137</v>
      </c>
      <c r="C1405" t="str">
        <f>_xlfn.XLOOKUP(B1405,Tabla2[CODIGO],Tabla2[MATERIAL],"N/A",0)</f>
        <v>Fotocelda</v>
      </c>
      <c r="D1405">
        <v>1</v>
      </c>
      <c r="E1405" t="s">
        <v>42</v>
      </c>
      <c r="F1405" t="s">
        <v>62</v>
      </c>
      <c r="G1405" s="1">
        <v>46199</v>
      </c>
      <c r="I1405" s="2"/>
      <c r="J1405" t="s">
        <v>166</v>
      </c>
      <c r="K1405">
        <v>9958</v>
      </c>
      <c r="M1405">
        <v>2277689</v>
      </c>
      <c r="N1405">
        <v>7</v>
      </c>
    </row>
    <row r="1406" spans="2:15" hidden="1" x14ac:dyDescent="0.25">
      <c r="B1406" t="s">
        <v>137</v>
      </c>
      <c r="C1406" t="str">
        <f>_xlfn.XLOOKUP(B1406,Tabla2[CODIGO],Tabla2[MATERIAL],"N/A",0)</f>
        <v>Fotocelda</v>
      </c>
      <c r="D1406">
        <v>1</v>
      </c>
      <c r="E1406" t="s">
        <v>42</v>
      </c>
      <c r="F1406" t="s">
        <v>62</v>
      </c>
      <c r="G1406" s="1">
        <v>46199</v>
      </c>
      <c r="I1406" s="2"/>
      <c r="J1406" t="s">
        <v>166</v>
      </c>
      <c r="K1406">
        <v>9958</v>
      </c>
      <c r="M1406">
        <v>2277689</v>
      </c>
      <c r="N1406">
        <v>8</v>
      </c>
    </row>
    <row r="1407" spans="2:15" hidden="1" x14ac:dyDescent="0.25">
      <c r="B1407" t="s">
        <v>137</v>
      </c>
      <c r="C1407" t="str">
        <f>_xlfn.XLOOKUP(B1407,Tabla2[CODIGO],Tabla2[MATERIAL],"N/A",0)</f>
        <v>Fotocelda</v>
      </c>
      <c r="D1407">
        <v>1</v>
      </c>
      <c r="E1407" t="s">
        <v>42</v>
      </c>
      <c r="F1407" t="s">
        <v>62</v>
      </c>
      <c r="G1407" s="1">
        <v>46199</v>
      </c>
      <c r="I1407" s="2"/>
      <c r="J1407" t="s">
        <v>166</v>
      </c>
      <c r="K1407">
        <v>9958</v>
      </c>
      <c r="M1407">
        <v>2277689</v>
      </c>
      <c r="N1407">
        <v>9</v>
      </c>
    </row>
    <row r="1408" spans="2:15" hidden="1" x14ac:dyDescent="0.25">
      <c r="B1408" t="s">
        <v>137</v>
      </c>
      <c r="C1408" t="str">
        <f>_xlfn.XLOOKUP(B1408,Tabla2[CODIGO],Tabla2[MATERIAL],"N/A",0)</f>
        <v>Fotocelda</v>
      </c>
      <c r="D1408">
        <v>1</v>
      </c>
      <c r="E1408" t="s">
        <v>42</v>
      </c>
      <c r="F1408" t="s">
        <v>62</v>
      </c>
      <c r="G1408" s="1">
        <v>46199</v>
      </c>
      <c r="I1408" s="2"/>
      <c r="J1408" t="s">
        <v>166</v>
      </c>
      <c r="K1408">
        <v>9958</v>
      </c>
      <c r="M1408">
        <v>2277689</v>
      </c>
      <c r="N1408">
        <v>10</v>
      </c>
    </row>
    <row r="1409" spans="2:14" hidden="1" x14ac:dyDescent="0.25">
      <c r="B1409" t="s">
        <v>137</v>
      </c>
      <c r="C1409" t="str">
        <f>_xlfn.XLOOKUP(B1409,Tabla2[CODIGO],Tabla2[MATERIAL],"N/A",0)</f>
        <v>Fotocelda</v>
      </c>
      <c r="D1409">
        <v>1</v>
      </c>
      <c r="E1409" t="s">
        <v>42</v>
      </c>
      <c r="F1409" t="s">
        <v>62</v>
      </c>
      <c r="G1409" s="1">
        <v>46199</v>
      </c>
      <c r="I1409" s="2"/>
      <c r="J1409" t="s">
        <v>166</v>
      </c>
      <c r="K1409">
        <v>9958</v>
      </c>
      <c r="M1409">
        <v>2277689</v>
      </c>
      <c r="N1409">
        <v>11</v>
      </c>
    </row>
    <row r="1410" spans="2:14" hidden="1" x14ac:dyDescent="0.25">
      <c r="B1410" t="s">
        <v>137</v>
      </c>
      <c r="C1410" t="str">
        <f>_xlfn.XLOOKUP(B1410,Tabla2[CODIGO],Tabla2[MATERIAL],"N/A",0)</f>
        <v>Fotocelda</v>
      </c>
      <c r="D1410">
        <v>1</v>
      </c>
      <c r="E1410" t="s">
        <v>42</v>
      </c>
      <c r="F1410" t="s">
        <v>62</v>
      </c>
      <c r="G1410" s="1">
        <v>46199</v>
      </c>
      <c r="I1410" s="2"/>
      <c r="J1410" t="s">
        <v>166</v>
      </c>
      <c r="K1410">
        <v>9958</v>
      </c>
      <c r="M1410">
        <v>2277689</v>
      </c>
      <c r="N1410">
        <v>12</v>
      </c>
    </row>
    <row r="1411" spans="2:14" hidden="1" x14ac:dyDescent="0.25">
      <c r="B1411" t="s">
        <v>60</v>
      </c>
      <c r="C1411" t="str">
        <f>_xlfn.XLOOKUP(B1411,Tabla2[CODIGO],Tabla2[MATERIAL],"N/A",0)</f>
        <v>Fotocelda</v>
      </c>
      <c r="D1411">
        <v>1</v>
      </c>
      <c r="E1411" t="s">
        <v>42</v>
      </c>
      <c r="F1411" t="s">
        <v>62</v>
      </c>
      <c r="G1411" s="1">
        <v>46199</v>
      </c>
      <c r="I1411" s="2"/>
      <c r="J1411" t="s">
        <v>166</v>
      </c>
      <c r="K1411">
        <v>9958</v>
      </c>
      <c r="M1411">
        <v>2277638</v>
      </c>
      <c r="N1411">
        <v>7</v>
      </c>
    </row>
    <row r="1412" spans="2:14" hidden="1" x14ac:dyDescent="0.25">
      <c r="B1412" t="s">
        <v>60</v>
      </c>
      <c r="C1412" t="str">
        <f>_xlfn.XLOOKUP(B1412,Tabla2[CODIGO],Tabla2[MATERIAL],"N/A",0)</f>
        <v>Fotocelda</v>
      </c>
      <c r="D1412">
        <v>1</v>
      </c>
      <c r="E1412" t="s">
        <v>42</v>
      </c>
      <c r="F1412" t="s">
        <v>62</v>
      </c>
      <c r="G1412" s="1">
        <v>46199</v>
      </c>
      <c r="I1412" s="2"/>
      <c r="J1412" t="s">
        <v>166</v>
      </c>
      <c r="K1412">
        <v>9958</v>
      </c>
      <c r="M1412">
        <v>2277638</v>
      </c>
      <c r="N1412">
        <v>8</v>
      </c>
    </row>
    <row r="1413" spans="2:14" hidden="1" x14ac:dyDescent="0.25">
      <c r="B1413" t="s">
        <v>60</v>
      </c>
      <c r="C1413" t="str">
        <f>_xlfn.XLOOKUP(B1413,Tabla2[CODIGO],Tabla2[MATERIAL],"N/A",0)</f>
        <v>Fotocelda</v>
      </c>
      <c r="D1413">
        <v>1</v>
      </c>
      <c r="E1413" t="s">
        <v>42</v>
      </c>
      <c r="F1413" t="s">
        <v>62</v>
      </c>
      <c r="G1413" s="1">
        <v>46199</v>
      </c>
      <c r="I1413" s="2"/>
      <c r="J1413" t="s">
        <v>166</v>
      </c>
      <c r="K1413">
        <v>9958</v>
      </c>
      <c r="M1413">
        <v>2277689</v>
      </c>
      <c r="N1413">
        <v>12</v>
      </c>
    </row>
    <row r="1414" spans="2:14" hidden="1" x14ac:dyDescent="0.25">
      <c r="B1414" t="s">
        <v>60</v>
      </c>
      <c r="C1414" t="str">
        <f>_xlfn.XLOOKUP(B1414,Tabla2[CODIGO],Tabla2[MATERIAL],"N/A",0)</f>
        <v>Fotocelda</v>
      </c>
      <c r="D1414">
        <v>1</v>
      </c>
      <c r="E1414" t="s">
        <v>42</v>
      </c>
      <c r="F1414" t="s">
        <v>62</v>
      </c>
      <c r="G1414" s="1">
        <v>46199</v>
      </c>
      <c r="I1414" s="2"/>
      <c r="J1414" t="s">
        <v>166</v>
      </c>
      <c r="K1414">
        <v>9958</v>
      </c>
      <c r="M1414">
        <v>2277689</v>
      </c>
      <c r="N1414">
        <v>13</v>
      </c>
    </row>
    <row r="1415" spans="2:14" hidden="1" x14ac:dyDescent="0.25">
      <c r="B1415" t="s">
        <v>60</v>
      </c>
      <c r="C1415" t="str">
        <f>_xlfn.XLOOKUP(B1415,Tabla2[CODIGO],Tabla2[MATERIAL],"N/A",0)</f>
        <v>Fotocelda</v>
      </c>
      <c r="D1415">
        <v>1</v>
      </c>
      <c r="E1415" t="s">
        <v>42</v>
      </c>
      <c r="F1415" t="s">
        <v>62</v>
      </c>
      <c r="G1415" s="1">
        <v>46199</v>
      </c>
      <c r="I1415" s="2"/>
      <c r="J1415" t="s">
        <v>166</v>
      </c>
      <c r="K1415">
        <v>9958</v>
      </c>
      <c r="M1415">
        <v>2277689</v>
      </c>
      <c r="N1415">
        <v>14</v>
      </c>
    </row>
    <row r="1416" spans="2:14" hidden="1" x14ac:dyDescent="0.25">
      <c r="B1416" t="s">
        <v>221</v>
      </c>
      <c r="C1416" t="str">
        <f>_xlfn.XLOOKUP(B1416,Tabla2[CODIGO],Tabla2[MATERIAL],"N/A",0)</f>
        <v>Grillete galvanizado 1,1/2</v>
      </c>
      <c r="D1416">
        <v>2</v>
      </c>
      <c r="E1416" t="s">
        <v>42</v>
      </c>
      <c r="F1416" t="s">
        <v>62</v>
      </c>
      <c r="G1416" s="1">
        <v>46199</v>
      </c>
      <c r="I1416" s="2"/>
      <c r="J1416" t="s">
        <v>166</v>
      </c>
      <c r="K1416">
        <v>9958</v>
      </c>
      <c r="M1416">
        <v>2277638</v>
      </c>
      <c r="N1416">
        <v>1</v>
      </c>
    </row>
    <row r="1417" spans="2:14" hidden="1" x14ac:dyDescent="0.25">
      <c r="B1417" t="s">
        <v>221</v>
      </c>
      <c r="C1417" t="str">
        <f>_xlfn.XLOOKUP(B1417,Tabla2[CODIGO],Tabla2[MATERIAL],"N/A",0)</f>
        <v>Grillete galvanizado 1,1/2</v>
      </c>
      <c r="D1417">
        <v>2</v>
      </c>
      <c r="E1417" t="s">
        <v>42</v>
      </c>
      <c r="F1417" t="s">
        <v>62</v>
      </c>
      <c r="G1417" s="1">
        <v>46199</v>
      </c>
      <c r="I1417" s="2"/>
      <c r="J1417" t="s">
        <v>166</v>
      </c>
      <c r="K1417">
        <v>9958</v>
      </c>
      <c r="M1417">
        <v>2277689</v>
      </c>
      <c r="N1417">
        <v>7</v>
      </c>
    </row>
    <row r="1418" spans="2:14" hidden="1" x14ac:dyDescent="0.25">
      <c r="B1418" t="s">
        <v>37</v>
      </c>
      <c r="C1418" t="str">
        <f>_xlfn.XLOOKUP(B1418,Tabla2[CODIGO],Tabla2[MATERIAL],"N/A",0)</f>
        <v>Hebilla para cinta bandit 1/2"</v>
      </c>
      <c r="D1418">
        <v>3</v>
      </c>
      <c r="E1418" t="s">
        <v>42</v>
      </c>
      <c r="F1418" t="s">
        <v>62</v>
      </c>
      <c r="G1418" s="1">
        <v>46199</v>
      </c>
      <c r="I1418" s="2"/>
      <c r="J1418" t="s">
        <v>166</v>
      </c>
      <c r="K1418">
        <v>9958</v>
      </c>
      <c r="M1418">
        <v>2277638</v>
      </c>
      <c r="N1418">
        <v>7</v>
      </c>
    </row>
    <row r="1419" spans="2:14" hidden="1" x14ac:dyDescent="0.25">
      <c r="B1419" t="s">
        <v>37</v>
      </c>
      <c r="C1419" t="str">
        <f>_xlfn.XLOOKUP(B1419,Tabla2[CODIGO],Tabla2[MATERIAL],"N/A",0)</f>
        <v>Hebilla para cinta bandit 1/2"</v>
      </c>
      <c r="D1419">
        <v>3</v>
      </c>
      <c r="E1419" t="s">
        <v>42</v>
      </c>
      <c r="F1419" t="s">
        <v>62</v>
      </c>
      <c r="G1419" s="1">
        <v>46199</v>
      </c>
      <c r="I1419" s="2"/>
      <c r="J1419" t="s">
        <v>166</v>
      </c>
      <c r="K1419">
        <v>9958</v>
      </c>
      <c r="M1419">
        <v>2277689</v>
      </c>
      <c r="N1419">
        <v>9</v>
      </c>
    </row>
    <row r="1420" spans="2:14" hidden="1" x14ac:dyDescent="0.25">
      <c r="B1420" t="s">
        <v>37</v>
      </c>
      <c r="C1420" t="str">
        <f>_xlfn.XLOOKUP(B1420,Tabla2[CODIGO],Tabla2[MATERIAL],"N/A",0)</f>
        <v>Hebilla para cinta bandit 1/2"</v>
      </c>
      <c r="D1420">
        <v>3</v>
      </c>
      <c r="E1420" t="s">
        <v>42</v>
      </c>
      <c r="F1420" t="s">
        <v>62</v>
      </c>
      <c r="G1420" s="1">
        <v>46199</v>
      </c>
      <c r="I1420" s="2"/>
      <c r="J1420" t="s">
        <v>166</v>
      </c>
      <c r="K1420">
        <v>9958</v>
      </c>
      <c r="M1420">
        <v>2277689</v>
      </c>
      <c r="N1420">
        <v>11</v>
      </c>
    </row>
    <row r="1421" spans="2:14" hidden="1" x14ac:dyDescent="0.25">
      <c r="B1421" t="s">
        <v>37</v>
      </c>
      <c r="C1421" t="str">
        <f>_xlfn.XLOOKUP(B1421,Tabla2[CODIGO],Tabla2[MATERIAL],"N/A",0)</f>
        <v>Hebilla para cinta bandit 1/2"</v>
      </c>
      <c r="D1421">
        <v>3</v>
      </c>
      <c r="E1421" t="s">
        <v>42</v>
      </c>
      <c r="F1421" t="s">
        <v>62</v>
      </c>
      <c r="G1421" s="1">
        <v>46199</v>
      </c>
      <c r="I1421" s="2"/>
      <c r="J1421" t="s">
        <v>166</v>
      </c>
      <c r="K1421">
        <v>9958</v>
      </c>
      <c r="M1421">
        <v>2277689</v>
      </c>
      <c r="N1421">
        <v>15</v>
      </c>
    </row>
    <row r="1422" spans="2:14" hidden="1" x14ac:dyDescent="0.25">
      <c r="B1422" t="s">
        <v>84</v>
      </c>
      <c r="C1422" t="str">
        <f>_xlfn.XLOOKUP(B1422,Tabla2[CODIGO],Tabla2[MATERIAL],"N/A",0)</f>
        <v>Luminaria 110w</v>
      </c>
      <c r="D1422">
        <v>1</v>
      </c>
      <c r="E1422" t="s">
        <v>42</v>
      </c>
      <c r="F1422" t="s">
        <v>62</v>
      </c>
      <c r="G1422" s="1">
        <v>46199</v>
      </c>
      <c r="H1422" t="s">
        <v>64</v>
      </c>
      <c r="I1422" t="s">
        <v>103</v>
      </c>
      <c r="J1422" t="s">
        <v>166</v>
      </c>
      <c r="K1422">
        <v>9958</v>
      </c>
      <c r="M1422">
        <v>2277638</v>
      </c>
      <c r="N1422">
        <v>1</v>
      </c>
    </row>
    <row r="1423" spans="2:14" hidden="1" x14ac:dyDescent="0.25">
      <c r="B1423" t="s">
        <v>84</v>
      </c>
      <c r="C1423" t="str">
        <f>_xlfn.XLOOKUP(B1423,Tabla2[CODIGO],Tabla2[MATERIAL],"N/A",0)</f>
        <v>Luminaria 110w</v>
      </c>
      <c r="D1423">
        <v>1</v>
      </c>
      <c r="E1423" t="s">
        <v>42</v>
      </c>
      <c r="F1423" t="s">
        <v>62</v>
      </c>
      <c r="G1423" s="1">
        <v>46199</v>
      </c>
      <c r="H1423" t="s">
        <v>64</v>
      </c>
      <c r="I1423" t="s">
        <v>101</v>
      </c>
      <c r="J1423" t="s">
        <v>166</v>
      </c>
      <c r="K1423">
        <v>9958</v>
      </c>
      <c r="M1423">
        <v>2277689</v>
      </c>
      <c r="N1423">
        <v>7</v>
      </c>
    </row>
    <row r="1424" spans="2:14" hidden="1" x14ac:dyDescent="0.25">
      <c r="B1424" t="s">
        <v>82</v>
      </c>
      <c r="C1424" t="str">
        <f>_xlfn.XLOOKUP(B1424,Tabla2[CODIGO],Tabla2[MATERIAL],"N/A",0)</f>
        <v>proyector 190w</v>
      </c>
      <c r="D1424">
        <v>1</v>
      </c>
      <c r="E1424" t="s">
        <v>42</v>
      </c>
      <c r="F1424" t="s">
        <v>16</v>
      </c>
      <c r="G1424" s="1">
        <v>46221</v>
      </c>
      <c r="H1424" t="s">
        <v>64</v>
      </c>
      <c r="I1424" s="2" t="s">
        <v>447</v>
      </c>
      <c r="J1424" t="s">
        <v>289</v>
      </c>
      <c r="K1424">
        <v>9974</v>
      </c>
    </row>
    <row r="1425" spans="2:14" hidden="1" x14ac:dyDescent="0.25">
      <c r="B1425" t="s">
        <v>82</v>
      </c>
      <c r="C1425" t="str">
        <f>_xlfn.XLOOKUP(B1425,Tabla2[CODIGO],Tabla2[MATERIAL],"N/A",0)</f>
        <v>proyector 190w</v>
      </c>
      <c r="D1425">
        <v>1</v>
      </c>
      <c r="E1425" t="s">
        <v>42</v>
      </c>
      <c r="F1425" t="s">
        <v>62</v>
      </c>
      <c r="H1425" t="s">
        <v>64</v>
      </c>
      <c r="I1425" s="2" t="s">
        <v>447</v>
      </c>
      <c r="J1425" t="s">
        <v>289</v>
      </c>
      <c r="K1425">
        <v>9974</v>
      </c>
      <c r="M1425">
        <v>1865323</v>
      </c>
      <c r="N1425">
        <v>18</v>
      </c>
    </row>
    <row r="1426" spans="2:14" hidden="1" x14ac:dyDescent="0.25">
      <c r="B1426" t="s">
        <v>82</v>
      </c>
      <c r="C1426" t="str">
        <f>_xlfn.XLOOKUP(B1426,Tabla2[CODIGO],Tabla2[MATERIAL],"N/A",0)</f>
        <v>proyector 190w</v>
      </c>
      <c r="D1426">
        <v>1</v>
      </c>
      <c r="E1426" t="s">
        <v>42</v>
      </c>
      <c r="F1426" t="s">
        <v>16</v>
      </c>
      <c r="G1426" s="1">
        <v>46221</v>
      </c>
      <c r="H1426" t="s">
        <v>64</v>
      </c>
      <c r="I1426" t="s">
        <v>369</v>
      </c>
      <c r="J1426" t="s">
        <v>289</v>
      </c>
      <c r="K1426">
        <v>9968</v>
      </c>
    </row>
    <row r="1427" spans="2:14" hidden="1" x14ac:dyDescent="0.25">
      <c r="B1427" t="s">
        <v>82</v>
      </c>
      <c r="C1427" t="str">
        <f>_xlfn.XLOOKUP(B1427,Tabla2[CODIGO],Tabla2[MATERIAL],"N/A",0)</f>
        <v>proyector 190w</v>
      </c>
      <c r="D1427">
        <v>1</v>
      </c>
      <c r="E1427" t="s">
        <v>42</v>
      </c>
      <c r="F1427" t="s">
        <v>16</v>
      </c>
      <c r="G1427" s="1">
        <v>46221</v>
      </c>
      <c r="H1427" t="s">
        <v>64</v>
      </c>
      <c r="I1427" t="s">
        <v>368</v>
      </c>
      <c r="J1427" t="s">
        <v>289</v>
      </c>
      <c r="K1427">
        <v>9968</v>
      </c>
    </row>
    <row r="1428" spans="2:14" hidden="1" x14ac:dyDescent="0.25">
      <c r="B1428" t="s">
        <v>82</v>
      </c>
      <c r="C1428" t="str">
        <f>_xlfn.XLOOKUP(B1428,Tabla2[CODIGO],Tabla2[MATERIAL],"N/A",0)</f>
        <v>proyector 190w</v>
      </c>
      <c r="D1428">
        <v>1</v>
      </c>
      <c r="E1428" t="s">
        <v>42</v>
      </c>
      <c r="F1428" t="s">
        <v>16</v>
      </c>
      <c r="G1428" s="1">
        <v>46221</v>
      </c>
      <c r="H1428" t="s">
        <v>64</v>
      </c>
      <c r="I1428" s="2" t="s">
        <v>409</v>
      </c>
      <c r="J1428" t="s">
        <v>289</v>
      </c>
      <c r="K1428">
        <v>9972</v>
      </c>
    </row>
    <row r="1429" spans="2:14" hidden="1" x14ac:dyDescent="0.25">
      <c r="B1429" t="s">
        <v>82</v>
      </c>
      <c r="C1429" t="str">
        <f>_xlfn.XLOOKUP(B1429,Tabla2[CODIGO],Tabla2[MATERIAL],"N/A",0)</f>
        <v>proyector 190w</v>
      </c>
      <c r="D1429">
        <v>1</v>
      </c>
      <c r="E1429" t="s">
        <v>42</v>
      </c>
      <c r="F1429" t="s">
        <v>62</v>
      </c>
      <c r="H1429" t="s">
        <v>64</v>
      </c>
      <c r="I1429" s="2" t="s">
        <v>409</v>
      </c>
      <c r="J1429" t="s">
        <v>289</v>
      </c>
      <c r="K1429">
        <v>9972</v>
      </c>
      <c r="M1429">
        <v>2304333</v>
      </c>
      <c r="N1429">
        <v>9</v>
      </c>
    </row>
    <row r="1430" spans="2:14" hidden="1" x14ac:dyDescent="0.25">
      <c r="B1430" t="s">
        <v>82</v>
      </c>
      <c r="C1430" t="str">
        <f>_xlfn.XLOOKUP(B1430,Tabla2[CODIGO],Tabla2[MATERIAL],"N/A",0)</f>
        <v>proyector 190w</v>
      </c>
      <c r="D1430">
        <v>1</v>
      </c>
      <c r="E1430" t="s">
        <v>42</v>
      </c>
      <c r="F1430" t="s">
        <v>16</v>
      </c>
      <c r="G1430" s="1">
        <v>46221</v>
      </c>
      <c r="H1430" t="s">
        <v>64</v>
      </c>
      <c r="I1430" t="s">
        <v>367</v>
      </c>
      <c r="J1430" t="s">
        <v>289</v>
      </c>
      <c r="K1430">
        <v>9968</v>
      </c>
    </row>
    <row r="1431" spans="2:14" hidden="1" x14ac:dyDescent="0.25">
      <c r="B1431" t="s">
        <v>82</v>
      </c>
      <c r="C1431" t="str">
        <f>_xlfn.XLOOKUP(B1431,Tabla2[CODIGO],Tabla2[MATERIAL],"N/A",0)</f>
        <v>proyector 190w</v>
      </c>
      <c r="D1431">
        <v>1</v>
      </c>
      <c r="E1431" t="s">
        <v>42</v>
      </c>
      <c r="F1431" t="s">
        <v>16</v>
      </c>
      <c r="G1431" s="1">
        <v>46221</v>
      </c>
      <c r="H1431" t="s">
        <v>64</v>
      </c>
      <c r="I1431" s="2" t="s">
        <v>408</v>
      </c>
      <c r="J1431" t="s">
        <v>289</v>
      </c>
      <c r="K1431">
        <v>9972</v>
      </c>
    </row>
    <row r="1432" spans="2:14" hidden="1" x14ac:dyDescent="0.25">
      <c r="B1432" t="s">
        <v>82</v>
      </c>
      <c r="C1432" t="str">
        <f>_xlfn.XLOOKUP(B1432,Tabla2[CODIGO],Tabla2[MATERIAL],"N/A",0)</f>
        <v>proyector 190w</v>
      </c>
      <c r="D1432">
        <v>1</v>
      </c>
      <c r="E1432" t="s">
        <v>42</v>
      </c>
      <c r="F1432" t="s">
        <v>62</v>
      </c>
      <c r="H1432" t="s">
        <v>64</v>
      </c>
      <c r="I1432" s="2" t="s">
        <v>408</v>
      </c>
      <c r="J1432" t="s">
        <v>289</v>
      </c>
      <c r="K1432">
        <v>9972</v>
      </c>
      <c r="M1432">
        <v>1901974</v>
      </c>
      <c r="N1432">
        <v>15</v>
      </c>
    </row>
    <row r="1433" spans="2:14" hidden="1" x14ac:dyDescent="0.25">
      <c r="B1433" t="s">
        <v>82</v>
      </c>
      <c r="C1433" t="str">
        <f>_xlfn.XLOOKUP(B1433,Tabla2[CODIGO],Tabla2[MATERIAL],"N/A",0)</f>
        <v>proyector 190w</v>
      </c>
      <c r="D1433">
        <v>1</v>
      </c>
      <c r="E1433" t="s">
        <v>42</v>
      </c>
      <c r="F1433" t="s">
        <v>16</v>
      </c>
      <c r="G1433" s="1">
        <v>46221</v>
      </c>
      <c r="H1433" t="s">
        <v>64</v>
      </c>
      <c r="I1433" s="2" t="s">
        <v>446</v>
      </c>
      <c r="J1433" t="s">
        <v>289</v>
      </c>
      <c r="K1433">
        <v>9974</v>
      </c>
    </row>
    <row r="1434" spans="2:14" hidden="1" x14ac:dyDescent="0.25">
      <c r="B1434" t="s">
        <v>82</v>
      </c>
      <c r="C1434" t="str">
        <f>_xlfn.XLOOKUP(B1434,Tabla2[CODIGO],Tabla2[MATERIAL],"N/A",0)</f>
        <v>proyector 190w</v>
      </c>
      <c r="D1434">
        <v>1</v>
      </c>
      <c r="E1434" t="s">
        <v>42</v>
      </c>
      <c r="F1434" t="s">
        <v>62</v>
      </c>
      <c r="H1434" t="s">
        <v>64</v>
      </c>
      <c r="I1434" s="2" t="s">
        <v>446</v>
      </c>
      <c r="J1434" t="s">
        <v>289</v>
      </c>
      <c r="K1434">
        <v>9974</v>
      </c>
      <c r="M1434">
        <v>1865323</v>
      </c>
      <c r="N1434">
        <v>17</v>
      </c>
    </row>
    <row r="1435" spans="2:14" hidden="1" x14ac:dyDescent="0.25">
      <c r="B1435" t="s">
        <v>82</v>
      </c>
      <c r="C1435" t="str">
        <f>_xlfn.XLOOKUP(B1435,Tabla2[CODIGO],Tabla2[MATERIAL],"N/A",0)</f>
        <v>proyector 190w</v>
      </c>
      <c r="D1435">
        <v>1</v>
      </c>
      <c r="E1435" t="s">
        <v>42</v>
      </c>
      <c r="F1435" t="s">
        <v>16</v>
      </c>
      <c r="G1435" s="1">
        <v>46221</v>
      </c>
      <c r="H1435" t="s">
        <v>64</v>
      </c>
      <c r="I1435" s="2" t="s">
        <v>445</v>
      </c>
      <c r="J1435" t="s">
        <v>289</v>
      </c>
      <c r="K1435">
        <v>9974</v>
      </c>
    </row>
    <row r="1436" spans="2:14" hidden="1" x14ac:dyDescent="0.25">
      <c r="B1436" t="s">
        <v>82</v>
      </c>
      <c r="C1436" t="str">
        <f>_xlfn.XLOOKUP(B1436,Tabla2[CODIGO],Tabla2[MATERIAL],"N/A",0)</f>
        <v>proyector 190w</v>
      </c>
      <c r="D1436">
        <v>1</v>
      </c>
      <c r="E1436" t="s">
        <v>42</v>
      </c>
      <c r="F1436" t="s">
        <v>62</v>
      </c>
      <c r="H1436" t="s">
        <v>64</v>
      </c>
      <c r="I1436" s="2" t="s">
        <v>445</v>
      </c>
      <c r="J1436" t="s">
        <v>289</v>
      </c>
      <c r="K1436">
        <v>9974</v>
      </c>
      <c r="M1436">
        <v>1865323</v>
      </c>
      <c r="N1436">
        <v>15</v>
      </c>
    </row>
    <row r="1437" spans="2:14" hidden="1" x14ac:dyDescent="0.25">
      <c r="B1437" t="s">
        <v>82</v>
      </c>
      <c r="C1437" t="str">
        <f>_xlfn.XLOOKUP(B1437,Tabla2[CODIGO],Tabla2[MATERIAL],"N/A",0)</f>
        <v>proyector 190w</v>
      </c>
      <c r="D1437">
        <v>1</v>
      </c>
      <c r="E1437" t="s">
        <v>42</v>
      </c>
      <c r="F1437" t="s">
        <v>16</v>
      </c>
      <c r="G1437" s="1">
        <v>46221</v>
      </c>
      <c r="H1437" t="s">
        <v>64</v>
      </c>
      <c r="I1437" s="2" t="s">
        <v>448</v>
      </c>
      <c r="J1437" t="s">
        <v>289</v>
      </c>
      <c r="K1437">
        <v>9974</v>
      </c>
    </row>
    <row r="1438" spans="2:14" hidden="1" x14ac:dyDescent="0.25">
      <c r="B1438" t="s">
        <v>82</v>
      </c>
      <c r="C1438" t="str">
        <f>_xlfn.XLOOKUP(B1438,Tabla2[CODIGO],Tabla2[MATERIAL],"N/A",0)</f>
        <v>proyector 190w</v>
      </c>
      <c r="D1438">
        <v>1</v>
      </c>
      <c r="E1438" t="s">
        <v>42</v>
      </c>
      <c r="F1438" t="s">
        <v>62</v>
      </c>
      <c r="H1438" t="s">
        <v>64</v>
      </c>
      <c r="I1438" s="2" t="s">
        <v>448</v>
      </c>
      <c r="J1438" t="s">
        <v>289</v>
      </c>
      <c r="K1438">
        <v>9974</v>
      </c>
      <c r="M1438">
        <v>1865331</v>
      </c>
      <c r="N1438">
        <v>7</v>
      </c>
    </row>
    <row r="1439" spans="2:14" hidden="1" x14ac:dyDescent="0.25">
      <c r="B1439" t="s">
        <v>78</v>
      </c>
      <c r="C1439" t="str">
        <f>_xlfn.XLOOKUP(B1439,Tabla2[CODIGO],Tabla2[MATERIAL],"N/A",0)</f>
        <v>Tapa Concreto</v>
      </c>
      <c r="D1439">
        <v>1</v>
      </c>
      <c r="E1439" t="s">
        <v>42</v>
      </c>
      <c r="F1439" t="s">
        <v>62</v>
      </c>
      <c r="G1439" s="1">
        <v>46199</v>
      </c>
      <c r="I1439" s="2"/>
      <c r="J1439" t="s">
        <v>166</v>
      </c>
      <c r="K1439">
        <v>9958</v>
      </c>
      <c r="M1439">
        <v>2277638</v>
      </c>
      <c r="N1439">
        <v>1</v>
      </c>
    </row>
    <row r="1440" spans="2:14" hidden="1" x14ac:dyDescent="0.25">
      <c r="B1440" t="s">
        <v>78</v>
      </c>
      <c r="C1440" t="str">
        <f>_xlfn.XLOOKUP(B1440,Tabla2[CODIGO],Tabla2[MATERIAL],"N/A",0)</f>
        <v>Tapa Concreto</v>
      </c>
      <c r="D1440">
        <v>1</v>
      </c>
      <c r="E1440" t="s">
        <v>42</v>
      </c>
      <c r="F1440" t="s">
        <v>62</v>
      </c>
      <c r="G1440" s="1">
        <v>46199</v>
      </c>
      <c r="I1440" s="2"/>
      <c r="J1440" t="s">
        <v>166</v>
      </c>
      <c r="K1440">
        <v>9958</v>
      </c>
      <c r="M1440">
        <v>2277638</v>
      </c>
      <c r="N1440">
        <v>7</v>
      </c>
    </row>
    <row r="1441" spans="2:14" hidden="1" x14ac:dyDescent="0.25">
      <c r="B1441" t="s">
        <v>78</v>
      </c>
      <c r="C1441" t="str">
        <f>_xlfn.XLOOKUP(B1441,Tabla2[CODIGO],Tabla2[MATERIAL],"N/A",0)</f>
        <v>Tapa Concreto</v>
      </c>
      <c r="D1441">
        <v>1</v>
      </c>
      <c r="E1441" t="s">
        <v>42</v>
      </c>
      <c r="F1441" t="s">
        <v>62</v>
      </c>
      <c r="G1441" s="1">
        <v>46199</v>
      </c>
      <c r="I1441" s="2"/>
      <c r="J1441" t="s">
        <v>166</v>
      </c>
      <c r="K1441">
        <v>9958</v>
      </c>
      <c r="M1441">
        <v>2277689</v>
      </c>
      <c r="N1441">
        <v>9</v>
      </c>
    </row>
    <row r="1442" spans="2:14" hidden="1" x14ac:dyDescent="0.25">
      <c r="B1442" t="s">
        <v>35</v>
      </c>
      <c r="C1442" t="str">
        <f>_xlfn.XLOOKUP(B1442,Tabla2[CODIGO],Tabla2[MATERIAL],"N/A",0)</f>
        <v>Tuberia Conduflex 3/4"</v>
      </c>
      <c r="D1442">
        <v>0.5</v>
      </c>
      <c r="E1442" t="s">
        <v>43</v>
      </c>
      <c r="F1442" t="s">
        <v>62</v>
      </c>
      <c r="G1442" s="1">
        <v>46199</v>
      </c>
      <c r="I1442" s="2"/>
      <c r="J1442" t="s">
        <v>166</v>
      </c>
      <c r="K1442">
        <v>9958</v>
      </c>
      <c r="M1442">
        <v>2277638</v>
      </c>
      <c r="N1442">
        <v>1</v>
      </c>
    </row>
    <row r="1443" spans="2:14" hidden="1" x14ac:dyDescent="0.25">
      <c r="B1443" t="s">
        <v>35</v>
      </c>
      <c r="C1443" t="str">
        <f>_xlfn.XLOOKUP(B1443,Tabla2[CODIGO],Tabla2[MATERIAL],"N/A",0)</f>
        <v>Tuberia Conduflex 3/4"</v>
      </c>
      <c r="D1443">
        <v>0.3</v>
      </c>
      <c r="E1443" t="s">
        <v>43</v>
      </c>
      <c r="F1443" t="s">
        <v>62</v>
      </c>
      <c r="G1443" s="1">
        <v>46199</v>
      </c>
      <c r="I1443" s="2"/>
      <c r="J1443" t="s">
        <v>166</v>
      </c>
      <c r="K1443">
        <v>9958</v>
      </c>
      <c r="M1443">
        <v>2277638</v>
      </c>
      <c r="N1443">
        <v>7</v>
      </c>
    </row>
    <row r="1444" spans="2:14" hidden="1" x14ac:dyDescent="0.25">
      <c r="B1444" t="s">
        <v>389</v>
      </c>
      <c r="C1444" t="str">
        <f>_xlfn.XLOOKUP(B1444,Tabla2[CODIGO],Tabla2[MATERIAL],"N/A",0)</f>
        <v>tubo conduit imc 2"</v>
      </c>
      <c r="D1444">
        <v>1</v>
      </c>
      <c r="E1444" t="s">
        <v>42</v>
      </c>
      <c r="F1444" t="s">
        <v>62</v>
      </c>
      <c r="G1444" s="1">
        <v>46199</v>
      </c>
      <c r="I1444" s="2"/>
      <c r="J1444" t="s">
        <v>166</v>
      </c>
      <c r="K1444">
        <v>9958</v>
      </c>
      <c r="M1444">
        <v>2277638</v>
      </c>
      <c r="N1444">
        <v>7</v>
      </c>
    </row>
    <row r="1445" spans="2:14" hidden="1" x14ac:dyDescent="0.25">
      <c r="B1445" t="s">
        <v>389</v>
      </c>
      <c r="C1445" t="str">
        <f>_xlfn.XLOOKUP(B1445,Tabla2[CODIGO],Tabla2[MATERIAL],"N/A",0)</f>
        <v>tubo conduit imc 2"</v>
      </c>
      <c r="D1445">
        <v>1</v>
      </c>
      <c r="E1445" t="s">
        <v>42</v>
      </c>
      <c r="F1445" t="s">
        <v>62</v>
      </c>
      <c r="G1445" s="1">
        <v>46199</v>
      </c>
      <c r="I1445" s="2"/>
      <c r="J1445" t="s">
        <v>166</v>
      </c>
      <c r="K1445">
        <v>9958</v>
      </c>
      <c r="M1445">
        <v>2277638</v>
      </c>
      <c r="N1445">
        <v>9</v>
      </c>
    </row>
    <row r="1446" spans="2:14" hidden="1" x14ac:dyDescent="0.25">
      <c r="B1446" t="s">
        <v>389</v>
      </c>
      <c r="C1446" t="str">
        <f>_xlfn.XLOOKUP(B1446,Tabla2[CODIGO],Tabla2[MATERIAL],"N/A",0)</f>
        <v>tubo conduit imc 2"</v>
      </c>
      <c r="D1446">
        <v>1</v>
      </c>
      <c r="E1446" t="s">
        <v>42</v>
      </c>
      <c r="F1446" t="s">
        <v>62</v>
      </c>
      <c r="G1446" s="1">
        <v>46199</v>
      </c>
      <c r="I1446" s="2"/>
      <c r="J1446" t="s">
        <v>166</v>
      </c>
      <c r="K1446">
        <v>9958</v>
      </c>
      <c r="M1446">
        <v>2277689</v>
      </c>
      <c r="N1446">
        <v>13</v>
      </c>
    </row>
    <row r="1447" spans="2:14" hidden="1" x14ac:dyDescent="0.25">
      <c r="B1447" t="s">
        <v>389</v>
      </c>
      <c r="C1447" t="str">
        <f>_xlfn.XLOOKUP(B1447,Tabla2[CODIGO],Tabla2[MATERIAL],"N/A",0)</f>
        <v>tubo conduit imc 2"</v>
      </c>
      <c r="D1447">
        <v>1</v>
      </c>
      <c r="E1447" t="s">
        <v>42</v>
      </c>
      <c r="F1447" t="s">
        <v>62</v>
      </c>
      <c r="G1447" s="1">
        <v>46199</v>
      </c>
      <c r="I1447" s="2"/>
      <c r="J1447" t="s">
        <v>166</v>
      </c>
      <c r="K1447">
        <v>9958</v>
      </c>
      <c r="M1447">
        <v>2277689</v>
      </c>
      <c r="N1447">
        <v>14</v>
      </c>
    </row>
    <row r="1448" spans="2:14" hidden="1" x14ac:dyDescent="0.25">
      <c r="B1448" t="s">
        <v>251</v>
      </c>
      <c r="C1448" t="str">
        <f>_xlfn.XLOOKUP(B1448,Tabla2[CODIGO],Tabla2[MATERIAL],"N/A",0)</f>
        <v>Varilla cooperweld 2,4m</v>
      </c>
      <c r="D1448">
        <v>1</v>
      </c>
      <c r="E1448" t="s">
        <v>42</v>
      </c>
      <c r="F1448" t="s">
        <v>62</v>
      </c>
      <c r="G1448" s="1">
        <v>46199</v>
      </c>
      <c r="I1448" s="2"/>
      <c r="J1448" t="s">
        <v>166</v>
      </c>
      <c r="K1448">
        <v>9958</v>
      </c>
      <c r="M1448">
        <v>2277638</v>
      </c>
      <c r="N1448">
        <v>1</v>
      </c>
    </row>
    <row r="1449" spans="2:14" hidden="1" x14ac:dyDescent="0.25">
      <c r="B1449" t="s">
        <v>450</v>
      </c>
      <c r="C1449" t="str">
        <f>_xlfn.XLOOKUP(B1449,Tabla2[CODIGO],Tabla2[MATERIAL],"N/A",0)</f>
        <v>Abrazadera sin salida 7"</v>
      </c>
      <c r="D1449">
        <v>2</v>
      </c>
      <c r="E1449" t="s">
        <v>42</v>
      </c>
      <c r="F1449" t="s">
        <v>62</v>
      </c>
      <c r="I1449" s="2"/>
      <c r="J1449" t="s">
        <v>166</v>
      </c>
      <c r="K1449">
        <v>9959</v>
      </c>
      <c r="M1449">
        <v>2277590</v>
      </c>
      <c r="N1449">
        <v>3</v>
      </c>
    </row>
    <row r="1450" spans="2:14" hidden="1" x14ac:dyDescent="0.25">
      <c r="B1450" t="s">
        <v>450</v>
      </c>
      <c r="C1450" t="str">
        <f>_xlfn.XLOOKUP(B1450,Tabla2[CODIGO],Tabla2[MATERIAL],"N/A",0)</f>
        <v>Abrazadera sin salida 7"</v>
      </c>
      <c r="D1450">
        <v>2</v>
      </c>
      <c r="E1450" t="s">
        <v>42</v>
      </c>
      <c r="F1450" t="s">
        <v>62</v>
      </c>
      <c r="I1450" s="2"/>
      <c r="J1450" t="s">
        <v>166</v>
      </c>
      <c r="K1450">
        <v>9959</v>
      </c>
      <c r="M1450">
        <v>1948296</v>
      </c>
      <c r="N1450">
        <v>7</v>
      </c>
    </row>
    <row r="1451" spans="2:14" hidden="1" x14ac:dyDescent="0.25">
      <c r="B1451" t="s">
        <v>450</v>
      </c>
      <c r="C1451" t="str">
        <f>_xlfn.XLOOKUP(B1451,Tabla2[CODIGO],Tabla2[MATERIAL],"N/A",0)</f>
        <v>Abrazadera sin salida 7"</v>
      </c>
      <c r="D1451">
        <v>2</v>
      </c>
      <c r="E1451" t="s">
        <v>42</v>
      </c>
      <c r="F1451" t="s">
        <v>62</v>
      </c>
      <c r="I1451" s="2"/>
      <c r="J1451" t="s">
        <v>166</v>
      </c>
      <c r="K1451">
        <v>9959</v>
      </c>
      <c r="M1451">
        <v>1948296</v>
      </c>
      <c r="N1451">
        <v>9</v>
      </c>
    </row>
    <row r="1452" spans="2:14" hidden="1" x14ac:dyDescent="0.25">
      <c r="B1452" t="s">
        <v>450</v>
      </c>
      <c r="C1452" t="str">
        <f>_xlfn.XLOOKUP(B1452,Tabla2[CODIGO],Tabla2[MATERIAL],"N/A",0)</f>
        <v>Abrazadera sin salida 7"</v>
      </c>
      <c r="D1452">
        <v>2</v>
      </c>
      <c r="E1452" t="s">
        <v>42</v>
      </c>
      <c r="F1452" t="s">
        <v>62</v>
      </c>
      <c r="I1452" s="2"/>
      <c r="J1452" t="s">
        <v>166</v>
      </c>
      <c r="K1452">
        <v>9959</v>
      </c>
      <c r="M1452">
        <v>2277549</v>
      </c>
      <c r="N1452">
        <v>11</v>
      </c>
    </row>
    <row r="1453" spans="2:14" hidden="1" x14ac:dyDescent="0.25">
      <c r="B1453" t="s">
        <v>450</v>
      </c>
      <c r="C1453" t="str">
        <f>_xlfn.XLOOKUP(B1453,Tabla2[CODIGO],Tabla2[MATERIAL],"N/A",0)</f>
        <v>Abrazadera sin salida 7"</v>
      </c>
      <c r="D1453">
        <v>2</v>
      </c>
      <c r="E1453" t="s">
        <v>42</v>
      </c>
      <c r="F1453" t="s">
        <v>62</v>
      </c>
      <c r="I1453" s="2"/>
      <c r="J1453" t="s">
        <v>166</v>
      </c>
      <c r="K1453">
        <v>9959</v>
      </c>
      <c r="M1453">
        <v>2277549</v>
      </c>
      <c r="N1453">
        <v>13</v>
      </c>
    </row>
    <row r="1454" spans="2:14" hidden="1" x14ac:dyDescent="0.25">
      <c r="B1454" t="s">
        <v>450</v>
      </c>
      <c r="C1454" t="str">
        <f>_xlfn.XLOOKUP(B1454,Tabla2[CODIGO],Tabla2[MATERIAL],"N/A",0)</f>
        <v>Abrazadera sin salida 7"</v>
      </c>
      <c r="D1454">
        <v>2</v>
      </c>
      <c r="E1454" t="s">
        <v>42</v>
      </c>
      <c r="F1454" t="s">
        <v>62</v>
      </c>
      <c r="I1454" s="2"/>
      <c r="J1454" t="s">
        <v>166</v>
      </c>
      <c r="K1454">
        <v>9959</v>
      </c>
      <c r="M1454">
        <v>2277506</v>
      </c>
      <c r="N1454">
        <v>15</v>
      </c>
    </row>
    <row r="1455" spans="2:14" hidden="1" x14ac:dyDescent="0.25">
      <c r="B1455" t="s">
        <v>56</v>
      </c>
      <c r="C1455" t="str">
        <f>_xlfn.XLOOKUP(B1455,Tabla2[CODIGO],Tabla2[MATERIAL],"N/A",0)</f>
        <v>Aislador Carrreto</v>
      </c>
      <c r="D1455">
        <v>1</v>
      </c>
      <c r="E1455" t="s">
        <v>42</v>
      </c>
      <c r="F1455" t="s">
        <v>62</v>
      </c>
      <c r="I1455" s="2"/>
      <c r="J1455" t="s">
        <v>166</v>
      </c>
      <c r="K1455">
        <v>9959</v>
      </c>
      <c r="M1455">
        <v>2277590</v>
      </c>
      <c r="N1455">
        <v>5</v>
      </c>
    </row>
    <row r="1456" spans="2:14" hidden="1" x14ac:dyDescent="0.25">
      <c r="B1456" t="s">
        <v>319</v>
      </c>
      <c r="C1456" t="str">
        <f>_xlfn.XLOOKUP(B1456,Tabla2[CODIGO],Tabla2[MATERIAL],"N/A",0)</f>
        <v>alambre Cu thhn 14 verde</v>
      </c>
      <c r="D1456">
        <v>16</v>
      </c>
      <c r="E1456" t="s">
        <v>42</v>
      </c>
      <c r="F1456" t="s">
        <v>62</v>
      </c>
      <c r="I1456" s="2"/>
      <c r="J1456" t="s">
        <v>166</v>
      </c>
      <c r="K1456">
        <v>9959</v>
      </c>
      <c r="M1456">
        <v>1948296</v>
      </c>
      <c r="N1456">
        <v>9</v>
      </c>
    </row>
    <row r="1457" spans="2:14" hidden="1" x14ac:dyDescent="0.25">
      <c r="B1457" t="s">
        <v>319</v>
      </c>
      <c r="C1457" t="str">
        <f>_xlfn.XLOOKUP(B1457,Tabla2[CODIGO],Tabla2[MATERIAL],"N/A",0)</f>
        <v>alambre Cu thhn 14 verde</v>
      </c>
      <c r="D1457">
        <v>1</v>
      </c>
      <c r="E1457" t="s">
        <v>42</v>
      </c>
      <c r="F1457" t="s">
        <v>62</v>
      </c>
      <c r="I1457" s="2"/>
      <c r="J1457" t="s">
        <v>166</v>
      </c>
      <c r="K1457">
        <v>9959</v>
      </c>
      <c r="M1457">
        <v>2277549</v>
      </c>
      <c r="N1457">
        <v>10</v>
      </c>
    </row>
    <row r="1458" spans="2:14" hidden="1" x14ac:dyDescent="0.25">
      <c r="B1458" t="s">
        <v>319</v>
      </c>
      <c r="C1458" t="str">
        <f>_xlfn.XLOOKUP(B1458,Tabla2[CODIGO],Tabla2[MATERIAL],"N/A",0)</f>
        <v>alambre Cu thhn 14 verde</v>
      </c>
      <c r="D1458">
        <v>14</v>
      </c>
      <c r="E1458" t="s">
        <v>42</v>
      </c>
      <c r="F1458" t="s">
        <v>62</v>
      </c>
      <c r="I1458" s="2"/>
      <c r="J1458" t="s">
        <v>166</v>
      </c>
      <c r="K1458">
        <v>9959</v>
      </c>
      <c r="M1458">
        <v>2277506</v>
      </c>
      <c r="N1458">
        <v>13</v>
      </c>
    </row>
    <row r="1459" spans="2:14" hidden="1" x14ac:dyDescent="0.25">
      <c r="B1459" t="s">
        <v>192</v>
      </c>
      <c r="C1459" t="str">
        <f>_xlfn.XLOOKUP(B1459,Tabla2[CODIGO],Tabla2[MATERIAL],"N/A",0)</f>
        <v>angular V</v>
      </c>
      <c r="D1459">
        <v>2</v>
      </c>
      <c r="E1459" t="s">
        <v>42</v>
      </c>
      <c r="F1459" t="s">
        <v>62</v>
      </c>
      <c r="I1459" s="2"/>
      <c r="J1459" t="s">
        <v>166</v>
      </c>
      <c r="K1459">
        <v>9959</v>
      </c>
      <c r="M1459">
        <v>2277590</v>
      </c>
      <c r="N1459">
        <v>2</v>
      </c>
    </row>
    <row r="1460" spans="2:14" hidden="1" x14ac:dyDescent="0.25">
      <c r="B1460" t="s">
        <v>192</v>
      </c>
      <c r="C1460" t="str">
        <f>_xlfn.XLOOKUP(B1460,Tabla2[CODIGO],Tabla2[MATERIAL],"N/A",0)</f>
        <v>angular V</v>
      </c>
      <c r="D1460">
        <v>2</v>
      </c>
      <c r="E1460" t="s">
        <v>42</v>
      </c>
      <c r="F1460" t="s">
        <v>62</v>
      </c>
      <c r="I1460" s="2"/>
      <c r="J1460" t="s">
        <v>166</v>
      </c>
      <c r="K1460">
        <v>9959</v>
      </c>
      <c r="M1460">
        <v>1948296</v>
      </c>
      <c r="N1460">
        <v>8</v>
      </c>
    </row>
    <row r="1461" spans="2:14" hidden="1" x14ac:dyDescent="0.25">
      <c r="B1461" t="s">
        <v>192</v>
      </c>
      <c r="C1461" t="str">
        <f>_xlfn.XLOOKUP(B1461,Tabla2[CODIGO],Tabla2[MATERIAL],"N/A",0)</f>
        <v>angular V</v>
      </c>
      <c r="D1461">
        <v>2</v>
      </c>
      <c r="E1461" t="s">
        <v>42</v>
      </c>
      <c r="F1461" t="s">
        <v>62</v>
      </c>
      <c r="I1461" s="2"/>
      <c r="J1461" t="s">
        <v>166</v>
      </c>
      <c r="K1461">
        <v>9959</v>
      </c>
      <c r="M1461">
        <v>2277506</v>
      </c>
      <c r="N1461">
        <v>14</v>
      </c>
    </row>
    <row r="1462" spans="2:14" hidden="1" x14ac:dyDescent="0.25">
      <c r="B1462" t="s">
        <v>318</v>
      </c>
      <c r="C1462" t="str">
        <f>_xlfn.XLOOKUP(B1462,Tabla2[CODIGO],Tabla2[MATERIAL],"N/A",0)</f>
        <v>Cable AL aa-8000 4 awg</v>
      </c>
      <c r="D1462">
        <v>38</v>
      </c>
      <c r="E1462" t="s">
        <v>43</v>
      </c>
      <c r="F1462" t="s">
        <v>62</v>
      </c>
      <c r="I1462" s="2"/>
      <c r="J1462" t="s">
        <v>166</v>
      </c>
      <c r="K1462">
        <v>9959</v>
      </c>
      <c r="M1462">
        <v>1948296</v>
      </c>
      <c r="N1462">
        <v>8</v>
      </c>
    </row>
    <row r="1463" spans="2:14" hidden="1" x14ac:dyDescent="0.25">
      <c r="B1463" t="s">
        <v>318</v>
      </c>
      <c r="C1463" t="str">
        <f>_xlfn.XLOOKUP(B1463,Tabla2[CODIGO],Tabla2[MATERIAL],"N/A",0)</f>
        <v>Cable AL aa-8000 4 awg</v>
      </c>
      <c r="D1463">
        <v>32</v>
      </c>
      <c r="E1463" t="s">
        <v>43</v>
      </c>
      <c r="F1463" t="s">
        <v>62</v>
      </c>
      <c r="I1463" s="2"/>
      <c r="J1463" t="s">
        <v>166</v>
      </c>
      <c r="K1463">
        <v>9959</v>
      </c>
      <c r="M1463">
        <v>1948296</v>
      </c>
      <c r="N1463">
        <v>9</v>
      </c>
    </row>
    <row r="1464" spans="2:14" hidden="1" x14ac:dyDescent="0.25">
      <c r="B1464" t="s">
        <v>318</v>
      </c>
      <c r="C1464" t="str">
        <f>_xlfn.XLOOKUP(B1464,Tabla2[CODIGO],Tabla2[MATERIAL],"N/A",0)</f>
        <v>Cable AL aa-8000 4 awg</v>
      </c>
      <c r="D1464">
        <v>54</v>
      </c>
      <c r="E1464" t="s">
        <v>43</v>
      </c>
      <c r="F1464" t="s">
        <v>62</v>
      </c>
      <c r="I1464" s="2"/>
      <c r="J1464" t="s">
        <v>166</v>
      </c>
      <c r="K1464">
        <v>9959</v>
      </c>
      <c r="M1464">
        <v>2277506</v>
      </c>
      <c r="N1464">
        <v>14</v>
      </c>
    </row>
    <row r="1465" spans="2:14" hidden="1" x14ac:dyDescent="0.25">
      <c r="B1465" t="s">
        <v>21</v>
      </c>
      <c r="C1465" t="str">
        <f>_xlfn.XLOOKUP(B1465,Tabla2[CODIGO],Tabla2[MATERIAL],"N/A",0)</f>
        <v>Cable Encauchetado 3x14 pvc</v>
      </c>
      <c r="D1465">
        <v>42</v>
      </c>
      <c r="E1465" t="s">
        <v>43</v>
      </c>
      <c r="F1465" t="s">
        <v>62</v>
      </c>
      <c r="I1465" s="2"/>
      <c r="J1465" t="s">
        <v>166</v>
      </c>
      <c r="K1465">
        <v>9959</v>
      </c>
      <c r="M1465">
        <v>1948296</v>
      </c>
      <c r="N1465">
        <v>8</v>
      </c>
    </row>
    <row r="1466" spans="2:14" hidden="1" x14ac:dyDescent="0.25">
      <c r="B1466" t="s">
        <v>21</v>
      </c>
      <c r="C1466" t="str">
        <f>_xlfn.XLOOKUP(B1466,Tabla2[CODIGO],Tabla2[MATERIAL],"N/A",0)</f>
        <v>Cable Encauchetado 3x14 pvc</v>
      </c>
      <c r="D1466">
        <v>10</v>
      </c>
      <c r="E1466" t="s">
        <v>43</v>
      </c>
      <c r="F1466" t="s">
        <v>62</v>
      </c>
      <c r="I1466" s="2"/>
      <c r="J1466" t="s">
        <v>166</v>
      </c>
      <c r="K1466">
        <v>9959</v>
      </c>
      <c r="M1466">
        <v>2277549</v>
      </c>
      <c r="N1466">
        <v>10</v>
      </c>
    </row>
    <row r="1467" spans="2:14" hidden="1" x14ac:dyDescent="0.25">
      <c r="B1467" t="s">
        <v>21</v>
      </c>
      <c r="C1467" t="str">
        <f>_xlfn.XLOOKUP(B1467,Tabla2[CODIGO],Tabla2[MATERIAL],"N/A",0)</f>
        <v>Cable Encauchetado 3x14 pvc</v>
      </c>
      <c r="D1467">
        <v>10</v>
      </c>
      <c r="E1467" t="s">
        <v>43</v>
      </c>
      <c r="F1467" t="s">
        <v>62</v>
      </c>
      <c r="I1467" s="2"/>
      <c r="J1467" t="s">
        <v>166</v>
      </c>
      <c r="K1467">
        <v>9959</v>
      </c>
      <c r="M1467">
        <v>2277506</v>
      </c>
      <c r="N1467">
        <v>13</v>
      </c>
    </row>
    <row r="1468" spans="2:14" hidden="1" x14ac:dyDescent="0.25">
      <c r="B1468" t="s">
        <v>21</v>
      </c>
      <c r="C1468" t="str">
        <f>_xlfn.XLOOKUP(B1468,Tabla2[CODIGO],Tabla2[MATERIAL],"N/A",0)</f>
        <v>Cable Encauchetado 3x14 pvc</v>
      </c>
      <c r="D1468">
        <v>10</v>
      </c>
      <c r="E1468" t="s">
        <v>43</v>
      </c>
      <c r="F1468" t="s">
        <v>62</v>
      </c>
      <c r="I1468" s="2"/>
      <c r="J1468" t="s">
        <v>166</v>
      </c>
      <c r="K1468">
        <v>9959</v>
      </c>
      <c r="M1468">
        <v>2277506</v>
      </c>
      <c r="N1468">
        <v>15</v>
      </c>
    </row>
    <row r="1469" spans="2:14" hidden="1" x14ac:dyDescent="0.25">
      <c r="B1469" t="s">
        <v>38</v>
      </c>
      <c r="C1469" t="str">
        <f>_xlfn.XLOOKUP(B1469,Tabla2[CODIGO],Tabla2[MATERIAL],"N/A",0)</f>
        <v>Tuberia Conduflex 3/4"</v>
      </c>
      <c r="D1469">
        <v>1</v>
      </c>
      <c r="E1469" t="s">
        <v>43</v>
      </c>
      <c r="F1469" t="s">
        <v>62</v>
      </c>
      <c r="I1469" s="2"/>
      <c r="J1469" t="s">
        <v>166</v>
      </c>
      <c r="K1469">
        <v>9959</v>
      </c>
      <c r="M1469">
        <v>1948296</v>
      </c>
      <c r="N1469">
        <v>7</v>
      </c>
    </row>
    <row r="1470" spans="2:14" hidden="1" x14ac:dyDescent="0.25">
      <c r="B1470" t="s">
        <v>38</v>
      </c>
      <c r="C1470" t="str">
        <f>_xlfn.XLOOKUP(B1470,Tabla2[CODIGO],Tabla2[MATERIAL],"N/A",0)</f>
        <v>Tuberia Conduflex 3/4"</v>
      </c>
      <c r="D1470">
        <v>1</v>
      </c>
      <c r="E1470" t="s">
        <v>43</v>
      </c>
      <c r="F1470" t="s">
        <v>62</v>
      </c>
      <c r="I1470" s="2"/>
      <c r="J1470" t="s">
        <v>166</v>
      </c>
      <c r="K1470">
        <v>9959</v>
      </c>
      <c r="M1470">
        <v>2277506</v>
      </c>
      <c r="N1470">
        <v>13</v>
      </c>
    </row>
    <row r="1471" spans="2:14" hidden="1" x14ac:dyDescent="0.25">
      <c r="B1471" t="s">
        <v>38</v>
      </c>
      <c r="C1471" t="str">
        <f>_xlfn.XLOOKUP(B1471,Tabla2[CODIGO],Tabla2[MATERIAL],"N/A",0)</f>
        <v>Tuberia Conduflex 3/4"</v>
      </c>
      <c r="D1471">
        <v>1</v>
      </c>
      <c r="E1471" t="s">
        <v>43</v>
      </c>
      <c r="F1471" t="s">
        <v>62</v>
      </c>
      <c r="I1471" s="2"/>
      <c r="J1471" t="s">
        <v>166</v>
      </c>
      <c r="K1471">
        <v>9959</v>
      </c>
      <c r="M1471">
        <v>2277506</v>
      </c>
      <c r="N1471">
        <v>15</v>
      </c>
    </row>
    <row r="1472" spans="2:14" hidden="1" x14ac:dyDescent="0.25">
      <c r="B1472" t="s">
        <v>265</v>
      </c>
      <c r="C1472" t="str">
        <f>_xlfn.XLOOKUP(B1472,Tabla2[CODIGO],Tabla2[MATERIAL],"N/A",0)</f>
        <v>Cinta Aislante</v>
      </c>
      <c r="D1472">
        <v>1</v>
      </c>
      <c r="E1472" t="s">
        <v>42</v>
      </c>
      <c r="F1472" t="s">
        <v>62</v>
      </c>
      <c r="I1472" s="2"/>
      <c r="J1472" t="s">
        <v>166</v>
      </c>
      <c r="K1472">
        <v>9959</v>
      </c>
      <c r="M1472">
        <v>2277590</v>
      </c>
      <c r="N1472">
        <v>1</v>
      </c>
    </row>
    <row r="1473" spans="2:14" hidden="1" x14ac:dyDescent="0.25">
      <c r="B1473" t="s">
        <v>36</v>
      </c>
      <c r="C1473" t="str">
        <f>_xlfn.XLOOKUP(B1473,Tabla2[CODIGO],Tabla2[MATERIAL],"N/A",0)</f>
        <v>Cinta Bandit 1/2"</v>
      </c>
      <c r="D1473">
        <v>3</v>
      </c>
      <c r="E1473" t="s">
        <v>43</v>
      </c>
      <c r="F1473" t="s">
        <v>62</v>
      </c>
      <c r="I1473" s="2"/>
      <c r="J1473" t="s">
        <v>166</v>
      </c>
      <c r="K1473">
        <v>9959</v>
      </c>
      <c r="M1473">
        <v>2277590</v>
      </c>
      <c r="N1473">
        <v>1</v>
      </c>
    </row>
    <row r="1474" spans="2:14" hidden="1" x14ac:dyDescent="0.25">
      <c r="B1474" t="s">
        <v>36</v>
      </c>
      <c r="C1474" t="str">
        <f>_xlfn.XLOOKUP(B1474,Tabla2[CODIGO],Tabla2[MATERIAL],"N/A",0)</f>
        <v>Cinta Bandit 1/2"</v>
      </c>
      <c r="D1474">
        <v>3</v>
      </c>
      <c r="E1474" t="s">
        <v>43</v>
      </c>
      <c r="F1474" t="s">
        <v>62</v>
      </c>
      <c r="I1474" s="2"/>
      <c r="J1474" t="s">
        <v>166</v>
      </c>
      <c r="K1474">
        <v>9959</v>
      </c>
      <c r="M1474">
        <v>1948296</v>
      </c>
      <c r="N1474">
        <v>7</v>
      </c>
    </row>
    <row r="1475" spans="2:14" hidden="1" x14ac:dyDescent="0.25">
      <c r="B1475" t="s">
        <v>36</v>
      </c>
      <c r="C1475" t="str">
        <f>_xlfn.XLOOKUP(B1475,Tabla2[CODIGO],Tabla2[MATERIAL],"N/A",0)</f>
        <v>Cinta Bandit 1/2"</v>
      </c>
      <c r="D1475">
        <v>4</v>
      </c>
      <c r="E1475" t="s">
        <v>43</v>
      </c>
      <c r="F1475" t="s">
        <v>62</v>
      </c>
      <c r="I1475" s="2"/>
      <c r="J1475" t="s">
        <v>166</v>
      </c>
      <c r="K1475">
        <v>9959</v>
      </c>
      <c r="M1475">
        <v>2277506</v>
      </c>
      <c r="N1475">
        <v>13</v>
      </c>
    </row>
    <row r="1476" spans="2:14" hidden="1" x14ac:dyDescent="0.25">
      <c r="B1476" t="s">
        <v>222</v>
      </c>
      <c r="C1476" t="str">
        <f>_xlfn.XLOOKUP(B1476,Tabla2[CODIGO],Tabla2[MATERIAL],"N/A",0)</f>
        <v>Conector de Perforacion ais kz-ep (EP95) pequeño</v>
      </c>
      <c r="D1476">
        <v>8</v>
      </c>
      <c r="E1476" t="s">
        <v>42</v>
      </c>
      <c r="F1476" t="s">
        <v>62</v>
      </c>
      <c r="I1476" s="2"/>
      <c r="J1476" t="s">
        <v>166</v>
      </c>
      <c r="K1476">
        <v>9959</v>
      </c>
    </row>
    <row r="1477" spans="2:14" hidden="1" x14ac:dyDescent="0.25">
      <c r="B1477" t="s">
        <v>222</v>
      </c>
      <c r="C1477" t="str">
        <f>_xlfn.XLOOKUP(B1477,Tabla2[CODIGO],Tabla2[MATERIAL],"N/A",0)</f>
        <v>Conector de Perforacion ais kz-ep (EP95) pequeño</v>
      </c>
      <c r="D1477">
        <v>6</v>
      </c>
      <c r="E1477" t="s">
        <v>42</v>
      </c>
      <c r="F1477" t="s">
        <v>62</v>
      </c>
      <c r="I1477" s="2"/>
      <c r="J1477" t="s">
        <v>166</v>
      </c>
      <c r="K1477">
        <v>9959</v>
      </c>
    </row>
    <row r="1478" spans="2:14" hidden="1" x14ac:dyDescent="0.25">
      <c r="B1478" t="s">
        <v>222</v>
      </c>
      <c r="C1478" t="str">
        <f>_xlfn.XLOOKUP(B1478,Tabla2[CODIGO],Tabla2[MATERIAL],"N/A",0)</f>
        <v>Conector de Perforacion ais kz-ep (EP95) pequeño</v>
      </c>
      <c r="D1478">
        <v>2</v>
      </c>
      <c r="E1478" t="s">
        <v>42</v>
      </c>
      <c r="F1478" t="s">
        <v>62</v>
      </c>
      <c r="I1478" s="2"/>
      <c r="J1478" t="s">
        <v>166</v>
      </c>
      <c r="K1478">
        <v>9959</v>
      </c>
    </row>
    <row r="1479" spans="2:14" hidden="1" x14ac:dyDescent="0.25">
      <c r="B1479" t="s">
        <v>222</v>
      </c>
      <c r="C1479" t="str">
        <f>_xlfn.XLOOKUP(B1479,Tabla2[CODIGO],Tabla2[MATERIAL],"N/A",0)</f>
        <v>Conector de Perforacion ais kz-ep (EP95) pequeño</v>
      </c>
      <c r="D1479">
        <v>2</v>
      </c>
      <c r="E1479" t="s">
        <v>42</v>
      </c>
      <c r="F1479" t="s">
        <v>62</v>
      </c>
      <c r="I1479" s="2"/>
      <c r="J1479" t="s">
        <v>166</v>
      </c>
      <c r="K1479">
        <v>9959</v>
      </c>
    </row>
    <row r="1480" spans="2:14" hidden="1" x14ac:dyDescent="0.25">
      <c r="B1480" t="s">
        <v>222</v>
      </c>
      <c r="C1480" t="str">
        <f>_xlfn.XLOOKUP(B1480,Tabla2[CODIGO],Tabla2[MATERIAL],"N/A",0)</f>
        <v>Conector de Perforacion ais kz-ep (EP95) pequeño</v>
      </c>
      <c r="D1480">
        <v>3</v>
      </c>
      <c r="E1480" t="s">
        <v>42</v>
      </c>
      <c r="F1480" t="s">
        <v>62</v>
      </c>
      <c r="I1480" s="2"/>
      <c r="J1480" t="s">
        <v>166</v>
      </c>
      <c r="K1480">
        <v>9959</v>
      </c>
    </row>
    <row r="1481" spans="2:14" hidden="1" x14ac:dyDescent="0.25">
      <c r="B1481" t="s">
        <v>248</v>
      </c>
      <c r="C1481" t="str">
        <f>_xlfn.XLOOKUP(B1481,Tabla2[CODIGO],Tabla2[MATERIAL],"N/A",0)</f>
        <v>Conector Varilla cooperw.</v>
      </c>
      <c r="D1481">
        <v>1</v>
      </c>
      <c r="E1481" t="s">
        <v>42</v>
      </c>
      <c r="F1481" t="s">
        <v>62</v>
      </c>
      <c r="I1481" s="2"/>
      <c r="J1481" t="s">
        <v>166</v>
      </c>
      <c r="K1481">
        <v>9959</v>
      </c>
      <c r="M1481">
        <v>2277590</v>
      </c>
      <c r="N1481">
        <v>1</v>
      </c>
    </row>
    <row r="1482" spans="2:14" hidden="1" x14ac:dyDescent="0.25">
      <c r="B1482" t="s">
        <v>223</v>
      </c>
      <c r="C1482" t="str">
        <f>_xlfn.XLOOKUP(B1482,Tabla2[CODIGO],Tabla2[MATERIAL],"N/A",0)</f>
        <v>Conector resorte 18-8</v>
      </c>
      <c r="D1482">
        <v>4</v>
      </c>
      <c r="E1482" t="s">
        <v>42</v>
      </c>
      <c r="F1482" t="s">
        <v>62</v>
      </c>
      <c r="I1482" s="2"/>
      <c r="J1482" t="s">
        <v>166</v>
      </c>
      <c r="K1482">
        <v>9959</v>
      </c>
      <c r="N1482">
        <v>2</v>
      </c>
    </row>
    <row r="1483" spans="2:14" hidden="1" x14ac:dyDescent="0.25">
      <c r="B1483" t="s">
        <v>223</v>
      </c>
      <c r="C1483" t="str">
        <f>_xlfn.XLOOKUP(B1483,Tabla2[CODIGO],Tabla2[MATERIAL],"N/A",0)</f>
        <v>Conector resorte 18-8</v>
      </c>
      <c r="D1483">
        <v>4</v>
      </c>
      <c r="E1483" t="s">
        <v>42</v>
      </c>
      <c r="F1483" t="s">
        <v>62</v>
      </c>
      <c r="I1483" s="2"/>
      <c r="J1483" t="s">
        <v>166</v>
      </c>
      <c r="K1483">
        <v>9959</v>
      </c>
      <c r="N1483">
        <v>8</v>
      </c>
    </row>
    <row r="1484" spans="2:14" hidden="1" x14ac:dyDescent="0.25">
      <c r="B1484" t="s">
        <v>223</v>
      </c>
      <c r="C1484" t="str">
        <f>_xlfn.XLOOKUP(B1484,Tabla2[CODIGO],Tabla2[MATERIAL],"N/A",0)</f>
        <v>Conector resorte 18-8</v>
      </c>
      <c r="D1484">
        <v>3</v>
      </c>
      <c r="E1484" t="s">
        <v>42</v>
      </c>
      <c r="F1484" t="s">
        <v>62</v>
      </c>
      <c r="I1484" s="2"/>
      <c r="J1484" t="s">
        <v>166</v>
      </c>
      <c r="K1484">
        <v>9959</v>
      </c>
      <c r="N1484">
        <v>9</v>
      </c>
    </row>
    <row r="1485" spans="2:14" hidden="1" x14ac:dyDescent="0.25">
      <c r="B1485" t="s">
        <v>223</v>
      </c>
      <c r="C1485" t="str">
        <f>_xlfn.XLOOKUP(B1485,Tabla2[CODIGO],Tabla2[MATERIAL],"N/A",0)</f>
        <v>Conector resorte 18-8</v>
      </c>
      <c r="D1485">
        <v>3</v>
      </c>
      <c r="E1485" t="s">
        <v>42</v>
      </c>
      <c r="F1485" t="s">
        <v>62</v>
      </c>
      <c r="I1485" s="2"/>
      <c r="J1485" t="s">
        <v>166</v>
      </c>
      <c r="K1485">
        <v>9959</v>
      </c>
      <c r="N1485">
        <v>11</v>
      </c>
    </row>
    <row r="1486" spans="2:14" hidden="1" x14ac:dyDescent="0.25">
      <c r="B1486" t="s">
        <v>223</v>
      </c>
      <c r="C1486" t="str">
        <f>_xlfn.XLOOKUP(B1486,Tabla2[CODIGO],Tabla2[MATERIAL],"N/A",0)</f>
        <v>Conector resorte 18-8</v>
      </c>
      <c r="D1486">
        <v>4</v>
      </c>
      <c r="E1486" t="s">
        <v>42</v>
      </c>
      <c r="F1486" t="s">
        <v>62</v>
      </c>
      <c r="I1486" s="2"/>
      <c r="J1486" t="s">
        <v>166</v>
      </c>
      <c r="K1486">
        <v>9959</v>
      </c>
      <c r="N1486">
        <v>14</v>
      </c>
    </row>
    <row r="1487" spans="2:14" hidden="1" x14ac:dyDescent="0.25">
      <c r="B1487" t="s">
        <v>250</v>
      </c>
      <c r="C1487" t="str">
        <f>_xlfn.XLOOKUP(B1487,Tabla2[CODIGO],Tabla2[MATERIAL],"N/A",0)</f>
        <v>Cruceta Metalica 3*3x 1/4</v>
      </c>
      <c r="D1487">
        <v>2</v>
      </c>
      <c r="E1487" t="s">
        <v>42</v>
      </c>
      <c r="F1487" t="s">
        <v>62</v>
      </c>
      <c r="I1487" s="2"/>
      <c r="J1487" t="s">
        <v>166</v>
      </c>
      <c r="K1487">
        <v>9959</v>
      </c>
      <c r="N1487">
        <v>2</v>
      </c>
    </row>
    <row r="1488" spans="2:14" hidden="1" x14ac:dyDescent="0.25">
      <c r="B1488" t="s">
        <v>250</v>
      </c>
      <c r="C1488" t="str">
        <f>_xlfn.XLOOKUP(B1488,Tabla2[CODIGO],Tabla2[MATERIAL],"N/A",0)</f>
        <v>Cruceta Metalica 3*3x 1/4</v>
      </c>
      <c r="D1488">
        <v>2</v>
      </c>
      <c r="E1488" t="s">
        <v>42</v>
      </c>
      <c r="F1488" t="s">
        <v>62</v>
      </c>
      <c r="I1488" s="2"/>
      <c r="J1488" t="s">
        <v>166</v>
      </c>
      <c r="K1488">
        <v>9959</v>
      </c>
      <c r="N1488">
        <v>8</v>
      </c>
    </row>
    <row r="1489" spans="2:14" hidden="1" x14ac:dyDescent="0.25">
      <c r="B1489" t="s">
        <v>250</v>
      </c>
      <c r="C1489" t="str">
        <f>_xlfn.XLOOKUP(B1489,Tabla2[CODIGO],Tabla2[MATERIAL],"N/A",0)</f>
        <v>Cruceta Metalica 3*3x 1/4</v>
      </c>
      <c r="D1489">
        <v>2</v>
      </c>
      <c r="E1489" t="s">
        <v>42</v>
      </c>
      <c r="F1489" t="s">
        <v>62</v>
      </c>
      <c r="I1489" s="2"/>
      <c r="J1489" t="s">
        <v>166</v>
      </c>
      <c r="K1489">
        <v>9959</v>
      </c>
      <c r="N1489">
        <v>10</v>
      </c>
    </row>
    <row r="1490" spans="2:14" hidden="1" x14ac:dyDescent="0.25">
      <c r="B1490" t="s">
        <v>250</v>
      </c>
      <c r="C1490" t="str">
        <f>_xlfn.XLOOKUP(B1490,Tabla2[CODIGO],Tabla2[MATERIAL],"N/A",0)</f>
        <v>Cruceta Metalica 3*3x 1/4</v>
      </c>
      <c r="D1490">
        <v>2</v>
      </c>
      <c r="E1490" t="s">
        <v>42</v>
      </c>
      <c r="F1490" t="s">
        <v>62</v>
      </c>
      <c r="I1490" s="2"/>
      <c r="J1490" t="s">
        <v>166</v>
      </c>
      <c r="K1490">
        <v>9959</v>
      </c>
      <c r="N1490">
        <v>14</v>
      </c>
    </row>
    <row r="1491" spans="2:14" hidden="1" x14ac:dyDescent="0.25">
      <c r="B1491" t="s">
        <v>224</v>
      </c>
      <c r="C1491" t="str">
        <f>_xlfn.XLOOKUP(B1491,Tabla2[CODIGO],Tabla2[MATERIAL],"N/A",0)</f>
        <v>Empalme gel ppal 8-4/0 a der 14-2/0 awg (grande)</v>
      </c>
      <c r="D1491">
        <v>4</v>
      </c>
      <c r="E1491" t="s">
        <v>42</v>
      </c>
      <c r="F1491" t="s">
        <v>62</v>
      </c>
      <c r="I1491" s="2"/>
      <c r="J1491" t="s">
        <v>166</v>
      </c>
      <c r="K1491">
        <v>9959</v>
      </c>
      <c r="N1491">
        <v>1</v>
      </c>
    </row>
    <row r="1492" spans="2:14" hidden="1" x14ac:dyDescent="0.25">
      <c r="B1492" t="s">
        <v>224</v>
      </c>
      <c r="C1492" t="str">
        <f>_xlfn.XLOOKUP(B1492,Tabla2[CODIGO],Tabla2[MATERIAL],"N/A",0)</f>
        <v>Empalme gel ppal 8-4/0 a der 14-2/0 awg (grande)</v>
      </c>
      <c r="D1492">
        <v>2</v>
      </c>
      <c r="E1492" t="s">
        <v>42</v>
      </c>
      <c r="F1492" t="s">
        <v>62</v>
      </c>
      <c r="I1492" s="2"/>
      <c r="J1492" t="s">
        <v>166</v>
      </c>
      <c r="K1492">
        <v>9959</v>
      </c>
      <c r="N1492">
        <v>14</v>
      </c>
    </row>
    <row r="1493" spans="2:14" hidden="1" x14ac:dyDescent="0.25">
      <c r="B1493" t="s">
        <v>137</v>
      </c>
      <c r="C1493" t="str">
        <f>_xlfn.XLOOKUP(B1493,Tabla2[CODIGO],Tabla2[MATERIAL],"N/A",0)</f>
        <v>Fotocelda</v>
      </c>
      <c r="D1493">
        <v>1</v>
      </c>
      <c r="E1493" t="s">
        <v>42</v>
      </c>
      <c r="F1493" t="s">
        <v>62</v>
      </c>
      <c r="I1493" s="2"/>
      <c r="J1493" t="s">
        <v>166</v>
      </c>
      <c r="K1493">
        <v>9959</v>
      </c>
      <c r="N1493">
        <v>1</v>
      </c>
    </row>
    <row r="1494" spans="2:14" hidden="1" x14ac:dyDescent="0.25">
      <c r="B1494" t="s">
        <v>137</v>
      </c>
      <c r="C1494" t="str">
        <f>_xlfn.XLOOKUP(B1494,Tabla2[CODIGO],Tabla2[MATERIAL],"N/A",0)</f>
        <v>Fotocelda</v>
      </c>
      <c r="D1494">
        <v>1</v>
      </c>
      <c r="E1494" t="s">
        <v>42</v>
      </c>
      <c r="F1494" t="s">
        <v>62</v>
      </c>
      <c r="I1494" s="2"/>
      <c r="J1494" t="s">
        <v>166</v>
      </c>
      <c r="K1494">
        <v>9959</v>
      </c>
      <c r="N1494">
        <v>2</v>
      </c>
    </row>
    <row r="1495" spans="2:14" hidden="1" x14ac:dyDescent="0.25">
      <c r="B1495" t="s">
        <v>137</v>
      </c>
      <c r="C1495" t="str">
        <f>_xlfn.XLOOKUP(B1495,Tabla2[CODIGO],Tabla2[MATERIAL],"N/A",0)</f>
        <v>Fotocelda</v>
      </c>
      <c r="D1495">
        <v>1</v>
      </c>
      <c r="E1495" t="s">
        <v>42</v>
      </c>
      <c r="F1495" t="s">
        <v>62</v>
      </c>
      <c r="I1495" s="2"/>
      <c r="J1495" t="s">
        <v>166</v>
      </c>
      <c r="K1495">
        <v>9959</v>
      </c>
      <c r="N1495">
        <v>3</v>
      </c>
    </row>
    <row r="1496" spans="2:14" hidden="1" x14ac:dyDescent="0.25">
      <c r="B1496" t="s">
        <v>137</v>
      </c>
      <c r="C1496" t="str">
        <f>_xlfn.XLOOKUP(B1496,Tabla2[CODIGO],Tabla2[MATERIAL],"N/A",0)</f>
        <v>Fotocelda</v>
      </c>
      <c r="D1496">
        <v>1</v>
      </c>
      <c r="E1496" t="s">
        <v>42</v>
      </c>
      <c r="F1496" t="s">
        <v>62</v>
      </c>
      <c r="I1496" s="2"/>
      <c r="J1496" t="s">
        <v>166</v>
      </c>
      <c r="K1496">
        <v>9959</v>
      </c>
      <c r="N1496">
        <v>4</v>
      </c>
    </row>
    <row r="1497" spans="2:14" hidden="1" x14ac:dyDescent="0.25">
      <c r="B1497" t="s">
        <v>137</v>
      </c>
      <c r="C1497" t="str">
        <f>_xlfn.XLOOKUP(B1497,Tabla2[CODIGO],Tabla2[MATERIAL],"N/A",0)</f>
        <v>Fotocelda</v>
      </c>
      <c r="D1497">
        <v>1</v>
      </c>
      <c r="E1497" t="s">
        <v>42</v>
      </c>
      <c r="F1497" t="s">
        <v>62</v>
      </c>
      <c r="I1497" s="2"/>
      <c r="J1497" t="s">
        <v>166</v>
      </c>
      <c r="K1497">
        <v>9959</v>
      </c>
      <c r="N1497">
        <v>5</v>
      </c>
    </row>
    <row r="1498" spans="2:14" hidden="1" x14ac:dyDescent="0.25">
      <c r="B1498" t="s">
        <v>137</v>
      </c>
      <c r="C1498" t="str">
        <f>_xlfn.XLOOKUP(B1498,Tabla2[CODIGO],Tabla2[MATERIAL],"N/A",0)</f>
        <v>Fotocelda</v>
      </c>
      <c r="D1498">
        <v>1</v>
      </c>
      <c r="E1498" t="s">
        <v>42</v>
      </c>
      <c r="F1498" t="s">
        <v>62</v>
      </c>
      <c r="I1498" s="2"/>
      <c r="J1498" t="s">
        <v>166</v>
      </c>
      <c r="K1498">
        <v>9959</v>
      </c>
      <c r="N1498">
        <v>6</v>
      </c>
    </row>
    <row r="1499" spans="2:14" hidden="1" x14ac:dyDescent="0.25">
      <c r="B1499" t="s">
        <v>137</v>
      </c>
      <c r="C1499" t="str">
        <f>_xlfn.XLOOKUP(B1499,Tabla2[CODIGO],Tabla2[MATERIAL],"N/A",0)</f>
        <v>Fotocelda</v>
      </c>
      <c r="D1499">
        <v>1</v>
      </c>
      <c r="E1499" t="s">
        <v>42</v>
      </c>
      <c r="F1499" t="s">
        <v>62</v>
      </c>
      <c r="I1499" s="2"/>
      <c r="J1499" t="s">
        <v>166</v>
      </c>
      <c r="K1499">
        <v>9959</v>
      </c>
      <c r="N1499">
        <v>7</v>
      </c>
    </row>
    <row r="1500" spans="2:14" hidden="1" x14ac:dyDescent="0.25">
      <c r="B1500" t="s">
        <v>137</v>
      </c>
      <c r="C1500" t="str">
        <f>_xlfn.XLOOKUP(B1500,Tabla2[CODIGO],Tabla2[MATERIAL],"N/A",0)</f>
        <v>Fotocelda</v>
      </c>
      <c r="D1500">
        <v>1</v>
      </c>
      <c r="E1500" t="s">
        <v>42</v>
      </c>
      <c r="F1500" t="s">
        <v>62</v>
      </c>
      <c r="I1500" s="2"/>
      <c r="J1500" t="s">
        <v>166</v>
      </c>
      <c r="K1500">
        <v>9959</v>
      </c>
      <c r="N1500">
        <v>8</v>
      </c>
    </row>
    <row r="1501" spans="2:14" hidden="1" x14ac:dyDescent="0.25">
      <c r="B1501" t="s">
        <v>137</v>
      </c>
      <c r="C1501" t="str">
        <f>_xlfn.XLOOKUP(B1501,Tabla2[CODIGO],Tabla2[MATERIAL],"N/A",0)</f>
        <v>Fotocelda</v>
      </c>
      <c r="D1501">
        <v>1</v>
      </c>
      <c r="E1501" t="s">
        <v>42</v>
      </c>
      <c r="F1501" t="s">
        <v>62</v>
      </c>
      <c r="I1501" s="2"/>
      <c r="J1501" t="s">
        <v>166</v>
      </c>
      <c r="K1501">
        <v>9959</v>
      </c>
      <c r="N1501">
        <v>9</v>
      </c>
    </row>
    <row r="1502" spans="2:14" hidden="1" x14ac:dyDescent="0.25">
      <c r="B1502" t="s">
        <v>137</v>
      </c>
      <c r="C1502" t="str">
        <f>_xlfn.XLOOKUP(B1502,Tabla2[CODIGO],Tabla2[MATERIAL],"N/A",0)</f>
        <v>Fotocelda</v>
      </c>
      <c r="D1502">
        <v>1</v>
      </c>
      <c r="E1502" t="s">
        <v>42</v>
      </c>
      <c r="F1502" t="s">
        <v>62</v>
      </c>
      <c r="I1502" s="2"/>
      <c r="J1502" t="s">
        <v>166</v>
      </c>
      <c r="K1502">
        <v>9959</v>
      </c>
      <c r="N1502">
        <v>10</v>
      </c>
    </row>
    <row r="1503" spans="2:14" hidden="1" x14ac:dyDescent="0.25">
      <c r="B1503" t="s">
        <v>137</v>
      </c>
      <c r="C1503" t="str">
        <f>_xlfn.XLOOKUP(B1503,Tabla2[CODIGO],Tabla2[MATERIAL],"N/A",0)</f>
        <v>Fotocelda</v>
      </c>
      <c r="D1503">
        <v>1</v>
      </c>
      <c r="E1503" t="s">
        <v>42</v>
      </c>
      <c r="F1503" t="s">
        <v>62</v>
      </c>
      <c r="I1503" s="2"/>
      <c r="J1503" t="s">
        <v>166</v>
      </c>
      <c r="K1503">
        <v>9959</v>
      </c>
      <c r="N1503">
        <v>11</v>
      </c>
    </row>
    <row r="1504" spans="2:14" hidden="1" x14ac:dyDescent="0.25">
      <c r="B1504" t="s">
        <v>137</v>
      </c>
      <c r="C1504" t="str">
        <f>_xlfn.XLOOKUP(B1504,Tabla2[CODIGO],Tabla2[MATERIAL],"N/A",0)</f>
        <v>Fotocelda</v>
      </c>
      <c r="D1504">
        <v>1</v>
      </c>
      <c r="E1504" t="s">
        <v>42</v>
      </c>
      <c r="F1504" t="s">
        <v>62</v>
      </c>
      <c r="I1504" s="2"/>
      <c r="J1504" t="s">
        <v>166</v>
      </c>
      <c r="K1504">
        <v>9959</v>
      </c>
      <c r="N1504">
        <v>12</v>
      </c>
    </row>
    <row r="1505" spans="2:14" hidden="1" x14ac:dyDescent="0.25">
      <c r="B1505" t="s">
        <v>137</v>
      </c>
      <c r="C1505" t="str">
        <f>_xlfn.XLOOKUP(B1505,Tabla2[CODIGO],Tabla2[MATERIAL],"N/A",0)</f>
        <v>Fotocelda</v>
      </c>
      <c r="D1505">
        <v>1</v>
      </c>
      <c r="E1505" t="s">
        <v>42</v>
      </c>
      <c r="F1505" t="s">
        <v>62</v>
      </c>
      <c r="I1505" s="2"/>
      <c r="J1505" t="s">
        <v>166</v>
      </c>
      <c r="K1505">
        <v>9959</v>
      </c>
      <c r="N1505">
        <v>13</v>
      </c>
    </row>
    <row r="1506" spans="2:14" hidden="1" x14ac:dyDescent="0.25">
      <c r="B1506" t="s">
        <v>137</v>
      </c>
      <c r="C1506" t="str">
        <f>_xlfn.XLOOKUP(B1506,Tabla2[CODIGO],Tabla2[MATERIAL],"N/A",0)</f>
        <v>Fotocelda</v>
      </c>
      <c r="D1506">
        <v>1</v>
      </c>
      <c r="E1506" t="s">
        <v>42</v>
      </c>
      <c r="F1506" t="s">
        <v>62</v>
      </c>
      <c r="I1506" s="2"/>
      <c r="J1506" t="s">
        <v>166</v>
      </c>
      <c r="K1506">
        <v>9959</v>
      </c>
      <c r="N1506">
        <v>14</v>
      </c>
    </row>
    <row r="1507" spans="2:14" hidden="1" x14ac:dyDescent="0.25">
      <c r="B1507" t="s">
        <v>137</v>
      </c>
      <c r="C1507" t="str">
        <f>_xlfn.XLOOKUP(B1507,Tabla2[CODIGO],Tabla2[MATERIAL],"N/A",0)</f>
        <v>Fotocelda</v>
      </c>
      <c r="D1507">
        <v>1</v>
      </c>
      <c r="E1507" t="s">
        <v>42</v>
      </c>
      <c r="F1507" t="s">
        <v>62</v>
      </c>
      <c r="I1507" s="2"/>
      <c r="J1507" t="s">
        <v>166</v>
      </c>
      <c r="K1507">
        <v>9959</v>
      </c>
      <c r="N1507">
        <v>15</v>
      </c>
    </row>
    <row r="1508" spans="2:14" hidden="1" x14ac:dyDescent="0.25">
      <c r="B1508" t="s">
        <v>137</v>
      </c>
      <c r="C1508" t="str">
        <f>_xlfn.XLOOKUP(B1508,Tabla2[CODIGO],Tabla2[MATERIAL],"N/A",0)</f>
        <v>Fotocelda</v>
      </c>
      <c r="D1508">
        <v>1</v>
      </c>
      <c r="E1508" t="s">
        <v>42</v>
      </c>
      <c r="F1508" t="s">
        <v>62</v>
      </c>
      <c r="I1508" s="2"/>
      <c r="J1508" t="s">
        <v>166</v>
      </c>
      <c r="K1508">
        <v>9959</v>
      </c>
      <c r="N1508">
        <v>16</v>
      </c>
    </row>
    <row r="1509" spans="2:14" hidden="1" x14ac:dyDescent="0.25">
      <c r="B1509" t="s">
        <v>137</v>
      </c>
      <c r="C1509" t="str">
        <f>_xlfn.XLOOKUP(B1509,Tabla2[CODIGO],Tabla2[MATERIAL],"N/A",0)</f>
        <v>Fotocelda</v>
      </c>
      <c r="D1509">
        <v>1</v>
      </c>
      <c r="E1509" t="s">
        <v>42</v>
      </c>
      <c r="F1509" t="s">
        <v>62</v>
      </c>
      <c r="I1509" s="2"/>
      <c r="J1509" t="s">
        <v>166</v>
      </c>
      <c r="K1509">
        <v>9959</v>
      </c>
      <c r="N1509">
        <v>17</v>
      </c>
    </row>
    <row r="1510" spans="2:14" hidden="1" x14ac:dyDescent="0.25">
      <c r="B1510" t="s">
        <v>137</v>
      </c>
      <c r="C1510" t="str">
        <f>_xlfn.XLOOKUP(B1510,Tabla2[CODIGO],Tabla2[MATERIAL],"N/A",0)</f>
        <v>Fotocelda</v>
      </c>
      <c r="D1510">
        <v>1</v>
      </c>
      <c r="E1510" t="s">
        <v>42</v>
      </c>
      <c r="F1510" t="s">
        <v>62</v>
      </c>
      <c r="I1510" s="2"/>
      <c r="J1510" t="s">
        <v>166</v>
      </c>
      <c r="K1510">
        <v>9959</v>
      </c>
      <c r="N1510">
        <v>18</v>
      </c>
    </row>
    <row r="1511" spans="2:14" hidden="1" x14ac:dyDescent="0.25">
      <c r="B1511" t="s">
        <v>212</v>
      </c>
      <c r="C1511" t="str">
        <f>_xlfn.XLOOKUP(B1511,Tabla2[CODIGO],Tabla2[MATERIAL],"N/A",0)</f>
        <v>Grillete galvanizado 1,1/2</v>
      </c>
      <c r="D1511">
        <v>2</v>
      </c>
      <c r="E1511" t="s">
        <v>42</v>
      </c>
      <c r="F1511" t="s">
        <v>62</v>
      </c>
      <c r="I1511" s="2"/>
      <c r="J1511" t="s">
        <v>166</v>
      </c>
      <c r="K1511">
        <v>9959</v>
      </c>
      <c r="N1511">
        <v>1</v>
      </c>
    </row>
    <row r="1512" spans="2:14" hidden="1" x14ac:dyDescent="0.25">
      <c r="B1512" t="s">
        <v>212</v>
      </c>
      <c r="C1512" t="str">
        <f>_xlfn.XLOOKUP(B1512,Tabla2[CODIGO],Tabla2[MATERIAL],"N/A",0)</f>
        <v>Grillete galvanizado 1,1/2</v>
      </c>
      <c r="D1512">
        <v>2</v>
      </c>
      <c r="E1512" t="s">
        <v>42</v>
      </c>
      <c r="F1512" t="s">
        <v>62</v>
      </c>
      <c r="I1512" s="2"/>
      <c r="J1512" t="s">
        <v>166</v>
      </c>
      <c r="K1512">
        <v>9959</v>
      </c>
      <c r="N1512">
        <v>7</v>
      </c>
    </row>
    <row r="1513" spans="2:14" hidden="1" x14ac:dyDescent="0.25">
      <c r="B1513" t="s">
        <v>212</v>
      </c>
      <c r="C1513" t="str">
        <f>_xlfn.XLOOKUP(B1513,Tabla2[CODIGO],Tabla2[MATERIAL],"N/A",0)</f>
        <v>Grillete galvanizado 1,1/2</v>
      </c>
      <c r="D1513">
        <v>2</v>
      </c>
      <c r="E1513" t="s">
        <v>42</v>
      </c>
      <c r="F1513" t="s">
        <v>62</v>
      </c>
      <c r="I1513" s="2"/>
      <c r="J1513" t="s">
        <v>166</v>
      </c>
      <c r="K1513">
        <v>9959</v>
      </c>
      <c r="N1513">
        <v>13</v>
      </c>
    </row>
    <row r="1514" spans="2:14" hidden="1" x14ac:dyDescent="0.25">
      <c r="B1514" t="s">
        <v>37</v>
      </c>
      <c r="C1514" t="str">
        <f>_xlfn.XLOOKUP(B1514,Tabla2[CODIGO],Tabla2[MATERIAL],"N/A",0)</f>
        <v>Hebilla para cinta bandit 1/2"</v>
      </c>
      <c r="D1514">
        <v>3</v>
      </c>
      <c r="E1514" t="s">
        <v>42</v>
      </c>
      <c r="F1514" t="s">
        <v>62</v>
      </c>
      <c r="I1514" s="2"/>
      <c r="J1514" t="s">
        <v>166</v>
      </c>
      <c r="K1514">
        <v>9959</v>
      </c>
      <c r="N1514">
        <v>1</v>
      </c>
    </row>
    <row r="1515" spans="2:14" hidden="1" x14ac:dyDescent="0.25">
      <c r="B1515" t="s">
        <v>37</v>
      </c>
      <c r="C1515" t="str">
        <f>_xlfn.XLOOKUP(B1515,Tabla2[CODIGO],Tabla2[MATERIAL],"N/A",0)</f>
        <v>Hebilla para cinta bandit 1/2"</v>
      </c>
      <c r="D1515">
        <v>3</v>
      </c>
      <c r="E1515" t="s">
        <v>42</v>
      </c>
      <c r="F1515" t="s">
        <v>62</v>
      </c>
      <c r="I1515" s="2"/>
      <c r="J1515" t="s">
        <v>166</v>
      </c>
      <c r="K1515">
        <v>9959</v>
      </c>
      <c r="N1515">
        <v>7</v>
      </c>
    </row>
    <row r="1516" spans="2:14" hidden="1" x14ac:dyDescent="0.25">
      <c r="B1516" t="s">
        <v>37</v>
      </c>
      <c r="C1516" t="str">
        <f>_xlfn.XLOOKUP(B1516,Tabla2[CODIGO],Tabla2[MATERIAL],"N/A",0)</f>
        <v>Hebilla para cinta bandit 1/2"</v>
      </c>
      <c r="D1516">
        <v>3</v>
      </c>
      <c r="E1516" t="s">
        <v>42</v>
      </c>
      <c r="F1516" t="s">
        <v>62</v>
      </c>
      <c r="I1516" s="2"/>
      <c r="J1516" t="s">
        <v>166</v>
      </c>
      <c r="K1516">
        <v>9959</v>
      </c>
      <c r="N1516">
        <v>11</v>
      </c>
    </row>
    <row r="1517" spans="2:14" hidden="1" x14ac:dyDescent="0.25">
      <c r="B1517" t="s">
        <v>37</v>
      </c>
      <c r="C1517" t="str">
        <f>_xlfn.XLOOKUP(B1517,Tabla2[CODIGO],Tabla2[MATERIAL],"N/A",0)</f>
        <v>Hebilla para cinta bandit 1/2"</v>
      </c>
      <c r="D1517">
        <v>4</v>
      </c>
      <c r="E1517" t="s">
        <v>42</v>
      </c>
      <c r="F1517" t="s">
        <v>62</v>
      </c>
      <c r="I1517" s="2"/>
      <c r="J1517" t="s">
        <v>166</v>
      </c>
      <c r="K1517">
        <v>9959</v>
      </c>
      <c r="N1517">
        <v>13</v>
      </c>
    </row>
    <row r="1518" spans="2:14" hidden="1" x14ac:dyDescent="0.25">
      <c r="B1518" t="s">
        <v>37</v>
      </c>
      <c r="C1518" t="str">
        <f>_xlfn.XLOOKUP(B1518,Tabla2[CODIGO],Tabla2[MATERIAL],"N/A",0)</f>
        <v>Hebilla para cinta bandit 1/2"</v>
      </c>
      <c r="D1518">
        <v>3</v>
      </c>
      <c r="E1518" t="s">
        <v>42</v>
      </c>
      <c r="F1518" t="s">
        <v>62</v>
      </c>
      <c r="I1518" s="2"/>
      <c r="J1518" t="s">
        <v>166</v>
      </c>
      <c r="K1518">
        <v>9959</v>
      </c>
      <c r="N1518">
        <v>15</v>
      </c>
    </row>
    <row r="1519" spans="2:14" hidden="1" x14ac:dyDescent="0.25">
      <c r="B1519" t="s">
        <v>36</v>
      </c>
      <c r="C1519" t="str">
        <f>_xlfn.XLOOKUP(B1519,Tabla2[CODIGO],Tabla2[MATERIAL],"N/A",0)</f>
        <v>Cinta Bandit 1/2"</v>
      </c>
      <c r="D1519">
        <v>3</v>
      </c>
      <c r="E1519" t="s">
        <v>43</v>
      </c>
      <c r="F1519" t="s">
        <v>62</v>
      </c>
      <c r="I1519" s="2"/>
      <c r="J1519" t="s">
        <v>166</v>
      </c>
      <c r="K1519">
        <v>9959</v>
      </c>
      <c r="M1519">
        <v>2277506</v>
      </c>
      <c r="N1519">
        <v>15</v>
      </c>
    </row>
    <row r="1520" spans="2:14" hidden="1" x14ac:dyDescent="0.25">
      <c r="B1520" t="s">
        <v>84</v>
      </c>
      <c r="C1520" t="str">
        <f>_xlfn.XLOOKUP(B1520,Tabla2[CODIGO],Tabla2[MATERIAL],"N/A",0)</f>
        <v>Luminaria 110w</v>
      </c>
      <c r="D1520">
        <v>1</v>
      </c>
      <c r="E1520" t="s">
        <v>42</v>
      </c>
      <c r="F1520" t="s">
        <v>62</v>
      </c>
      <c r="H1520" t="s">
        <v>64</v>
      </c>
      <c r="I1520" s="2" t="s">
        <v>119</v>
      </c>
      <c r="J1520" t="s">
        <v>166</v>
      </c>
      <c r="K1520">
        <v>9959</v>
      </c>
      <c r="N1520">
        <v>1</v>
      </c>
    </row>
    <row r="1521" spans="2:14" hidden="1" x14ac:dyDescent="0.25">
      <c r="B1521" t="s">
        <v>84</v>
      </c>
      <c r="C1521" t="str">
        <f>_xlfn.XLOOKUP(B1521,Tabla2[CODIGO],Tabla2[MATERIAL],"N/A",0)</f>
        <v>Luminaria 110w</v>
      </c>
      <c r="D1521">
        <v>1</v>
      </c>
      <c r="E1521" t="s">
        <v>42</v>
      </c>
      <c r="F1521" t="s">
        <v>62</v>
      </c>
      <c r="H1521" t="s">
        <v>64</v>
      </c>
      <c r="I1521" s="2" t="s">
        <v>102</v>
      </c>
      <c r="J1521" t="s">
        <v>166</v>
      </c>
      <c r="K1521">
        <v>9959</v>
      </c>
      <c r="N1521">
        <v>7</v>
      </c>
    </row>
    <row r="1522" spans="2:14" hidden="1" x14ac:dyDescent="0.25">
      <c r="B1522" t="s">
        <v>84</v>
      </c>
      <c r="C1522" t="str">
        <f>_xlfn.XLOOKUP(B1522,Tabla2[CODIGO],Tabla2[MATERIAL],"N/A",0)</f>
        <v>Luminaria 110w</v>
      </c>
      <c r="D1522">
        <v>1</v>
      </c>
      <c r="E1522" t="s">
        <v>42</v>
      </c>
      <c r="F1522" t="s">
        <v>62</v>
      </c>
      <c r="H1522" t="s">
        <v>64</v>
      </c>
      <c r="I1522" s="2" t="s">
        <v>120</v>
      </c>
      <c r="J1522" t="s">
        <v>166</v>
      </c>
      <c r="K1522">
        <v>9959</v>
      </c>
      <c r="N1522">
        <v>13</v>
      </c>
    </row>
    <row r="1523" spans="2:14" hidden="1" x14ac:dyDescent="0.25">
      <c r="B1523" t="s">
        <v>82</v>
      </c>
      <c r="C1523" t="str">
        <f>_xlfn.XLOOKUP(B1523,Tabla2[CODIGO],Tabla2[MATERIAL],"N/A",0)</f>
        <v>proyector 190w</v>
      </c>
      <c r="D1523">
        <v>1</v>
      </c>
      <c r="E1523" t="s">
        <v>42</v>
      </c>
      <c r="F1523" t="s">
        <v>16</v>
      </c>
      <c r="G1523" s="1">
        <v>46221</v>
      </c>
      <c r="H1523" t="s">
        <v>64</v>
      </c>
      <c r="I1523" s="2" t="s">
        <v>406</v>
      </c>
      <c r="J1523" t="s">
        <v>289</v>
      </c>
      <c r="K1523">
        <v>9972</v>
      </c>
    </row>
    <row r="1524" spans="2:14" hidden="1" x14ac:dyDescent="0.25">
      <c r="B1524" t="s">
        <v>82</v>
      </c>
      <c r="C1524" t="str">
        <f>_xlfn.XLOOKUP(B1524,Tabla2[CODIGO],Tabla2[MATERIAL],"N/A",0)</f>
        <v>proyector 190w</v>
      </c>
      <c r="D1524">
        <v>1</v>
      </c>
      <c r="E1524" t="s">
        <v>42</v>
      </c>
      <c r="F1524" t="s">
        <v>62</v>
      </c>
      <c r="H1524" t="s">
        <v>64</v>
      </c>
      <c r="I1524" s="2" t="s">
        <v>406</v>
      </c>
      <c r="J1524" t="s">
        <v>289</v>
      </c>
      <c r="K1524">
        <v>9972</v>
      </c>
      <c r="M1524">
        <v>1901974</v>
      </c>
      <c r="N1524">
        <v>14</v>
      </c>
    </row>
    <row r="1525" spans="2:14" hidden="1" x14ac:dyDescent="0.25">
      <c r="B1525" t="s">
        <v>82</v>
      </c>
      <c r="C1525" t="str">
        <f>_xlfn.XLOOKUP(B1525,Tabla2[CODIGO],Tabla2[MATERIAL],"N/A",0)</f>
        <v>proyector 190w</v>
      </c>
      <c r="D1525">
        <v>1</v>
      </c>
      <c r="E1525" t="s">
        <v>42</v>
      </c>
      <c r="F1525" t="s">
        <v>16</v>
      </c>
      <c r="G1525" s="1">
        <v>46221</v>
      </c>
      <c r="H1525" t="s">
        <v>64</v>
      </c>
      <c r="I1525" t="s">
        <v>363</v>
      </c>
      <c r="J1525" t="s">
        <v>289</v>
      </c>
      <c r="K1525">
        <v>9968</v>
      </c>
    </row>
    <row r="1526" spans="2:14" hidden="1" x14ac:dyDescent="0.25">
      <c r="B1526" t="s">
        <v>82</v>
      </c>
      <c r="C1526" t="str">
        <f>_xlfn.XLOOKUP(B1526,Tabla2[CODIGO],Tabla2[MATERIAL],"N/A",0)</f>
        <v>proyector 190w</v>
      </c>
      <c r="D1526">
        <v>1</v>
      </c>
      <c r="E1526" t="s">
        <v>42</v>
      </c>
      <c r="F1526" t="s">
        <v>16</v>
      </c>
      <c r="G1526" s="1">
        <v>46221</v>
      </c>
      <c r="H1526" t="s">
        <v>64</v>
      </c>
      <c r="I1526" s="2" t="s">
        <v>407</v>
      </c>
      <c r="J1526" t="s">
        <v>289</v>
      </c>
      <c r="K1526">
        <v>9972</v>
      </c>
    </row>
    <row r="1527" spans="2:14" hidden="1" x14ac:dyDescent="0.25">
      <c r="B1527" t="s">
        <v>82</v>
      </c>
      <c r="C1527" t="str">
        <f>_xlfn.XLOOKUP(B1527,Tabla2[CODIGO],Tabla2[MATERIAL],"N/A",0)</f>
        <v>proyector 190w</v>
      </c>
      <c r="D1527">
        <v>1</v>
      </c>
      <c r="E1527" t="s">
        <v>42</v>
      </c>
      <c r="F1527" t="s">
        <v>62</v>
      </c>
      <c r="H1527" t="s">
        <v>64</v>
      </c>
      <c r="I1527" s="2" t="s">
        <v>407</v>
      </c>
      <c r="J1527" t="s">
        <v>289</v>
      </c>
      <c r="K1527">
        <v>9972</v>
      </c>
      <c r="M1527">
        <v>2304333</v>
      </c>
      <c r="N1527">
        <v>11</v>
      </c>
    </row>
    <row r="1528" spans="2:14" hidden="1" x14ac:dyDescent="0.25">
      <c r="B1528" t="s">
        <v>82</v>
      </c>
      <c r="C1528" t="str">
        <f>_xlfn.XLOOKUP(B1528,Tabla2[CODIGO],Tabla2[MATERIAL],"N/A",0)</f>
        <v>proyector 190w</v>
      </c>
      <c r="D1528">
        <v>1</v>
      </c>
      <c r="E1528" t="s">
        <v>42</v>
      </c>
      <c r="F1528" t="s">
        <v>16</v>
      </c>
      <c r="G1528" s="1">
        <v>46221</v>
      </c>
      <c r="H1528" t="s">
        <v>64</v>
      </c>
      <c r="I1528" s="2" t="s">
        <v>411</v>
      </c>
      <c r="J1528" t="s">
        <v>289</v>
      </c>
      <c r="K1528">
        <v>9972</v>
      </c>
    </row>
    <row r="1529" spans="2:14" hidden="1" x14ac:dyDescent="0.25">
      <c r="B1529" t="s">
        <v>82</v>
      </c>
      <c r="C1529" t="str">
        <f>_xlfn.XLOOKUP(B1529,Tabla2[CODIGO],Tabla2[MATERIAL],"N/A",0)</f>
        <v>proyector 190w</v>
      </c>
      <c r="D1529">
        <v>1</v>
      </c>
      <c r="E1529" t="s">
        <v>42</v>
      </c>
      <c r="F1529" t="s">
        <v>62</v>
      </c>
      <c r="H1529" t="s">
        <v>64</v>
      </c>
      <c r="I1529" s="2" t="s">
        <v>411</v>
      </c>
      <c r="J1529" t="s">
        <v>289</v>
      </c>
      <c r="K1529">
        <v>9972</v>
      </c>
      <c r="M1529">
        <v>1901974</v>
      </c>
      <c r="N1529">
        <v>13</v>
      </c>
    </row>
    <row r="1530" spans="2:14" hidden="1" x14ac:dyDescent="0.25">
      <c r="B1530" t="s">
        <v>82</v>
      </c>
      <c r="C1530" t="str">
        <f>_xlfn.XLOOKUP(B1530,Tabla2[CODIGO],Tabla2[MATERIAL],"N/A",0)</f>
        <v>proyector 190w</v>
      </c>
      <c r="D1530">
        <v>1</v>
      </c>
      <c r="E1530" t="s">
        <v>42</v>
      </c>
      <c r="F1530" t="s">
        <v>16</v>
      </c>
      <c r="G1530" s="1">
        <v>46221</v>
      </c>
      <c r="H1530" t="s">
        <v>64</v>
      </c>
      <c r="I1530" s="2" t="s">
        <v>444</v>
      </c>
      <c r="J1530" t="s">
        <v>289</v>
      </c>
      <c r="K1530">
        <v>9974</v>
      </c>
    </row>
    <row r="1531" spans="2:14" hidden="1" x14ac:dyDescent="0.25">
      <c r="B1531" t="s">
        <v>82</v>
      </c>
      <c r="C1531" t="str">
        <f>_xlfn.XLOOKUP(B1531,Tabla2[CODIGO],Tabla2[MATERIAL],"N/A",0)</f>
        <v>proyector 190w</v>
      </c>
      <c r="D1531">
        <v>1</v>
      </c>
      <c r="E1531" t="s">
        <v>42</v>
      </c>
      <c r="F1531" t="s">
        <v>62</v>
      </c>
      <c r="H1531" t="s">
        <v>64</v>
      </c>
      <c r="I1531" s="2" t="s">
        <v>444</v>
      </c>
      <c r="J1531" t="s">
        <v>289</v>
      </c>
      <c r="K1531">
        <v>9974</v>
      </c>
      <c r="M1531">
        <v>1865331</v>
      </c>
      <c r="N1531">
        <v>9</v>
      </c>
    </row>
    <row r="1532" spans="2:14" hidden="1" x14ac:dyDescent="0.25">
      <c r="B1532" t="s">
        <v>82</v>
      </c>
      <c r="C1532" t="str">
        <f>_xlfn.XLOOKUP(B1532,Tabla2[CODIGO],Tabla2[MATERIAL],"N/A",0)</f>
        <v>proyector 190w</v>
      </c>
      <c r="D1532">
        <v>1</v>
      </c>
      <c r="E1532" t="s">
        <v>42</v>
      </c>
      <c r="F1532" t="s">
        <v>16</v>
      </c>
      <c r="G1532" s="1">
        <v>46221</v>
      </c>
      <c r="H1532" t="s">
        <v>64</v>
      </c>
      <c r="I1532" s="2" t="s">
        <v>423</v>
      </c>
      <c r="J1532" t="s">
        <v>289</v>
      </c>
      <c r="K1532">
        <v>9973</v>
      </c>
    </row>
    <row r="1533" spans="2:14" hidden="1" x14ac:dyDescent="0.25">
      <c r="B1533" t="s">
        <v>472</v>
      </c>
      <c r="C1533" t="str">
        <f>_xlfn.XLOOKUP(B1533,Tabla2[CODIGO],Tabla2[MATERIAL],"N/A",0)</f>
        <v>proyector 190w</v>
      </c>
      <c r="D1533">
        <v>1</v>
      </c>
      <c r="E1533" t="s">
        <v>42</v>
      </c>
      <c r="F1533" t="s">
        <v>62</v>
      </c>
      <c r="H1533" t="s">
        <v>64</v>
      </c>
      <c r="I1533" s="2" t="s">
        <v>423</v>
      </c>
      <c r="J1533" t="s">
        <v>289</v>
      </c>
      <c r="K1533">
        <v>9973</v>
      </c>
      <c r="M1533">
        <v>1865315</v>
      </c>
      <c r="N1533">
        <v>17</v>
      </c>
    </row>
    <row r="1534" spans="2:14" hidden="1" x14ac:dyDescent="0.25">
      <c r="B1534" t="s">
        <v>82</v>
      </c>
      <c r="C1534" t="str">
        <f>_xlfn.XLOOKUP(B1534,Tabla2[CODIGO],Tabla2[MATERIAL],"N/A",0)</f>
        <v>proyector 190w</v>
      </c>
      <c r="D1534">
        <v>1</v>
      </c>
      <c r="E1534" t="s">
        <v>42</v>
      </c>
      <c r="F1534" t="s">
        <v>16</v>
      </c>
      <c r="G1534" s="1">
        <v>46221</v>
      </c>
      <c r="H1534" t="s">
        <v>64</v>
      </c>
      <c r="I1534" s="2" t="s">
        <v>434</v>
      </c>
      <c r="J1534" t="s">
        <v>289</v>
      </c>
      <c r="K1534">
        <v>9974</v>
      </c>
    </row>
    <row r="1535" spans="2:14" hidden="1" x14ac:dyDescent="0.25">
      <c r="B1535" t="s">
        <v>78</v>
      </c>
      <c r="C1535" t="str">
        <f>_xlfn.XLOOKUP(B1535,Tabla2[CODIGO],Tabla2[MATERIAL],"N/A",0)</f>
        <v>Tapa Concreto</v>
      </c>
      <c r="D1535">
        <v>1</v>
      </c>
      <c r="E1535" t="s">
        <v>42</v>
      </c>
      <c r="F1535" t="s">
        <v>62</v>
      </c>
      <c r="I1535" s="2"/>
      <c r="J1535" t="s">
        <v>166</v>
      </c>
      <c r="K1535">
        <v>9959</v>
      </c>
      <c r="N1535">
        <v>1</v>
      </c>
    </row>
    <row r="1536" spans="2:14" hidden="1" x14ac:dyDescent="0.25">
      <c r="B1536" t="s">
        <v>78</v>
      </c>
      <c r="C1536" t="str">
        <f>_xlfn.XLOOKUP(B1536,Tabla2[CODIGO],Tabla2[MATERIAL],"N/A",0)</f>
        <v>Tapa Concreto</v>
      </c>
      <c r="D1536">
        <v>1</v>
      </c>
      <c r="E1536" t="s">
        <v>42</v>
      </c>
      <c r="F1536" t="s">
        <v>62</v>
      </c>
      <c r="I1536" s="2"/>
      <c r="J1536" t="s">
        <v>166</v>
      </c>
      <c r="K1536">
        <v>9959</v>
      </c>
      <c r="N1536">
        <v>9</v>
      </c>
    </row>
    <row r="1537" spans="2:14" hidden="1" x14ac:dyDescent="0.25">
      <c r="B1537" t="s">
        <v>78</v>
      </c>
      <c r="C1537" t="str">
        <f>_xlfn.XLOOKUP(B1537,Tabla2[CODIGO],Tabla2[MATERIAL],"N/A",0)</f>
        <v>Tapa Concreto</v>
      </c>
      <c r="D1537">
        <v>1</v>
      </c>
      <c r="E1537" t="s">
        <v>42</v>
      </c>
      <c r="F1537" t="s">
        <v>62</v>
      </c>
      <c r="I1537" s="2"/>
      <c r="J1537" t="s">
        <v>166</v>
      </c>
      <c r="K1537">
        <v>9959</v>
      </c>
      <c r="N1537">
        <v>14</v>
      </c>
    </row>
    <row r="1538" spans="2:14" hidden="1" x14ac:dyDescent="0.25">
      <c r="B1538" t="s">
        <v>38</v>
      </c>
      <c r="C1538" t="str">
        <f>_xlfn.XLOOKUP(B1538,Tabla2[CODIGO],Tabla2[MATERIAL],"N/A",0)</f>
        <v>Tuberia Conduflex 3/4"</v>
      </c>
      <c r="D1538">
        <v>0.5</v>
      </c>
      <c r="E1538" t="s">
        <v>43</v>
      </c>
      <c r="F1538" t="s">
        <v>62</v>
      </c>
      <c r="I1538" s="2"/>
      <c r="J1538" t="s">
        <v>166</v>
      </c>
      <c r="K1538">
        <v>9959</v>
      </c>
      <c r="N1538">
        <v>1</v>
      </c>
    </row>
    <row r="1539" spans="2:14" hidden="1" x14ac:dyDescent="0.25">
      <c r="B1539" t="s">
        <v>38</v>
      </c>
      <c r="C1539" t="str">
        <f>_xlfn.XLOOKUP(B1539,Tabla2[CODIGO],Tabla2[MATERIAL],"N/A",0)</f>
        <v>Tuberia Conduflex 3/4"</v>
      </c>
      <c r="D1539">
        <v>0.3</v>
      </c>
      <c r="E1539" t="s">
        <v>43</v>
      </c>
      <c r="F1539" t="s">
        <v>62</v>
      </c>
      <c r="I1539" s="2"/>
      <c r="J1539" t="s">
        <v>166</v>
      </c>
      <c r="K1539">
        <v>9959</v>
      </c>
      <c r="N1539">
        <v>7</v>
      </c>
    </row>
    <row r="1540" spans="2:14" hidden="1" x14ac:dyDescent="0.25">
      <c r="B1540" t="s">
        <v>38</v>
      </c>
      <c r="C1540" t="str">
        <f>_xlfn.XLOOKUP(B1540,Tabla2[CODIGO],Tabla2[MATERIAL],"N/A",0)</f>
        <v>Tuberia Conduflex 3/4"</v>
      </c>
      <c r="D1540">
        <v>0.6</v>
      </c>
      <c r="E1540" t="s">
        <v>43</v>
      </c>
      <c r="F1540" t="s">
        <v>62</v>
      </c>
      <c r="I1540" s="2"/>
      <c r="J1540" t="s">
        <v>166</v>
      </c>
      <c r="K1540">
        <v>9959</v>
      </c>
      <c r="N1540">
        <v>13</v>
      </c>
    </row>
    <row r="1541" spans="2:14" hidden="1" x14ac:dyDescent="0.25">
      <c r="B1541" t="s">
        <v>389</v>
      </c>
      <c r="C1541" t="str">
        <f>_xlfn.XLOOKUP(B1541,Tabla2[CODIGO],Tabla2[MATERIAL],"N/A",0)</f>
        <v>tubo conduit imc 2"</v>
      </c>
      <c r="D1541">
        <v>2</v>
      </c>
      <c r="E1541" t="s">
        <v>42</v>
      </c>
      <c r="F1541" t="s">
        <v>62</v>
      </c>
      <c r="I1541" s="2"/>
      <c r="J1541" t="s">
        <v>166</v>
      </c>
      <c r="K1541">
        <v>9959</v>
      </c>
      <c r="N1541">
        <v>1</v>
      </c>
    </row>
    <row r="1542" spans="2:14" hidden="1" x14ac:dyDescent="0.25">
      <c r="B1542" t="s">
        <v>389</v>
      </c>
      <c r="C1542" t="str">
        <f>_xlfn.XLOOKUP(B1542,Tabla2[CODIGO],Tabla2[MATERIAL],"N/A",0)</f>
        <v>tubo conduit imc 2"</v>
      </c>
      <c r="D1542">
        <v>2</v>
      </c>
      <c r="E1542" t="s">
        <v>42</v>
      </c>
      <c r="F1542" t="s">
        <v>62</v>
      </c>
      <c r="I1542" s="2"/>
      <c r="J1542" t="s">
        <v>166</v>
      </c>
      <c r="K1542">
        <v>9959</v>
      </c>
      <c r="N1542">
        <v>13</v>
      </c>
    </row>
    <row r="1543" spans="2:14" hidden="1" x14ac:dyDescent="0.25">
      <c r="B1543" t="s">
        <v>353</v>
      </c>
      <c r="C1543" t="str">
        <f>_xlfn.XLOOKUP(B1543,Tabla2[CODIGO],Tabla2[MATERIAL],"N/A",0)</f>
        <v>tubo pvc conduit 2"x6m</v>
      </c>
      <c r="D1543">
        <v>17</v>
      </c>
      <c r="E1543" t="s">
        <v>42</v>
      </c>
      <c r="F1543" t="s">
        <v>62</v>
      </c>
      <c r="I1543" s="2"/>
      <c r="J1543" t="s">
        <v>166</v>
      </c>
      <c r="K1543">
        <v>9959</v>
      </c>
      <c r="N1543">
        <v>1</v>
      </c>
    </row>
    <row r="1544" spans="2:14" hidden="1" x14ac:dyDescent="0.25">
      <c r="B1544" t="s">
        <v>353</v>
      </c>
      <c r="C1544" t="str">
        <f>_xlfn.XLOOKUP(B1544,Tabla2[CODIGO],Tabla2[MATERIAL],"N/A",0)</f>
        <v>tubo pvc conduit 2"x6m</v>
      </c>
      <c r="D1544">
        <v>17</v>
      </c>
      <c r="E1544" t="s">
        <v>42</v>
      </c>
      <c r="F1544" t="s">
        <v>62</v>
      </c>
      <c r="I1544" s="2"/>
      <c r="J1544" t="s">
        <v>166</v>
      </c>
      <c r="K1544">
        <v>9959</v>
      </c>
      <c r="N1544">
        <v>13</v>
      </c>
    </row>
    <row r="1545" spans="2:14" hidden="1" x14ac:dyDescent="0.25">
      <c r="B1545" t="s">
        <v>198</v>
      </c>
      <c r="C1545" t="str">
        <f>_xlfn.XLOOKUP(B1545,Tabla2[CODIGO],Tabla2[MATERIAL],"N/A",0)</f>
        <v>Varilla cooperweld 2,4m</v>
      </c>
      <c r="D1545">
        <v>1</v>
      </c>
      <c r="E1545" t="s">
        <v>42</v>
      </c>
      <c r="F1545" t="s">
        <v>62</v>
      </c>
      <c r="I1545" s="2"/>
      <c r="J1545" t="s">
        <v>166</v>
      </c>
      <c r="K1545">
        <v>9959</v>
      </c>
      <c r="N1545">
        <v>1</v>
      </c>
    </row>
    <row r="1546" spans="2:14" hidden="1" x14ac:dyDescent="0.25">
      <c r="B1546" t="s">
        <v>198</v>
      </c>
      <c r="C1546" t="str">
        <f>_xlfn.XLOOKUP(B1546,Tabla2[CODIGO],Tabla2[MATERIAL],"N/A",0)</f>
        <v>Varilla cooperweld 2,4m</v>
      </c>
      <c r="D1546">
        <v>1</v>
      </c>
      <c r="E1546" t="s">
        <v>42</v>
      </c>
      <c r="F1546" t="s">
        <v>62</v>
      </c>
      <c r="I1546" s="2"/>
      <c r="J1546" t="s">
        <v>166</v>
      </c>
      <c r="K1546">
        <v>9959</v>
      </c>
      <c r="N1546">
        <v>9</v>
      </c>
    </row>
    <row r="1547" spans="2:14" hidden="1" x14ac:dyDescent="0.25">
      <c r="B1547" t="s">
        <v>198</v>
      </c>
      <c r="C1547" t="str">
        <f>_xlfn.XLOOKUP(B1547,Tabla2[CODIGO],Tabla2[MATERIAL],"N/A",0)</f>
        <v>Varilla cooperweld 2,4m</v>
      </c>
      <c r="D1547">
        <v>1</v>
      </c>
      <c r="E1547" t="s">
        <v>42</v>
      </c>
      <c r="F1547" t="s">
        <v>62</v>
      </c>
      <c r="I1547" s="2"/>
      <c r="J1547" t="s">
        <v>166</v>
      </c>
      <c r="K1547">
        <v>9959</v>
      </c>
      <c r="N1547">
        <v>13</v>
      </c>
    </row>
    <row r="1548" spans="2:14" hidden="1" x14ac:dyDescent="0.25">
      <c r="B1548" t="s">
        <v>198</v>
      </c>
      <c r="C1548" t="str">
        <f>_xlfn.XLOOKUP(B1548,Tabla2[CODIGO],Tabla2[MATERIAL],"N/A",0)</f>
        <v>Varilla cooperweld 2,4m</v>
      </c>
      <c r="D1548">
        <v>1</v>
      </c>
      <c r="E1548" t="s">
        <v>42</v>
      </c>
      <c r="F1548" t="s">
        <v>62</v>
      </c>
      <c r="I1548" s="2"/>
      <c r="J1548" t="s">
        <v>166</v>
      </c>
      <c r="K1548">
        <v>9959</v>
      </c>
      <c r="N1548">
        <v>14</v>
      </c>
    </row>
    <row r="1549" spans="2:14" hidden="1" x14ac:dyDescent="0.25">
      <c r="B1549" t="s">
        <v>261</v>
      </c>
      <c r="C1549" t="str">
        <f>_xlfn.XLOOKUP(B1549,Tabla2[CODIGO],Tabla2[MATERIAL],"N/A",0)</f>
        <v>Abrazadera sin salida 6"</v>
      </c>
      <c r="D1549">
        <v>2</v>
      </c>
      <c r="E1549" t="s">
        <v>42</v>
      </c>
      <c r="F1549" t="s">
        <v>62</v>
      </c>
      <c r="I1549" s="2"/>
      <c r="J1549" t="s">
        <v>166</v>
      </c>
      <c r="K1549">
        <v>9960</v>
      </c>
      <c r="N1549">
        <v>1</v>
      </c>
    </row>
    <row r="1550" spans="2:14" hidden="1" x14ac:dyDescent="0.25">
      <c r="B1550" t="s">
        <v>450</v>
      </c>
      <c r="C1550" t="str">
        <f>_xlfn.XLOOKUP(B1550,Tabla2[CODIGO],Tabla2[MATERIAL],"N/A",0)</f>
        <v>Abrazadera sin salida 7"</v>
      </c>
      <c r="D1550">
        <v>2</v>
      </c>
      <c r="E1550" t="s">
        <v>42</v>
      </c>
      <c r="F1550" t="s">
        <v>62</v>
      </c>
      <c r="I1550" s="2"/>
      <c r="J1550" t="s">
        <v>166</v>
      </c>
      <c r="K1550">
        <v>9960</v>
      </c>
      <c r="N1550">
        <v>3</v>
      </c>
    </row>
    <row r="1551" spans="2:14" hidden="1" x14ac:dyDescent="0.25">
      <c r="B1551" t="s">
        <v>450</v>
      </c>
      <c r="C1551" t="str">
        <f>_xlfn.XLOOKUP(B1551,Tabla2[CODIGO],Tabla2[MATERIAL],"N/A",0)</f>
        <v>Abrazadera sin salida 7"</v>
      </c>
      <c r="D1551">
        <v>2</v>
      </c>
      <c r="E1551" t="s">
        <v>42</v>
      </c>
      <c r="F1551" t="s">
        <v>62</v>
      </c>
      <c r="I1551" s="2"/>
      <c r="J1551" t="s">
        <v>166</v>
      </c>
      <c r="K1551">
        <v>9960</v>
      </c>
      <c r="N1551">
        <v>5</v>
      </c>
    </row>
    <row r="1552" spans="2:14" hidden="1" x14ac:dyDescent="0.25">
      <c r="B1552" t="s">
        <v>450</v>
      </c>
      <c r="C1552" t="str">
        <f>_xlfn.XLOOKUP(B1552,Tabla2[CODIGO],Tabla2[MATERIAL],"N/A",0)</f>
        <v>Abrazadera sin salida 7"</v>
      </c>
      <c r="D1552">
        <v>2</v>
      </c>
      <c r="E1552" t="s">
        <v>42</v>
      </c>
      <c r="F1552" t="s">
        <v>62</v>
      </c>
      <c r="I1552" s="2"/>
      <c r="J1552" t="s">
        <v>166</v>
      </c>
      <c r="K1552">
        <v>9960</v>
      </c>
      <c r="N1552">
        <v>7</v>
      </c>
    </row>
    <row r="1553" spans="2:14" hidden="1" x14ac:dyDescent="0.25">
      <c r="B1553" t="s">
        <v>450</v>
      </c>
      <c r="C1553" t="str">
        <f>_xlfn.XLOOKUP(B1553,Tabla2[CODIGO],Tabla2[MATERIAL],"N/A",0)</f>
        <v>Abrazadera sin salida 7"</v>
      </c>
      <c r="D1553">
        <v>2</v>
      </c>
      <c r="E1553" t="s">
        <v>42</v>
      </c>
      <c r="F1553" t="s">
        <v>62</v>
      </c>
      <c r="I1553" s="2"/>
      <c r="J1553" t="s">
        <v>166</v>
      </c>
      <c r="K1553">
        <v>9960</v>
      </c>
      <c r="N1553">
        <v>9</v>
      </c>
    </row>
    <row r="1554" spans="2:14" hidden="1" x14ac:dyDescent="0.25">
      <c r="B1554" t="s">
        <v>450</v>
      </c>
      <c r="C1554" t="str">
        <f>_xlfn.XLOOKUP(B1554,Tabla2[CODIGO],Tabla2[MATERIAL],"N/A",0)</f>
        <v>Abrazadera sin salida 7"</v>
      </c>
      <c r="D1554">
        <v>2</v>
      </c>
      <c r="E1554" t="s">
        <v>42</v>
      </c>
      <c r="F1554" t="s">
        <v>62</v>
      </c>
      <c r="I1554" s="2"/>
      <c r="J1554" t="s">
        <v>166</v>
      </c>
      <c r="K1554">
        <v>9960</v>
      </c>
      <c r="N1554">
        <v>11</v>
      </c>
    </row>
    <row r="1555" spans="2:14" hidden="1" x14ac:dyDescent="0.25">
      <c r="B1555" t="s">
        <v>450</v>
      </c>
      <c r="C1555" t="str">
        <f>_xlfn.XLOOKUP(B1555,Tabla2[CODIGO],Tabla2[MATERIAL],"N/A",0)</f>
        <v>Abrazadera sin salida 7"</v>
      </c>
      <c r="D1555">
        <v>2</v>
      </c>
      <c r="E1555" t="s">
        <v>42</v>
      </c>
      <c r="F1555" t="s">
        <v>62</v>
      </c>
      <c r="I1555" s="2"/>
      <c r="J1555" t="s">
        <v>166</v>
      </c>
      <c r="K1555">
        <v>9960</v>
      </c>
      <c r="N1555">
        <v>13</v>
      </c>
    </row>
    <row r="1556" spans="2:14" hidden="1" x14ac:dyDescent="0.25">
      <c r="B1556" t="s">
        <v>450</v>
      </c>
      <c r="C1556" t="str">
        <f>_xlfn.XLOOKUP(B1556,Tabla2[CODIGO],Tabla2[MATERIAL],"N/A",0)</f>
        <v>Abrazadera sin salida 7"</v>
      </c>
      <c r="D1556">
        <v>2</v>
      </c>
      <c r="E1556" t="s">
        <v>42</v>
      </c>
      <c r="F1556" t="s">
        <v>62</v>
      </c>
      <c r="I1556" s="2"/>
      <c r="J1556" t="s">
        <v>166</v>
      </c>
      <c r="K1556">
        <v>9960</v>
      </c>
      <c r="N1556">
        <v>15</v>
      </c>
    </row>
    <row r="1557" spans="2:14" hidden="1" x14ac:dyDescent="0.25">
      <c r="B1557" t="s">
        <v>56</v>
      </c>
      <c r="C1557" t="str">
        <f>_xlfn.XLOOKUP(B1557,Tabla2[CODIGO],Tabla2[MATERIAL],"N/A",0)</f>
        <v>Aislador Carrreto</v>
      </c>
      <c r="D1557">
        <v>1</v>
      </c>
      <c r="E1557" t="s">
        <v>42</v>
      </c>
      <c r="F1557" t="s">
        <v>62</v>
      </c>
      <c r="I1557" s="2"/>
      <c r="J1557" t="s">
        <v>166</v>
      </c>
      <c r="K1557">
        <v>9960</v>
      </c>
      <c r="N1557">
        <v>5</v>
      </c>
    </row>
    <row r="1558" spans="2:14" hidden="1" x14ac:dyDescent="0.25">
      <c r="B1558" t="s">
        <v>319</v>
      </c>
      <c r="C1558" t="str">
        <f>_xlfn.XLOOKUP(B1558,Tabla2[CODIGO],Tabla2[MATERIAL],"N/A",0)</f>
        <v>alambre Cu thhn 14 verde</v>
      </c>
      <c r="D1558">
        <v>16</v>
      </c>
      <c r="E1558" t="s">
        <v>43</v>
      </c>
      <c r="F1558" t="s">
        <v>62</v>
      </c>
      <c r="I1558" s="2"/>
      <c r="J1558" t="s">
        <v>166</v>
      </c>
      <c r="K1558">
        <v>9960</v>
      </c>
      <c r="N1558">
        <v>9</v>
      </c>
    </row>
    <row r="1559" spans="2:14" hidden="1" x14ac:dyDescent="0.25">
      <c r="B1559" t="s">
        <v>319</v>
      </c>
      <c r="C1559" t="str">
        <f>_xlfn.XLOOKUP(B1559,Tabla2[CODIGO],Tabla2[MATERIAL],"N/A",0)</f>
        <v>alambre Cu thhn 14 verde</v>
      </c>
      <c r="D1559">
        <v>1</v>
      </c>
      <c r="E1559" t="s">
        <v>43</v>
      </c>
      <c r="F1559" t="s">
        <v>62</v>
      </c>
      <c r="I1559" s="2"/>
      <c r="J1559" t="s">
        <v>166</v>
      </c>
      <c r="K1559">
        <v>9960</v>
      </c>
      <c r="N1559">
        <v>10</v>
      </c>
    </row>
    <row r="1560" spans="2:14" hidden="1" x14ac:dyDescent="0.25">
      <c r="B1560" t="s">
        <v>319</v>
      </c>
      <c r="C1560" t="str">
        <f>_xlfn.XLOOKUP(B1560,Tabla2[CODIGO],Tabla2[MATERIAL],"N/A",0)</f>
        <v>alambre Cu thhn 14 verde</v>
      </c>
      <c r="D1560">
        <v>14</v>
      </c>
      <c r="E1560" t="s">
        <v>43</v>
      </c>
      <c r="F1560" t="s">
        <v>62</v>
      </c>
      <c r="I1560" s="2"/>
      <c r="J1560" t="s">
        <v>166</v>
      </c>
      <c r="K1560">
        <v>9960</v>
      </c>
      <c r="N1560">
        <v>13</v>
      </c>
    </row>
    <row r="1561" spans="2:14" hidden="1" x14ac:dyDescent="0.25">
      <c r="B1561" t="s">
        <v>318</v>
      </c>
      <c r="C1561" t="str">
        <f>_xlfn.XLOOKUP(B1561,Tabla2[CODIGO],Tabla2[MATERIAL],"N/A",0)</f>
        <v>Cable AL aa-8000 4 awg</v>
      </c>
      <c r="D1561">
        <v>38</v>
      </c>
      <c r="E1561" t="s">
        <v>43</v>
      </c>
      <c r="F1561" t="s">
        <v>62</v>
      </c>
      <c r="I1561" s="2"/>
      <c r="J1561" t="s">
        <v>166</v>
      </c>
      <c r="K1561">
        <v>9960</v>
      </c>
      <c r="N1561">
        <v>8</v>
      </c>
    </row>
    <row r="1562" spans="2:14" hidden="1" x14ac:dyDescent="0.25">
      <c r="B1562" t="s">
        <v>318</v>
      </c>
      <c r="C1562" t="str">
        <f>_xlfn.XLOOKUP(B1562,Tabla2[CODIGO],Tabla2[MATERIAL],"N/A",0)</f>
        <v>Cable AL aa-8000 4 awg</v>
      </c>
      <c r="D1562">
        <v>32</v>
      </c>
      <c r="E1562" t="s">
        <v>43</v>
      </c>
      <c r="F1562" t="s">
        <v>62</v>
      </c>
      <c r="I1562" s="2"/>
      <c r="J1562" t="s">
        <v>166</v>
      </c>
      <c r="K1562">
        <v>9960</v>
      </c>
      <c r="N1562">
        <v>9</v>
      </c>
    </row>
    <row r="1563" spans="2:14" hidden="1" x14ac:dyDescent="0.25">
      <c r="B1563" t="s">
        <v>318</v>
      </c>
      <c r="C1563" t="str">
        <f>_xlfn.XLOOKUP(B1563,Tabla2[CODIGO],Tabla2[MATERIAL],"N/A",0)</f>
        <v>Cable AL aa-8000 4 awg</v>
      </c>
      <c r="D1563">
        <v>54</v>
      </c>
      <c r="E1563" t="s">
        <v>43</v>
      </c>
      <c r="F1563" t="s">
        <v>62</v>
      </c>
      <c r="I1563" s="2"/>
      <c r="J1563" t="s">
        <v>166</v>
      </c>
      <c r="K1563">
        <v>9960</v>
      </c>
      <c r="N1563">
        <v>14</v>
      </c>
    </row>
    <row r="1564" spans="2:14" hidden="1" x14ac:dyDescent="0.25">
      <c r="B1564" t="s">
        <v>21</v>
      </c>
      <c r="C1564" t="str">
        <f>_xlfn.XLOOKUP(B1564,Tabla2[CODIGO],Tabla2[MATERIAL],"N/A",0)</f>
        <v>Cable Encauchetado 3x14 pvc</v>
      </c>
      <c r="D1564">
        <v>10</v>
      </c>
      <c r="E1564" t="s">
        <v>43</v>
      </c>
      <c r="F1564" t="s">
        <v>62</v>
      </c>
      <c r="I1564" s="2"/>
      <c r="J1564" t="s">
        <v>166</v>
      </c>
      <c r="K1564">
        <v>9960</v>
      </c>
      <c r="N1564">
        <v>11</v>
      </c>
    </row>
    <row r="1565" spans="2:14" hidden="1" x14ac:dyDescent="0.25">
      <c r="B1565" t="s">
        <v>21</v>
      </c>
      <c r="C1565" t="str">
        <f>_xlfn.XLOOKUP(B1565,Tabla2[CODIGO],Tabla2[MATERIAL],"N/A",0)</f>
        <v>Cable Encauchetado 3x14 pvc</v>
      </c>
      <c r="D1565">
        <v>10</v>
      </c>
      <c r="E1565" t="s">
        <v>43</v>
      </c>
      <c r="F1565" t="s">
        <v>62</v>
      </c>
      <c r="I1565" s="2"/>
      <c r="J1565" t="s">
        <v>166</v>
      </c>
      <c r="K1565">
        <v>9960</v>
      </c>
      <c r="N1565">
        <v>13</v>
      </c>
    </row>
    <row r="1566" spans="2:14" hidden="1" x14ac:dyDescent="0.25">
      <c r="B1566" t="s">
        <v>21</v>
      </c>
      <c r="C1566" t="str">
        <f>_xlfn.XLOOKUP(B1566,Tabla2[CODIGO],Tabla2[MATERIAL],"N/A",0)</f>
        <v>Cable Encauchetado 3x14 pvc</v>
      </c>
      <c r="D1566">
        <v>10</v>
      </c>
      <c r="E1566" t="s">
        <v>43</v>
      </c>
      <c r="F1566" t="s">
        <v>62</v>
      </c>
      <c r="I1566" s="2"/>
      <c r="J1566" t="s">
        <v>166</v>
      </c>
      <c r="K1566">
        <v>9960</v>
      </c>
      <c r="N1566">
        <v>15</v>
      </c>
    </row>
    <row r="1567" spans="2:14" hidden="1" x14ac:dyDescent="0.25">
      <c r="B1567" t="s">
        <v>241</v>
      </c>
      <c r="C1567" t="str">
        <f>_xlfn.XLOOKUP(B1567,Tabla2[CODIGO],Tabla2[MATERIAL],"N/A",0)</f>
        <v>capacete tuberia imc 3/4"</v>
      </c>
      <c r="D1567">
        <v>1</v>
      </c>
      <c r="E1567" t="s">
        <v>42</v>
      </c>
      <c r="F1567" t="s">
        <v>62</v>
      </c>
      <c r="I1567" s="2"/>
      <c r="J1567" t="s">
        <v>166</v>
      </c>
      <c r="K1567">
        <v>9960</v>
      </c>
      <c r="N1567">
        <v>7</v>
      </c>
    </row>
    <row r="1568" spans="2:14" hidden="1" x14ac:dyDescent="0.25">
      <c r="B1568" t="s">
        <v>241</v>
      </c>
      <c r="C1568" t="str">
        <f>_xlfn.XLOOKUP(B1568,Tabla2[CODIGO],Tabla2[MATERIAL],"N/A",0)</f>
        <v>capacete tuberia imc 3/4"</v>
      </c>
      <c r="D1568">
        <v>1</v>
      </c>
      <c r="E1568" t="s">
        <v>42</v>
      </c>
      <c r="F1568" t="s">
        <v>62</v>
      </c>
      <c r="I1568" s="2"/>
      <c r="J1568" t="s">
        <v>166</v>
      </c>
      <c r="K1568">
        <v>9960</v>
      </c>
      <c r="N1568">
        <v>13</v>
      </c>
    </row>
    <row r="1569" spans="2:14" hidden="1" x14ac:dyDescent="0.25">
      <c r="B1569" t="s">
        <v>241</v>
      </c>
      <c r="C1569" t="str">
        <f>_xlfn.XLOOKUP(B1569,Tabla2[CODIGO],Tabla2[MATERIAL],"N/A",0)</f>
        <v>capacete tuberia imc 3/4"</v>
      </c>
      <c r="D1569">
        <v>1</v>
      </c>
      <c r="E1569" t="s">
        <v>42</v>
      </c>
      <c r="F1569" t="s">
        <v>62</v>
      </c>
      <c r="I1569" s="2"/>
      <c r="J1569" t="s">
        <v>166</v>
      </c>
      <c r="K1569">
        <v>9960</v>
      </c>
      <c r="N1569">
        <v>15</v>
      </c>
    </row>
    <row r="1570" spans="2:14" hidden="1" x14ac:dyDescent="0.25">
      <c r="B1570" t="s">
        <v>36</v>
      </c>
      <c r="C1570" t="str">
        <f>_xlfn.XLOOKUP(B1570,Tabla2[CODIGO],Tabla2[MATERIAL],"N/A",0)</f>
        <v>Cinta Bandit 1/2"</v>
      </c>
      <c r="D1570">
        <v>3</v>
      </c>
      <c r="E1570" t="s">
        <v>42</v>
      </c>
      <c r="F1570" t="s">
        <v>62</v>
      </c>
      <c r="I1570" s="2"/>
      <c r="J1570" t="s">
        <v>166</v>
      </c>
      <c r="K1570">
        <v>9960</v>
      </c>
      <c r="N1570">
        <v>7</v>
      </c>
    </row>
    <row r="1571" spans="2:14" hidden="1" x14ac:dyDescent="0.25">
      <c r="B1571" t="s">
        <v>36</v>
      </c>
      <c r="C1571" t="str">
        <f>_xlfn.XLOOKUP(B1571,Tabla2[CODIGO],Tabla2[MATERIAL],"N/A",0)</f>
        <v>Cinta Bandit 1/2"</v>
      </c>
      <c r="D1571">
        <v>3</v>
      </c>
      <c r="E1571" t="s">
        <v>42</v>
      </c>
      <c r="F1571" t="s">
        <v>62</v>
      </c>
      <c r="I1571" s="2"/>
      <c r="J1571" t="s">
        <v>166</v>
      </c>
      <c r="K1571">
        <v>9960</v>
      </c>
      <c r="N1571">
        <v>9</v>
      </c>
    </row>
    <row r="1572" spans="2:14" hidden="1" x14ac:dyDescent="0.25">
      <c r="B1572" t="s">
        <v>36</v>
      </c>
      <c r="C1572" t="str">
        <f>_xlfn.XLOOKUP(B1572,Tabla2[CODIGO],Tabla2[MATERIAL],"N/A",0)</f>
        <v>Cinta Bandit 1/2"</v>
      </c>
      <c r="D1572">
        <v>4</v>
      </c>
      <c r="E1572" t="s">
        <v>42</v>
      </c>
      <c r="F1572" t="s">
        <v>62</v>
      </c>
      <c r="I1572" s="2"/>
      <c r="J1572" t="s">
        <v>166</v>
      </c>
      <c r="K1572">
        <v>9960</v>
      </c>
      <c r="N1572">
        <v>11</v>
      </c>
    </row>
    <row r="1573" spans="2:14" hidden="1" x14ac:dyDescent="0.25">
      <c r="B1573" t="s">
        <v>36</v>
      </c>
      <c r="C1573" t="str">
        <f>_xlfn.XLOOKUP(B1573,Tabla2[CODIGO],Tabla2[MATERIAL],"N/A",0)</f>
        <v>Cinta Bandit 1/2"</v>
      </c>
      <c r="D1573">
        <v>4</v>
      </c>
      <c r="E1573" t="s">
        <v>42</v>
      </c>
      <c r="F1573" t="s">
        <v>62</v>
      </c>
      <c r="I1573" s="2"/>
      <c r="J1573" t="s">
        <v>166</v>
      </c>
      <c r="K1573">
        <v>9960</v>
      </c>
      <c r="N1573">
        <v>13</v>
      </c>
    </row>
    <row r="1574" spans="2:14" hidden="1" x14ac:dyDescent="0.25">
      <c r="B1574" t="s">
        <v>36</v>
      </c>
      <c r="C1574" t="str">
        <f>_xlfn.XLOOKUP(B1574,Tabla2[CODIGO],Tabla2[MATERIAL],"N/A",0)</f>
        <v>Cinta Bandit 1/2"</v>
      </c>
      <c r="D1574">
        <v>4</v>
      </c>
      <c r="E1574" t="s">
        <v>42</v>
      </c>
      <c r="F1574" t="s">
        <v>62</v>
      </c>
      <c r="I1574" s="2"/>
      <c r="J1574" t="s">
        <v>166</v>
      </c>
      <c r="K1574">
        <v>9960</v>
      </c>
      <c r="N1574">
        <v>15</v>
      </c>
    </row>
    <row r="1575" spans="2:14" hidden="1" x14ac:dyDescent="0.25">
      <c r="B1575" t="s">
        <v>53</v>
      </c>
      <c r="C1575" t="str">
        <f>_xlfn.XLOOKUP(B1575,Tabla2[CODIGO],Tabla2[MATERIAL],"N/A",0)</f>
        <v>Conector de Perforacion ais kz-ep (EP95) pequeño</v>
      </c>
      <c r="D1575">
        <v>3</v>
      </c>
      <c r="E1575" t="s">
        <v>42</v>
      </c>
      <c r="F1575" t="s">
        <v>62</v>
      </c>
      <c r="I1575" s="2"/>
      <c r="J1575" t="s">
        <v>166</v>
      </c>
      <c r="K1575">
        <v>9960</v>
      </c>
      <c r="N1575">
        <v>3</v>
      </c>
    </row>
    <row r="1576" spans="2:14" hidden="1" x14ac:dyDescent="0.25">
      <c r="B1576" t="s">
        <v>53</v>
      </c>
      <c r="C1576" t="str">
        <f>_xlfn.XLOOKUP(B1576,Tabla2[CODIGO],Tabla2[MATERIAL],"N/A",0)</f>
        <v>Conector de Perforacion ais kz-ep (EP95) pequeño</v>
      </c>
      <c r="D1576">
        <v>8</v>
      </c>
      <c r="E1576" t="s">
        <v>42</v>
      </c>
      <c r="F1576" t="s">
        <v>62</v>
      </c>
      <c r="I1576" s="2"/>
      <c r="J1576" t="s">
        <v>166</v>
      </c>
      <c r="K1576">
        <v>9960</v>
      </c>
      <c r="N1576">
        <v>7</v>
      </c>
    </row>
    <row r="1577" spans="2:14" hidden="1" x14ac:dyDescent="0.25">
      <c r="B1577" t="s">
        <v>53</v>
      </c>
      <c r="C1577" t="str">
        <f>_xlfn.XLOOKUP(B1577,Tabla2[CODIGO],Tabla2[MATERIAL],"N/A",0)</f>
        <v>Conector de Perforacion ais kz-ep (EP95) pequeño</v>
      </c>
      <c r="D1577">
        <v>6</v>
      </c>
      <c r="E1577" t="s">
        <v>42</v>
      </c>
      <c r="F1577" t="s">
        <v>62</v>
      </c>
      <c r="I1577" s="2"/>
      <c r="J1577" t="s">
        <v>166</v>
      </c>
      <c r="K1577">
        <v>9960</v>
      </c>
      <c r="N1577">
        <v>10</v>
      </c>
    </row>
    <row r="1578" spans="2:14" hidden="1" x14ac:dyDescent="0.25">
      <c r="B1578" t="s">
        <v>53</v>
      </c>
      <c r="C1578" t="str">
        <f>_xlfn.XLOOKUP(B1578,Tabla2[CODIGO],Tabla2[MATERIAL],"N/A",0)</f>
        <v>Conector de Perforacion ais kz-ep (EP95) pequeño</v>
      </c>
      <c r="D1578">
        <v>2</v>
      </c>
      <c r="E1578" t="s">
        <v>42</v>
      </c>
      <c r="F1578" t="s">
        <v>62</v>
      </c>
      <c r="I1578" s="2"/>
      <c r="J1578" t="s">
        <v>166</v>
      </c>
      <c r="K1578">
        <v>9960</v>
      </c>
      <c r="N1578">
        <v>11</v>
      </c>
    </row>
    <row r="1579" spans="2:14" hidden="1" x14ac:dyDescent="0.25">
      <c r="B1579" t="s">
        <v>53</v>
      </c>
      <c r="C1579" t="str">
        <f>_xlfn.XLOOKUP(B1579,Tabla2[CODIGO],Tabla2[MATERIAL],"N/A",0)</f>
        <v>Conector de Perforacion ais kz-ep (EP95) pequeño</v>
      </c>
      <c r="D1579">
        <v>2</v>
      </c>
      <c r="E1579" t="s">
        <v>42</v>
      </c>
      <c r="F1579" t="s">
        <v>62</v>
      </c>
      <c r="I1579" s="2"/>
      <c r="J1579" t="s">
        <v>166</v>
      </c>
      <c r="K1579">
        <v>9960</v>
      </c>
      <c r="N1579">
        <v>13</v>
      </c>
    </row>
    <row r="1580" spans="2:14" hidden="1" x14ac:dyDescent="0.25">
      <c r="B1580" t="s">
        <v>53</v>
      </c>
      <c r="C1580" t="str">
        <f>_xlfn.XLOOKUP(B1580,Tabla2[CODIGO],Tabla2[MATERIAL],"N/A",0)</f>
        <v>Conector de Perforacion ais kz-ep (EP95) pequeño</v>
      </c>
      <c r="D1580">
        <v>3</v>
      </c>
      <c r="E1580" t="s">
        <v>42</v>
      </c>
      <c r="F1580" t="s">
        <v>62</v>
      </c>
      <c r="I1580" s="2"/>
      <c r="J1580" t="s">
        <v>166</v>
      </c>
      <c r="K1580">
        <v>9960</v>
      </c>
      <c r="N1580">
        <v>15</v>
      </c>
    </row>
    <row r="1581" spans="2:14" hidden="1" x14ac:dyDescent="0.25">
      <c r="B1581" t="s">
        <v>210</v>
      </c>
      <c r="C1581" t="str">
        <f>_xlfn.XLOOKUP(B1581,Tabla2[CODIGO],Tabla2[MATERIAL],"N/A",0)</f>
        <v>Conector Varilla cooperw.</v>
      </c>
      <c r="D1581">
        <v>1</v>
      </c>
      <c r="E1581" t="s">
        <v>42</v>
      </c>
      <c r="F1581" t="s">
        <v>62</v>
      </c>
      <c r="I1581" s="2"/>
      <c r="J1581" t="s">
        <v>166</v>
      </c>
      <c r="K1581">
        <v>9960</v>
      </c>
      <c r="N1581">
        <v>7</v>
      </c>
    </row>
    <row r="1582" spans="2:14" hidden="1" x14ac:dyDescent="0.25">
      <c r="B1582" t="s">
        <v>210</v>
      </c>
      <c r="C1582" t="str">
        <f>_xlfn.XLOOKUP(B1582,Tabla2[CODIGO],Tabla2[MATERIAL],"N/A",0)</f>
        <v>Conector Varilla cooperw.</v>
      </c>
      <c r="D1582">
        <v>1</v>
      </c>
      <c r="E1582" t="s">
        <v>42</v>
      </c>
      <c r="F1582" t="s">
        <v>62</v>
      </c>
      <c r="I1582" s="2"/>
      <c r="J1582" t="s">
        <v>166</v>
      </c>
      <c r="K1582">
        <v>9960</v>
      </c>
      <c r="N1582">
        <v>11</v>
      </c>
    </row>
    <row r="1583" spans="2:14" hidden="1" x14ac:dyDescent="0.25">
      <c r="B1583" t="s">
        <v>210</v>
      </c>
      <c r="C1583" t="str">
        <f>_xlfn.XLOOKUP(B1583,Tabla2[CODIGO],Tabla2[MATERIAL],"N/A",0)</f>
        <v>Conector Varilla cooperw.</v>
      </c>
      <c r="D1583">
        <v>1</v>
      </c>
      <c r="E1583" t="s">
        <v>42</v>
      </c>
      <c r="F1583" t="s">
        <v>62</v>
      </c>
      <c r="I1583" s="2"/>
      <c r="J1583" t="s">
        <v>166</v>
      </c>
      <c r="K1583">
        <v>9960</v>
      </c>
      <c r="N1583">
        <v>13</v>
      </c>
    </row>
    <row r="1584" spans="2:14" hidden="1" x14ac:dyDescent="0.25">
      <c r="B1584" t="s">
        <v>54</v>
      </c>
      <c r="C1584" t="str">
        <f>_xlfn.XLOOKUP(B1584,Tabla2[CODIGO],Tabla2[MATERIAL],"N/A",0)</f>
        <v>Conector resorte 18-8</v>
      </c>
      <c r="D1584">
        <v>3</v>
      </c>
      <c r="E1584" t="s">
        <v>42</v>
      </c>
      <c r="F1584" t="s">
        <v>62</v>
      </c>
      <c r="I1584" s="2"/>
      <c r="J1584" t="s">
        <v>166</v>
      </c>
      <c r="K1584">
        <v>9960</v>
      </c>
      <c r="N1584">
        <v>9</v>
      </c>
    </row>
    <row r="1585" spans="2:14" hidden="1" x14ac:dyDescent="0.25">
      <c r="B1585" t="s">
        <v>54</v>
      </c>
      <c r="C1585" t="str">
        <f>_xlfn.XLOOKUP(B1585,Tabla2[CODIGO],Tabla2[MATERIAL],"N/A",0)</f>
        <v>Conector resorte 18-8</v>
      </c>
      <c r="D1585">
        <v>3</v>
      </c>
      <c r="E1585" t="s">
        <v>42</v>
      </c>
      <c r="F1585" t="s">
        <v>62</v>
      </c>
      <c r="I1585" s="2"/>
      <c r="J1585" t="s">
        <v>166</v>
      </c>
      <c r="K1585">
        <v>9960</v>
      </c>
      <c r="N1585">
        <v>11</v>
      </c>
    </row>
    <row r="1586" spans="2:14" hidden="1" x14ac:dyDescent="0.25">
      <c r="B1586" t="s">
        <v>54</v>
      </c>
      <c r="C1586" t="str">
        <f>_xlfn.XLOOKUP(B1586,Tabla2[CODIGO],Tabla2[MATERIAL],"N/A",0)</f>
        <v>Conector resorte 18-8</v>
      </c>
      <c r="D1586">
        <v>3</v>
      </c>
      <c r="E1586" t="s">
        <v>42</v>
      </c>
      <c r="F1586" t="s">
        <v>62</v>
      </c>
      <c r="I1586" s="2"/>
      <c r="J1586" t="s">
        <v>166</v>
      </c>
      <c r="K1586">
        <v>9960</v>
      </c>
      <c r="N1586">
        <v>13</v>
      </c>
    </row>
    <row r="1587" spans="2:14" hidden="1" x14ac:dyDescent="0.25">
      <c r="B1587" t="s">
        <v>250</v>
      </c>
      <c r="C1587" t="str">
        <f>_xlfn.XLOOKUP(B1587,Tabla2[CODIGO],Tabla2[MATERIAL],"N/A",0)</f>
        <v>Cruceta Metalica 3*3x 1/4</v>
      </c>
      <c r="D1587">
        <v>2</v>
      </c>
      <c r="E1587" t="s">
        <v>42</v>
      </c>
      <c r="F1587" t="s">
        <v>62</v>
      </c>
      <c r="I1587" s="2"/>
      <c r="J1587" t="s">
        <v>166</v>
      </c>
      <c r="K1587">
        <v>9960</v>
      </c>
      <c r="N1587">
        <v>10</v>
      </c>
    </row>
    <row r="1588" spans="2:14" hidden="1" x14ac:dyDescent="0.25">
      <c r="B1588" t="s">
        <v>76</v>
      </c>
      <c r="C1588" t="str">
        <f>_xlfn.XLOOKUP(B1588,Tabla2[CODIGO],Tabla2[MATERIAL],"N/A",0)</f>
        <v>Empalme gel ppal 8-4/0 a der 14-2/0 awg (grande)</v>
      </c>
      <c r="D1588">
        <v>4</v>
      </c>
      <c r="E1588" t="s">
        <v>42</v>
      </c>
      <c r="F1588" t="s">
        <v>62</v>
      </c>
      <c r="I1588" s="2"/>
      <c r="J1588" t="s">
        <v>166</v>
      </c>
      <c r="K1588">
        <v>9960</v>
      </c>
      <c r="N1588">
        <v>1</v>
      </c>
    </row>
    <row r="1589" spans="2:14" hidden="1" x14ac:dyDescent="0.25">
      <c r="B1589" t="s">
        <v>76</v>
      </c>
      <c r="C1589" t="str">
        <f>_xlfn.XLOOKUP(B1589,Tabla2[CODIGO],Tabla2[MATERIAL],"N/A",0)</f>
        <v>Empalme gel ppal 8-4/0 a der 14-2/0 awg (grande)</v>
      </c>
      <c r="D1589">
        <v>2</v>
      </c>
      <c r="E1589" t="s">
        <v>42</v>
      </c>
      <c r="F1589" t="s">
        <v>62</v>
      </c>
      <c r="I1589" s="2"/>
      <c r="J1589" t="s">
        <v>166</v>
      </c>
      <c r="K1589">
        <v>9960</v>
      </c>
      <c r="N1589">
        <v>7</v>
      </c>
    </row>
    <row r="1590" spans="2:14" hidden="1" x14ac:dyDescent="0.25">
      <c r="B1590" t="s">
        <v>76</v>
      </c>
      <c r="C1590" t="str">
        <f>_xlfn.XLOOKUP(B1590,Tabla2[CODIGO],Tabla2[MATERIAL],"N/A",0)</f>
        <v>Empalme gel ppal 8-4/0 a der 14-2/0 awg (grande)</v>
      </c>
      <c r="D1590">
        <v>2</v>
      </c>
      <c r="E1590" t="s">
        <v>42</v>
      </c>
      <c r="F1590" t="s">
        <v>62</v>
      </c>
      <c r="I1590" s="2"/>
      <c r="J1590" t="s">
        <v>166</v>
      </c>
      <c r="K1590">
        <v>9960</v>
      </c>
      <c r="N1590">
        <v>11</v>
      </c>
    </row>
    <row r="1591" spans="2:14" hidden="1" x14ac:dyDescent="0.25">
      <c r="B1591" t="s">
        <v>76</v>
      </c>
      <c r="C1591" t="str">
        <f>_xlfn.XLOOKUP(B1591,Tabla2[CODIGO],Tabla2[MATERIAL],"N/A",0)</f>
        <v>Empalme gel ppal 8-4/0 a der 14-2/0 awg (grande)</v>
      </c>
      <c r="D1591">
        <v>2</v>
      </c>
      <c r="E1591" t="s">
        <v>42</v>
      </c>
      <c r="F1591" t="s">
        <v>62</v>
      </c>
      <c r="I1591" s="2"/>
      <c r="J1591" t="s">
        <v>166</v>
      </c>
      <c r="K1591">
        <v>9960</v>
      </c>
      <c r="N1591">
        <v>13</v>
      </c>
    </row>
    <row r="1592" spans="2:14" hidden="1" x14ac:dyDescent="0.25">
      <c r="B1592" t="s">
        <v>76</v>
      </c>
      <c r="C1592" t="str">
        <f>_xlfn.XLOOKUP(B1592,Tabla2[CODIGO],Tabla2[MATERIAL],"N/A",0)</f>
        <v>Empalme gel ppal 8-4/0 a der 14-2/0 awg (grande)</v>
      </c>
      <c r="D1592">
        <v>2</v>
      </c>
      <c r="E1592" t="s">
        <v>42</v>
      </c>
      <c r="F1592" t="s">
        <v>62</v>
      </c>
      <c r="I1592" s="2"/>
      <c r="J1592" t="s">
        <v>166</v>
      </c>
      <c r="K1592">
        <v>9960</v>
      </c>
      <c r="N1592">
        <v>13</v>
      </c>
    </row>
    <row r="1593" spans="2:14" hidden="1" x14ac:dyDescent="0.25">
      <c r="B1593" t="s">
        <v>60</v>
      </c>
      <c r="C1593" t="str">
        <f>_xlfn.XLOOKUP(B1593,Tabla2[CODIGO],Tabla2[MATERIAL],"N/A",0)</f>
        <v>Fotocelda</v>
      </c>
      <c r="D1593">
        <v>1</v>
      </c>
      <c r="E1593" t="s">
        <v>42</v>
      </c>
      <c r="F1593" t="s">
        <v>62</v>
      </c>
      <c r="I1593" s="2"/>
      <c r="J1593" t="s">
        <v>166</v>
      </c>
      <c r="K1593">
        <v>9960</v>
      </c>
      <c r="N1593">
        <v>1</v>
      </c>
    </row>
    <row r="1594" spans="2:14" hidden="1" x14ac:dyDescent="0.25">
      <c r="B1594" t="s">
        <v>60</v>
      </c>
      <c r="C1594" t="str">
        <f>_xlfn.XLOOKUP(B1594,Tabla2[CODIGO],Tabla2[MATERIAL],"N/A",0)</f>
        <v>Fotocelda</v>
      </c>
      <c r="D1594">
        <v>1</v>
      </c>
      <c r="E1594" t="s">
        <v>42</v>
      </c>
      <c r="F1594" t="s">
        <v>62</v>
      </c>
      <c r="I1594" s="2"/>
      <c r="J1594" t="s">
        <v>166</v>
      </c>
      <c r="K1594">
        <v>9960</v>
      </c>
      <c r="N1594">
        <v>2</v>
      </c>
    </row>
    <row r="1595" spans="2:14" hidden="1" x14ac:dyDescent="0.25">
      <c r="B1595" t="s">
        <v>60</v>
      </c>
      <c r="C1595" t="str">
        <f>_xlfn.XLOOKUP(B1595,Tabla2[CODIGO],Tabla2[MATERIAL],"N/A",0)</f>
        <v>Fotocelda</v>
      </c>
      <c r="D1595">
        <v>1</v>
      </c>
      <c r="E1595" t="s">
        <v>42</v>
      </c>
      <c r="F1595" t="s">
        <v>62</v>
      </c>
      <c r="I1595" s="2"/>
      <c r="J1595" t="s">
        <v>166</v>
      </c>
      <c r="K1595">
        <v>9960</v>
      </c>
      <c r="N1595">
        <v>3</v>
      </c>
    </row>
    <row r="1596" spans="2:14" hidden="1" x14ac:dyDescent="0.25">
      <c r="B1596" t="s">
        <v>60</v>
      </c>
      <c r="C1596" t="str">
        <f>_xlfn.XLOOKUP(B1596,Tabla2[CODIGO],Tabla2[MATERIAL],"N/A",0)</f>
        <v>Fotocelda</v>
      </c>
      <c r="D1596">
        <v>1</v>
      </c>
      <c r="E1596" t="s">
        <v>42</v>
      </c>
      <c r="F1596" t="s">
        <v>62</v>
      </c>
      <c r="I1596" s="2"/>
      <c r="J1596" t="s">
        <v>166</v>
      </c>
      <c r="K1596">
        <v>9960</v>
      </c>
      <c r="N1596">
        <v>4</v>
      </c>
    </row>
    <row r="1597" spans="2:14" hidden="1" x14ac:dyDescent="0.25">
      <c r="B1597" t="s">
        <v>60</v>
      </c>
      <c r="C1597" t="str">
        <f>_xlfn.XLOOKUP(B1597,Tabla2[CODIGO],Tabla2[MATERIAL],"N/A",0)</f>
        <v>Fotocelda</v>
      </c>
      <c r="D1597">
        <v>1</v>
      </c>
      <c r="E1597" t="s">
        <v>42</v>
      </c>
      <c r="F1597" t="s">
        <v>62</v>
      </c>
      <c r="I1597" s="2"/>
      <c r="J1597" t="s">
        <v>166</v>
      </c>
      <c r="K1597">
        <v>9960</v>
      </c>
      <c r="N1597">
        <v>5</v>
      </c>
    </row>
    <row r="1598" spans="2:14" hidden="1" x14ac:dyDescent="0.25">
      <c r="B1598" t="s">
        <v>60</v>
      </c>
      <c r="C1598" t="str">
        <f>_xlfn.XLOOKUP(B1598,Tabla2[CODIGO],Tabla2[MATERIAL],"N/A",0)</f>
        <v>Fotocelda</v>
      </c>
      <c r="D1598">
        <v>1</v>
      </c>
      <c r="E1598" t="s">
        <v>42</v>
      </c>
      <c r="F1598" t="s">
        <v>62</v>
      </c>
      <c r="I1598" s="2"/>
      <c r="J1598" t="s">
        <v>166</v>
      </c>
      <c r="K1598">
        <v>9960</v>
      </c>
      <c r="N1598">
        <v>6</v>
      </c>
    </row>
    <row r="1599" spans="2:14" hidden="1" x14ac:dyDescent="0.25">
      <c r="B1599" t="s">
        <v>60</v>
      </c>
      <c r="C1599" t="str">
        <f>_xlfn.XLOOKUP(B1599,Tabla2[CODIGO],Tabla2[MATERIAL],"N/A",0)</f>
        <v>Fotocelda</v>
      </c>
      <c r="D1599">
        <v>1</v>
      </c>
      <c r="E1599" t="s">
        <v>42</v>
      </c>
      <c r="F1599" t="s">
        <v>62</v>
      </c>
      <c r="I1599" s="2"/>
      <c r="J1599" t="s">
        <v>166</v>
      </c>
      <c r="K1599">
        <v>9960</v>
      </c>
      <c r="N1599">
        <v>7</v>
      </c>
    </row>
    <row r="1600" spans="2:14" hidden="1" x14ac:dyDescent="0.25">
      <c r="B1600" t="s">
        <v>60</v>
      </c>
      <c r="C1600" t="str">
        <f>_xlfn.XLOOKUP(B1600,Tabla2[CODIGO],Tabla2[MATERIAL],"N/A",0)</f>
        <v>Fotocelda</v>
      </c>
      <c r="D1600">
        <v>1</v>
      </c>
      <c r="E1600" t="s">
        <v>42</v>
      </c>
      <c r="F1600" t="s">
        <v>62</v>
      </c>
      <c r="I1600" s="2"/>
      <c r="J1600" t="s">
        <v>166</v>
      </c>
      <c r="K1600">
        <v>9960</v>
      </c>
      <c r="N1600">
        <v>8</v>
      </c>
    </row>
    <row r="1601" spans="2:14" hidden="1" x14ac:dyDescent="0.25">
      <c r="B1601" t="s">
        <v>60</v>
      </c>
      <c r="C1601" t="str">
        <f>_xlfn.XLOOKUP(B1601,Tabla2[CODIGO],Tabla2[MATERIAL],"N/A",0)</f>
        <v>Fotocelda</v>
      </c>
      <c r="D1601">
        <v>1</v>
      </c>
      <c r="E1601" t="s">
        <v>42</v>
      </c>
      <c r="F1601" t="s">
        <v>62</v>
      </c>
      <c r="I1601" s="2"/>
      <c r="J1601" t="s">
        <v>166</v>
      </c>
      <c r="K1601">
        <v>9960</v>
      </c>
      <c r="N1601">
        <v>9</v>
      </c>
    </row>
    <row r="1602" spans="2:14" hidden="1" x14ac:dyDescent="0.25">
      <c r="B1602" t="s">
        <v>60</v>
      </c>
      <c r="C1602" t="str">
        <f>_xlfn.XLOOKUP(B1602,Tabla2[CODIGO],Tabla2[MATERIAL],"N/A",0)</f>
        <v>Fotocelda</v>
      </c>
      <c r="D1602">
        <v>1</v>
      </c>
      <c r="E1602" t="s">
        <v>42</v>
      </c>
      <c r="F1602" t="s">
        <v>62</v>
      </c>
      <c r="I1602" s="2"/>
      <c r="J1602" t="s">
        <v>166</v>
      </c>
      <c r="K1602">
        <v>9960</v>
      </c>
      <c r="N1602">
        <v>10</v>
      </c>
    </row>
    <row r="1603" spans="2:14" hidden="1" x14ac:dyDescent="0.25">
      <c r="B1603" t="s">
        <v>60</v>
      </c>
      <c r="C1603" t="str">
        <f>_xlfn.XLOOKUP(B1603,Tabla2[CODIGO],Tabla2[MATERIAL],"N/A",0)</f>
        <v>Fotocelda</v>
      </c>
      <c r="D1603">
        <v>1</v>
      </c>
      <c r="E1603" t="s">
        <v>42</v>
      </c>
      <c r="F1603" t="s">
        <v>62</v>
      </c>
      <c r="I1603" s="2"/>
      <c r="J1603" t="s">
        <v>166</v>
      </c>
      <c r="K1603">
        <v>9960</v>
      </c>
      <c r="N1603">
        <v>11</v>
      </c>
    </row>
    <row r="1604" spans="2:14" hidden="1" x14ac:dyDescent="0.25">
      <c r="B1604" t="s">
        <v>60</v>
      </c>
      <c r="C1604" t="str">
        <f>_xlfn.XLOOKUP(B1604,Tabla2[CODIGO],Tabla2[MATERIAL],"N/A",0)</f>
        <v>Fotocelda</v>
      </c>
      <c r="D1604">
        <v>1</v>
      </c>
      <c r="E1604" t="s">
        <v>42</v>
      </c>
      <c r="F1604" t="s">
        <v>62</v>
      </c>
      <c r="I1604" s="2"/>
      <c r="J1604" t="s">
        <v>166</v>
      </c>
      <c r="K1604">
        <v>9960</v>
      </c>
      <c r="N1604">
        <v>12</v>
      </c>
    </row>
    <row r="1605" spans="2:14" hidden="1" x14ac:dyDescent="0.25">
      <c r="B1605" t="s">
        <v>60</v>
      </c>
      <c r="C1605" t="str">
        <f>_xlfn.XLOOKUP(B1605,Tabla2[CODIGO],Tabla2[MATERIAL],"N/A",0)</f>
        <v>Fotocelda</v>
      </c>
      <c r="D1605">
        <v>1</v>
      </c>
      <c r="E1605" t="s">
        <v>42</v>
      </c>
      <c r="F1605" t="s">
        <v>62</v>
      </c>
      <c r="I1605" s="2"/>
      <c r="J1605" t="s">
        <v>166</v>
      </c>
      <c r="K1605">
        <v>9960</v>
      </c>
      <c r="N1605">
        <v>13</v>
      </c>
    </row>
    <row r="1606" spans="2:14" hidden="1" x14ac:dyDescent="0.25">
      <c r="B1606" t="s">
        <v>60</v>
      </c>
      <c r="C1606" t="str">
        <f>_xlfn.XLOOKUP(B1606,Tabla2[CODIGO],Tabla2[MATERIAL],"N/A",0)</f>
        <v>Fotocelda</v>
      </c>
      <c r="D1606">
        <v>1</v>
      </c>
      <c r="E1606" t="s">
        <v>42</v>
      </c>
      <c r="F1606" t="s">
        <v>62</v>
      </c>
      <c r="I1606" s="2"/>
      <c r="J1606" t="s">
        <v>166</v>
      </c>
      <c r="K1606">
        <v>9960</v>
      </c>
      <c r="N1606">
        <v>14</v>
      </c>
    </row>
    <row r="1607" spans="2:14" hidden="1" x14ac:dyDescent="0.25">
      <c r="B1607" t="s">
        <v>60</v>
      </c>
      <c r="C1607" t="str">
        <f>_xlfn.XLOOKUP(B1607,Tabla2[CODIGO],Tabla2[MATERIAL],"N/A",0)</f>
        <v>Fotocelda</v>
      </c>
      <c r="D1607">
        <v>1</v>
      </c>
      <c r="E1607" t="s">
        <v>42</v>
      </c>
      <c r="F1607" t="s">
        <v>62</v>
      </c>
      <c r="I1607" s="2"/>
      <c r="J1607" t="s">
        <v>166</v>
      </c>
      <c r="K1607">
        <v>9960</v>
      </c>
      <c r="N1607">
        <v>15</v>
      </c>
    </row>
    <row r="1608" spans="2:14" hidden="1" x14ac:dyDescent="0.25">
      <c r="B1608" t="s">
        <v>60</v>
      </c>
      <c r="C1608" t="str">
        <f>_xlfn.XLOOKUP(B1608,Tabla2[CODIGO],Tabla2[MATERIAL],"N/A",0)</f>
        <v>Fotocelda</v>
      </c>
      <c r="D1608">
        <v>1</v>
      </c>
      <c r="E1608" t="s">
        <v>42</v>
      </c>
      <c r="F1608" t="s">
        <v>62</v>
      </c>
      <c r="I1608" s="2"/>
      <c r="J1608" t="s">
        <v>166</v>
      </c>
      <c r="K1608">
        <v>9960</v>
      </c>
      <c r="N1608">
        <v>16</v>
      </c>
    </row>
    <row r="1609" spans="2:14" hidden="1" x14ac:dyDescent="0.25">
      <c r="B1609" t="s">
        <v>212</v>
      </c>
      <c r="C1609" t="str">
        <f>_xlfn.XLOOKUP(B1609,Tabla2[CODIGO],Tabla2[MATERIAL],"N/A",0)</f>
        <v>Grillete galvanizado 1,1/2</v>
      </c>
      <c r="D1609">
        <v>2</v>
      </c>
      <c r="E1609" t="s">
        <v>42</v>
      </c>
      <c r="F1609" t="s">
        <v>62</v>
      </c>
      <c r="I1609" s="2"/>
      <c r="J1609" t="s">
        <v>166</v>
      </c>
      <c r="K1609">
        <v>9960</v>
      </c>
      <c r="N1609">
        <v>1</v>
      </c>
    </row>
    <row r="1610" spans="2:14" hidden="1" x14ac:dyDescent="0.25">
      <c r="B1610" t="s">
        <v>212</v>
      </c>
      <c r="C1610" t="str">
        <f>_xlfn.XLOOKUP(B1610,Tabla2[CODIGO],Tabla2[MATERIAL],"N/A",0)</f>
        <v>Grillete galvanizado 1,1/2</v>
      </c>
      <c r="D1610">
        <v>2</v>
      </c>
      <c r="E1610" t="s">
        <v>42</v>
      </c>
      <c r="F1610" t="s">
        <v>62</v>
      </c>
      <c r="I1610" s="2"/>
      <c r="J1610" t="s">
        <v>166</v>
      </c>
      <c r="K1610">
        <v>9960</v>
      </c>
      <c r="N1610">
        <v>2</v>
      </c>
    </row>
    <row r="1611" spans="2:14" hidden="1" x14ac:dyDescent="0.25">
      <c r="B1611" t="s">
        <v>212</v>
      </c>
      <c r="C1611" t="str">
        <f>_xlfn.XLOOKUP(B1611,Tabla2[CODIGO],Tabla2[MATERIAL],"N/A",0)</f>
        <v>Grillete galvanizado 1,1/2</v>
      </c>
      <c r="D1611">
        <v>2</v>
      </c>
      <c r="E1611" t="s">
        <v>42</v>
      </c>
      <c r="F1611" t="s">
        <v>62</v>
      </c>
      <c r="I1611" s="2"/>
      <c r="J1611" t="s">
        <v>166</v>
      </c>
      <c r="K1611">
        <v>9960</v>
      </c>
      <c r="N1611">
        <v>3</v>
      </c>
    </row>
    <row r="1612" spans="2:14" hidden="1" x14ac:dyDescent="0.25">
      <c r="B1612" t="s">
        <v>212</v>
      </c>
      <c r="C1612" t="str">
        <f>_xlfn.XLOOKUP(B1612,Tabla2[CODIGO],Tabla2[MATERIAL],"N/A",0)</f>
        <v>Grillete galvanizado 1,1/2</v>
      </c>
      <c r="D1612">
        <v>2</v>
      </c>
      <c r="E1612" t="s">
        <v>42</v>
      </c>
      <c r="F1612" t="s">
        <v>62</v>
      </c>
      <c r="I1612" s="2"/>
      <c r="J1612" t="s">
        <v>166</v>
      </c>
      <c r="K1612">
        <v>9960</v>
      </c>
      <c r="N1612">
        <v>4</v>
      </c>
    </row>
    <row r="1613" spans="2:14" hidden="1" x14ac:dyDescent="0.25">
      <c r="B1613" t="s">
        <v>212</v>
      </c>
      <c r="C1613" t="str">
        <f>_xlfn.XLOOKUP(B1613,Tabla2[CODIGO],Tabla2[MATERIAL],"N/A",0)</f>
        <v>Grillete galvanizado 1,1/2</v>
      </c>
      <c r="D1613">
        <v>2</v>
      </c>
      <c r="E1613" t="s">
        <v>42</v>
      </c>
      <c r="F1613" t="s">
        <v>62</v>
      </c>
      <c r="I1613" s="2"/>
      <c r="J1613" t="s">
        <v>166</v>
      </c>
      <c r="K1613">
        <v>9960</v>
      </c>
      <c r="N1613">
        <v>5</v>
      </c>
    </row>
    <row r="1614" spans="2:14" hidden="1" x14ac:dyDescent="0.25">
      <c r="B1614" t="s">
        <v>212</v>
      </c>
      <c r="C1614" t="str">
        <f>_xlfn.XLOOKUP(B1614,Tabla2[CODIGO],Tabla2[MATERIAL],"N/A",0)</f>
        <v>Grillete galvanizado 1,1/2</v>
      </c>
      <c r="D1614">
        <v>2</v>
      </c>
      <c r="E1614" t="s">
        <v>42</v>
      </c>
      <c r="F1614" t="s">
        <v>62</v>
      </c>
      <c r="I1614" s="2"/>
      <c r="J1614" t="s">
        <v>166</v>
      </c>
      <c r="K1614">
        <v>9960</v>
      </c>
      <c r="N1614">
        <v>6</v>
      </c>
    </row>
    <row r="1615" spans="2:14" hidden="1" x14ac:dyDescent="0.25">
      <c r="B1615" t="s">
        <v>212</v>
      </c>
      <c r="C1615" t="str">
        <f>_xlfn.XLOOKUP(B1615,Tabla2[CODIGO],Tabla2[MATERIAL],"N/A",0)</f>
        <v>Grillete galvanizado 1,1/2</v>
      </c>
      <c r="D1615">
        <v>2</v>
      </c>
      <c r="E1615" t="s">
        <v>42</v>
      </c>
      <c r="F1615" t="s">
        <v>62</v>
      </c>
      <c r="I1615" s="2"/>
      <c r="J1615" t="s">
        <v>166</v>
      </c>
      <c r="K1615">
        <v>9960</v>
      </c>
      <c r="N1615">
        <v>7</v>
      </c>
    </row>
    <row r="1616" spans="2:14" hidden="1" x14ac:dyDescent="0.25">
      <c r="B1616" t="s">
        <v>212</v>
      </c>
      <c r="C1616" t="str">
        <f>_xlfn.XLOOKUP(B1616,Tabla2[CODIGO],Tabla2[MATERIAL],"N/A",0)</f>
        <v>Grillete galvanizado 1,1/2</v>
      </c>
      <c r="D1616">
        <v>2</v>
      </c>
      <c r="E1616" t="s">
        <v>42</v>
      </c>
      <c r="F1616" t="s">
        <v>62</v>
      </c>
      <c r="I1616" s="2"/>
      <c r="J1616" t="s">
        <v>166</v>
      </c>
      <c r="K1616">
        <v>9960</v>
      </c>
      <c r="N1616">
        <v>8</v>
      </c>
    </row>
    <row r="1617" spans="2:14" hidden="1" x14ac:dyDescent="0.25">
      <c r="B1617" t="s">
        <v>212</v>
      </c>
      <c r="C1617" t="str">
        <f>_xlfn.XLOOKUP(B1617,Tabla2[CODIGO],Tabla2[MATERIAL],"N/A",0)</f>
        <v>Grillete galvanizado 1,1/2</v>
      </c>
      <c r="D1617">
        <v>2</v>
      </c>
      <c r="E1617" t="s">
        <v>42</v>
      </c>
      <c r="F1617" t="s">
        <v>62</v>
      </c>
      <c r="I1617" s="2"/>
      <c r="J1617" t="s">
        <v>166</v>
      </c>
      <c r="K1617">
        <v>9960</v>
      </c>
      <c r="N1617">
        <v>9</v>
      </c>
    </row>
    <row r="1618" spans="2:14" hidden="1" x14ac:dyDescent="0.25">
      <c r="B1618" t="s">
        <v>212</v>
      </c>
      <c r="C1618" t="str">
        <f>_xlfn.XLOOKUP(B1618,Tabla2[CODIGO],Tabla2[MATERIAL],"N/A",0)</f>
        <v>Grillete galvanizado 1,1/2</v>
      </c>
      <c r="D1618">
        <v>2</v>
      </c>
      <c r="E1618" t="s">
        <v>42</v>
      </c>
      <c r="F1618" t="s">
        <v>62</v>
      </c>
      <c r="I1618" s="2"/>
      <c r="J1618" t="s">
        <v>166</v>
      </c>
      <c r="K1618">
        <v>9960</v>
      </c>
      <c r="N1618">
        <v>10</v>
      </c>
    </row>
    <row r="1619" spans="2:14" hidden="1" x14ac:dyDescent="0.25">
      <c r="B1619" t="s">
        <v>212</v>
      </c>
      <c r="C1619" t="str">
        <f>_xlfn.XLOOKUP(B1619,Tabla2[CODIGO],Tabla2[MATERIAL],"N/A",0)</f>
        <v>Grillete galvanizado 1,1/2</v>
      </c>
      <c r="D1619">
        <v>2</v>
      </c>
      <c r="E1619" t="s">
        <v>42</v>
      </c>
      <c r="F1619" t="s">
        <v>62</v>
      </c>
      <c r="I1619" s="2"/>
      <c r="J1619" t="s">
        <v>166</v>
      </c>
      <c r="K1619">
        <v>9960</v>
      </c>
      <c r="N1619">
        <v>11</v>
      </c>
    </row>
    <row r="1620" spans="2:14" hidden="1" x14ac:dyDescent="0.25">
      <c r="B1620" t="s">
        <v>212</v>
      </c>
      <c r="C1620" t="str">
        <f>_xlfn.XLOOKUP(B1620,Tabla2[CODIGO],Tabla2[MATERIAL],"N/A",0)</f>
        <v>Grillete galvanizado 1,1/2</v>
      </c>
      <c r="D1620">
        <v>2</v>
      </c>
      <c r="E1620" t="s">
        <v>42</v>
      </c>
      <c r="F1620" t="s">
        <v>62</v>
      </c>
      <c r="I1620" s="2"/>
      <c r="J1620" t="s">
        <v>166</v>
      </c>
      <c r="K1620">
        <v>9960</v>
      </c>
      <c r="N1620">
        <v>12</v>
      </c>
    </row>
    <row r="1621" spans="2:14" hidden="1" x14ac:dyDescent="0.25">
      <c r="B1621" t="s">
        <v>212</v>
      </c>
      <c r="C1621" t="str">
        <f>_xlfn.XLOOKUP(B1621,Tabla2[CODIGO],Tabla2[MATERIAL],"N/A",0)</f>
        <v>Grillete galvanizado 1,1/2</v>
      </c>
      <c r="D1621">
        <v>2</v>
      </c>
      <c r="E1621" t="s">
        <v>42</v>
      </c>
      <c r="F1621" t="s">
        <v>62</v>
      </c>
      <c r="I1621" s="2"/>
      <c r="J1621" t="s">
        <v>166</v>
      </c>
      <c r="K1621">
        <v>9960</v>
      </c>
      <c r="N1621">
        <v>13</v>
      </c>
    </row>
    <row r="1622" spans="2:14" hidden="1" x14ac:dyDescent="0.25">
      <c r="B1622" t="s">
        <v>212</v>
      </c>
      <c r="C1622" t="str">
        <f>_xlfn.XLOOKUP(B1622,Tabla2[CODIGO],Tabla2[MATERIAL],"N/A",0)</f>
        <v>Grillete galvanizado 1,1/2</v>
      </c>
      <c r="D1622">
        <v>2</v>
      </c>
      <c r="E1622" t="s">
        <v>42</v>
      </c>
      <c r="F1622" t="s">
        <v>62</v>
      </c>
      <c r="I1622" s="2"/>
      <c r="J1622" t="s">
        <v>166</v>
      </c>
      <c r="K1622">
        <v>9960</v>
      </c>
      <c r="N1622">
        <v>14</v>
      </c>
    </row>
    <row r="1623" spans="2:14" hidden="1" x14ac:dyDescent="0.25">
      <c r="B1623" t="s">
        <v>212</v>
      </c>
      <c r="C1623" t="str">
        <f>_xlfn.XLOOKUP(B1623,Tabla2[CODIGO],Tabla2[MATERIAL],"N/A",0)</f>
        <v>Grillete galvanizado 1,1/2</v>
      </c>
      <c r="D1623">
        <v>2</v>
      </c>
      <c r="E1623" t="s">
        <v>42</v>
      </c>
      <c r="F1623" t="s">
        <v>62</v>
      </c>
      <c r="I1623" s="2"/>
      <c r="J1623" t="s">
        <v>166</v>
      </c>
      <c r="K1623">
        <v>9960</v>
      </c>
      <c r="N1623">
        <v>15</v>
      </c>
    </row>
    <row r="1624" spans="2:14" hidden="1" x14ac:dyDescent="0.25">
      <c r="B1624" t="s">
        <v>212</v>
      </c>
      <c r="C1624" t="str">
        <f>_xlfn.XLOOKUP(B1624,Tabla2[CODIGO],Tabla2[MATERIAL],"N/A",0)</f>
        <v>Grillete galvanizado 1,1/2</v>
      </c>
      <c r="D1624">
        <v>2</v>
      </c>
      <c r="E1624" t="s">
        <v>42</v>
      </c>
      <c r="F1624" t="s">
        <v>62</v>
      </c>
      <c r="I1624" s="2"/>
      <c r="J1624" t="s">
        <v>166</v>
      </c>
      <c r="K1624">
        <v>9960</v>
      </c>
      <c r="N1624">
        <v>16</v>
      </c>
    </row>
    <row r="1625" spans="2:14" hidden="1" x14ac:dyDescent="0.25">
      <c r="B1625" t="s">
        <v>37</v>
      </c>
      <c r="C1625" t="str">
        <f>_xlfn.XLOOKUP(B1625,Tabla2[CODIGO],Tabla2[MATERIAL],"N/A",0)</f>
        <v>Hebilla para cinta bandit 1/2"</v>
      </c>
      <c r="D1625">
        <v>3</v>
      </c>
      <c r="E1625" t="s">
        <v>42</v>
      </c>
      <c r="F1625" t="s">
        <v>62</v>
      </c>
      <c r="I1625" s="2"/>
      <c r="J1625" t="s">
        <v>166</v>
      </c>
      <c r="K1625">
        <v>9960</v>
      </c>
      <c r="N1625">
        <v>7</v>
      </c>
    </row>
    <row r="1626" spans="2:14" hidden="1" x14ac:dyDescent="0.25">
      <c r="B1626" t="s">
        <v>37</v>
      </c>
      <c r="C1626" t="str">
        <f>_xlfn.XLOOKUP(B1626,Tabla2[CODIGO],Tabla2[MATERIAL],"N/A",0)</f>
        <v>Hebilla para cinta bandit 1/2"</v>
      </c>
      <c r="D1626">
        <v>3</v>
      </c>
      <c r="E1626" t="s">
        <v>42</v>
      </c>
      <c r="F1626" t="s">
        <v>62</v>
      </c>
      <c r="I1626" s="2"/>
      <c r="J1626" t="s">
        <v>166</v>
      </c>
      <c r="K1626">
        <v>9960</v>
      </c>
      <c r="N1626">
        <v>9</v>
      </c>
    </row>
    <row r="1627" spans="2:14" hidden="1" x14ac:dyDescent="0.25">
      <c r="B1627" t="s">
        <v>37</v>
      </c>
      <c r="C1627" t="str">
        <f>_xlfn.XLOOKUP(B1627,Tabla2[CODIGO],Tabla2[MATERIAL],"N/A",0)</f>
        <v>Hebilla para cinta bandit 1/2"</v>
      </c>
      <c r="D1627">
        <v>3</v>
      </c>
      <c r="E1627" t="s">
        <v>42</v>
      </c>
      <c r="F1627" t="s">
        <v>62</v>
      </c>
      <c r="I1627" s="2"/>
      <c r="J1627" t="s">
        <v>166</v>
      </c>
      <c r="K1627">
        <v>9960</v>
      </c>
      <c r="N1627">
        <v>11</v>
      </c>
    </row>
    <row r="1628" spans="2:14" hidden="1" x14ac:dyDescent="0.25">
      <c r="B1628" t="s">
        <v>37</v>
      </c>
      <c r="C1628" t="str">
        <f>_xlfn.XLOOKUP(B1628,Tabla2[CODIGO],Tabla2[MATERIAL],"N/A",0)</f>
        <v>Hebilla para cinta bandit 1/2"</v>
      </c>
      <c r="D1628">
        <v>4</v>
      </c>
      <c r="E1628" t="s">
        <v>42</v>
      </c>
      <c r="F1628" t="s">
        <v>62</v>
      </c>
      <c r="I1628" s="2"/>
      <c r="J1628" t="s">
        <v>166</v>
      </c>
      <c r="K1628">
        <v>9960</v>
      </c>
      <c r="N1628">
        <v>13</v>
      </c>
    </row>
    <row r="1629" spans="2:14" hidden="1" x14ac:dyDescent="0.25">
      <c r="B1629" t="s">
        <v>37</v>
      </c>
      <c r="C1629" t="str">
        <f>_xlfn.XLOOKUP(B1629,Tabla2[CODIGO],Tabla2[MATERIAL],"N/A",0)</f>
        <v>Hebilla para cinta bandit 1/2"</v>
      </c>
      <c r="D1629">
        <v>3</v>
      </c>
      <c r="E1629" t="s">
        <v>42</v>
      </c>
      <c r="F1629" t="s">
        <v>62</v>
      </c>
      <c r="I1629" s="2"/>
      <c r="J1629" t="s">
        <v>166</v>
      </c>
      <c r="K1629">
        <v>9960</v>
      </c>
      <c r="N1629">
        <v>15</v>
      </c>
    </row>
    <row r="1630" spans="2:14" hidden="1" x14ac:dyDescent="0.25">
      <c r="B1630" t="s">
        <v>30</v>
      </c>
      <c r="C1630" t="str">
        <f>_xlfn.XLOOKUP(B1630,Tabla2[CODIGO],Tabla2[MATERIAL],"N/A",0)</f>
        <v>Kit puesta tierra acero inoxidable</v>
      </c>
      <c r="D1630">
        <v>1</v>
      </c>
      <c r="E1630" t="s">
        <v>42</v>
      </c>
      <c r="F1630" t="s">
        <v>62</v>
      </c>
      <c r="I1630" s="2"/>
      <c r="J1630" t="s">
        <v>166</v>
      </c>
      <c r="K1630">
        <v>9960</v>
      </c>
      <c r="N1630">
        <v>1</v>
      </c>
    </row>
    <row r="1631" spans="2:14" hidden="1" x14ac:dyDescent="0.25">
      <c r="B1631" t="s">
        <v>30</v>
      </c>
      <c r="C1631" t="str">
        <f>_xlfn.XLOOKUP(B1631,Tabla2[CODIGO],Tabla2[MATERIAL],"N/A",0)</f>
        <v>Kit puesta tierra acero inoxidable</v>
      </c>
      <c r="D1631">
        <v>1</v>
      </c>
      <c r="E1631" t="s">
        <v>42</v>
      </c>
      <c r="F1631" t="s">
        <v>62</v>
      </c>
      <c r="I1631" s="2"/>
      <c r="J1631" t="s">
        <v>166</v>
      </c>
      <c r="K1631">
        <v>9960</v>
      </c>
      <c r="N1631">
        <v>3</v>
      </c>
    </row>
    <row r="1632" spans="2:14" hidden="1" x14ac:dyDescent="0.25">
      <c r="B1632" t="s">
        <v>30</v>
      </c>
      <c r="C1632" t="str">
        <f>_xlfn.XLOOKUP(B1632,Tabla2[CODIGO],Tabla2[MATERIAL],"N/A",0)</f>
        <v>Kit puesta tierra acero inoxidable</v>
      </c>
      <c r="D1632">
        <v>1</v>
      </c>
      <c r="E1632" t="s">
        <v>42</v>
      </c>
      <c r="F1632" t="s">
        <v>62</v>
      </c>
      <c r="I1632" s="2"/>
      <c r="J1632" t="s">
        <v>166</v>
      </c>
      <c r="K1632">
        <v>9960</v>
      </c>
      <c r="N1632">
        <v>5</v>
      </c>
    </row>
    <row r="1633" spans="2:14" hidden="1" x14ac:dyDescent="0.25">
      <c r="B1633" t="s">
        <v>47</v>
      </c>
      <c r="C1633" t="str">
        <f>_xlfn.XLOOKUP(B1633,Tabla2[CODIGO],Tabla2[MATERIAL],"N/A",0)</f>
        <v>Luminaria 75w</v>
      </c>
      <c r="D1633">
        <v>1</v>
      </c>
      <c r="E1633" t="s">
        <v>42</v>
      </c>
      <c r="F1633" t="s">
        <v>62</v>
      </c>
      <c r="H1633" s="16" t="s">
        <v>64</v>
      </c>
      <c r="I1633" s="2" t="s">
        <v>131</v>
      </c>
      <c r="J1633" t="s">
        <v>166</v>
      </c>
      <c r="K1633">
        <v>9960</v>
      </c>
      <c r="N1633">
        <v>1</v>
      </c>
    </row>
    <row r="1634" spans="2:14" hidden="1" x14ac:dyDescent="0.25">
      <c r="B1634" t="s">
        <v>47</v>
      </c>
      <c r="C1634" t="str">
        <f>_xlfn.XLOOKUP(B1634,Tabla2[CODIGO],Tabla2[MATERIAL],"N/A",0)</f>
        <v>Luminaria 75w</v>
      </c>
      <c r="D1634">
        <v>1</v>
      </c>
      <c r="E1634" t="s">
        <v>42</v>
      </c>
      <c r="F1634" t="s">
        <v>62</v>
      </c>
      <c r="H1634" s="16" t="s">
        <v>64</v>
      </c>
      <c r="I1634" s="2" t="s">
        <v>133</v>
      </c>
      <c r="J1634" t="s">
        <v>166</v>
      </c>
      <c r="K1634">
        <v>9960</v>
      </c>
      <c r="N1634">
        <v>2</v>
      </c>
    </row>
    <row r="1635" spans="2:14" hidden="1" x14ac:dyDescent="0.25">
      <c r="B1635" t="s">
        <v>47</v>
      </c>
      <c r="C1635" t="str">
        <f>_xlfn.XLOOKUP(B1635,Tabla2[CODIGO],Tabla2[MATERIAL],"N/A",0)</f>
        <v>Luminaria 75w</v>
      </c>
      <c r="D1635">
        <v>1</v>
      </c>
      <c r="E1635" t="s">
        <v>42</v>
      </c>
      <c r="F1635" t="s">
        <v>62</v>
      </c>
      <c r="H1635" s="16" t="s">
        <v>64</v>
      </c>
      <c r="I1635" s="2" t="s">
        <v>128</v>
      </c>
      <c r="J1635" t="s">
        <v>166</v>
      </c>
      <c r="K1635">
        <v>9960</v>
      </c>
      <c r="N1635">
        <v>3</v>
      </c>
    </row>
    <row r="1636" spans="2:14" hidden="1" x14ac:dyDescent="0.25">
      <c r="B1636" t="s">
        <v>47</v>
      </c>
      <c r="C1636" t="str">
        <f>_xlfn.XLOOKUP(B1636,Tabla2[CODIGO],Tabla2[MATERIAL],"N/A",0)</f>
        <v>Luminaria 75w</v>
      </c>
      <c r="D1636">
        <v>1</v>
      </c>
      <c r="E1636" t="s">
        <v>42</v>
      </c>
      <c r="F1636" t="s">
        <v>62</v>
      </c>
      <c r="H1636" s="16" t="s">
        <v>64</v>
      </c>
      <c r="I1636" s="2" t="s">
        <v>125</v>
      </c>
      <c r="J1636" t="s">
        <v>166</v>
      </c>
      <c r="K1636">
        <v>9960</v>
      </c>
      <c r="N1636">
        <v>4</v>
      </c>
    </row>
    <row r="1637" spans="2:14" hidden="1" x14ac:dyDescent="0.25">
      <c r="B1637" t="s">
        <v>47</v>
      </c>
      <c r="C1637" t="str">
        <f>_xlfn.XLOOKUP(B1637,Tabla2[CODIGO],Tabla2[MATERIAL],"N/A",0)</f>
        <v>Luminaria 75w</v>
      </c>
      <c r="D1637">
        <v>1</v>
      </c>
      <c r="E1637" t="s">
        <v>42</v>
      </c>
      <c r="F1637" t="s">
        <v>62</v>
      </c>
      <c r="H1637" s="16" t="s">
        <v>64</v>
      </c>
      <c r="I1637" s="2" t="s">
        <v>134</v>
      </c>
      <c r="J1637" t="s">
        <v>166</v>
      </c>
      <c r="K1637">
        <v>9960</v>
      </c>
      <c r="N1637">
        <v>5</v>
      </c>
    </row>
    <row r="1638" spans="2:14" hidden="1" x14ac:dyDescent="0.25">
      <c r="B1638" t="s">
        <v>47</v>
      </c>
      <c r="C1638" t="str">
        <f>_xlfn.XLOOKUP(B1638,Tabla2[CODIGO],Tabla2[MATERIAL],"N/A",0)</f>
        <v>Luminaria 75w</v>
      </c>
      <c r="D1638">
        <v>1</v>
      </c>
      <c r="E1638" t="s">
        <v>42</v>
      </c>
      <c r="F1638" t="s">
        <v>62</v>
      </c>
      <c r="H1638" s="16" t="s">
        <v>64</v>
      </c>
      <c r="I1638" s="2" t="s">
        <v>123</v>
      </c>
      <c r="J1638" t="s">
        <v>166</v>
      </c>
      <c r="K1638">
        <v>9960</v>
      </c>
      <c r="N1638">
        <v>6</v>
      </c>
    </row>
    <row r="1639" spans="2:14" hidden="1" x14ac:dyDescent="0.25">
      <c r="B1639" t="s">
        <v>47</v>
      </c>
      <c r="C1639" t="str">
        <f>_xlfn.XLOOKUP(B1639,Tabla2[CODIGO],Tabla2[MATERIAL],"N/A",0)</f>
        <v>Luminaria 75w</v>
      </c>
      <c r="D1639">
        <v>1</v>
      </c>
      <c r="E1639" t="s">
        <v>42</v>
      </c>
      <c r="F1639" t="s">
        <v>62</v>
      </c>
      <c r="H1639" s="16" t="s">
        <v>64</v>
      </c>
      <c r="I1639" s="2" t="s">
        <v>130</v>
      </c>
      <c r="J1639" t="s">
        <v>166</v>
      </c>
      <c r="K1639">
        <v>9960</v>
      </c>
      <c r="N1639">
        <v>7</v>
      </c>
    </row>
    <row r="1640" spans="2:14" hidden="1" x14ac:dyDescent="0.25">
      <c r="B1640" t="s">
        <v>47</v>
      </c>
      <c r="C1640" t="str">
        <f>_xlfn.XLOOKUP(B1640,Tabla2[CODIGO],Tabla2[MATERIAL],"N/A",0)</f>
        <v>Luminaria 75w</v>
      </c>
      <c r="D1640">
        <v>1</v>
      </c>
      <c r="E1640" t="s">
        <v>42</v>
      </c>
      <c r="F1640" t="s">
        <v>62</v>
      </c>
      <c r="H1640" s="16" t="s">
        <v>64</v>
      </c>
      <c r="I1640" s="2" t="s">
        <v>126</v>
      </c>
      <c r="J1640" t="s">
        <v>166</v>
      </c>
      <c r="K1640">
        <v>9960</v>
      </c>
      <c r="N1640">
        <v>8</v>
      </c>
    </row>
    <row r="1641" spans="2:14" hidden="1" x14ac:dyDescent="0.25">
      <c r="B1641" t="s">
        <v>47</v>
      </c>
      <c r="C1641" t="str">
        <f>_xlfn.XLOOKUP(B1641,Tabla2[CODIGO],Tabla2[MATERIAL],"N/A",0)</f>
        <v>Luminaria 75w</v>
      </c>
      <c r="D1641">
        <v>1</v>
      </c>
      <c r="E1641" t="s">
        <v>42</v>
      </c>
      <c r="F1641" t="s">
        <v>62</v>
      </c>
      <c r="H1641" s="16" t="s">
        <v>64</v>
      </c>
      <c r="I1641" s="2" t="s">
        <v>127</v>
      </c>
      <c r="J1641" t="s">
        <v>166</v>
      </c>
      <c r="K1641">
        <v>9960</v>
      </c>
      <c r="N1641">
        <v>9</v>
      </c>
    </row>
    <row r="1642" spans="2:14" hidden="1" x14ac:dyDescent="0.25">
      <c r="B1642" t="s">
        <v>47</v>
      </c>
      <c r="C1642" t="str">
        <f>_xlfn.XLOOKUP(B1642,Tabla2[CODIGO],Tabla2[MATERIAL],"N/A",0)</f>
        <v>Luminaria 75w</v>
      </c>
      <c r="D1642">
        <v>1</v>
      </c>
      <c r="E1642" t="s">
        <v>42</v>
      </c>
      <c r="F1642" t="s">
        <v>62</v>
      </c>
      <c r="H1642" s="16" t="s">
        <v>64</v>
      </c>
      <c r="I1642" s="2" t="s">
        <v>121</v>
      </c>
      <c r="J1642" t="s">
        <v>166</v>
      </c>
      <c r="K1642">
        <v>9960</v>
      </c>
      <c r="N1642">
        <v>10</v>
      </c>
    </row>
    <row r="1643" spans="2:14" hidden="1" x14ac:dyDescent="0.25">
      <c r="B1643" t="s">
        <v>47</v>
      </c>
      <c r="C1643" t="str">
        <f>_xlfn.XLOOKUP(B1643,Tabla2[CODIGO],Tabla2[MATERIAL],"N/A",0)</f>
        <v>Luminaria 75w</v>
      </c>
      <c r="D1643">
        <v>1</v>
      </c>
      <c r="E1643" t="s">
        <v>42</v>
      </c>
      <c r="F1643" t="s">
        <v>62</v>
      </c>
      <c r="H1643" s="16" t="s">
        <v>64</v>
      </c>
      <c r="I1643" s="2" t="s">
        <v>132</v>
      </c>
      <c r="J1643" t="s">
        <v>166</v>
      </c>
      <c r="K1643">
        <v>9960</v>
      </c>
      <c r="N1643">
        <v>11</v>
      </c>
    </row>
    <row r="1644" spans="2:14" hidden="1" x14ac:dyDescent="0.25">
      <c r="B1644" t="s">
        <v>47</v>
      </c>
      <c r="C1644" t="str">
        <f>_xlfn.XLOOKUP(B1644,Tabla2[CODIGO],Tabla2[MATERIAL],"N/A",0)</f>
        <v>Luminaria 75w</v>
      </c>
      <c r="D1644">
        <v>1</v>
      </c>
      <c r="E1644" t="s">
        <v>42</v>
      </c>
      <c r="F1644" t="s">
        <v>62</v>
      </c>
      <c r="H1644" s="16" t="s">
        <v>64</v>
      </c>
      <c r="I1644" s="2" t="s">
        <v>135</v>
      </c>
      <c r="J1644" t="s">
        <v>166</v>
      </c>
      <c r="K1644">
        <v>9960</v>
      </c>
      <c r="N1644">
        <v>12</v>
      </c>
    </row>
    <row r="1645" spans="2:14" hidden="1" x14ac:dyDescent="0.25">
      <c r="B1645" t="s">
        <v>47</v>
      </c>
      <c r="C1645" t="str">
        <f>_xlfn.XLOOKUP(B1645,Tabla2[CODIGO],Tabla2[MATERIAL],"N/A",0)</f>
        <v>Luminaria 75w</v>
      </c>
      <c r="D1645">
        <v>1</v>
      </c>
      <c r="E1645" t="s">
        <v>42</v>
      </c>
      <c r="F1645" t="s">
        <v>62</v>
      </c>
      <c r="H1645" s="16" t="s">
        <v>64</v>
      </c>
      <c r="I1645" s="2" t="s">
        <v>129</v>
      </c>
      <c r="J1645" t="s">
        <v>166</v>
      </c>
      <c r="K1645">
        <v>9960</v>
      </c>
      <c r="N1645">
        <v>13</v>
      </c>
    </row>
    <row r="1646" spans="2:14" hidden="1" x14ac:dyDescent="0.25">
      <c r="B1646" t="s">
        <v>47</v>
      </c>
      <c r="C1646" t="str">
        <f>_xlfn.XLOOKUP(B1646,Tabla2[CODIGO],Tabla2[MATERIAL],"N/A",0)</f>
        <v>Luminaria 75w</v>
      </c>
      <c r="D1646">
        <v>1</v>
      </c>
      <c r="E1646" t="s">
        <v>42</v>
      </c>
      <c r="F1646" t="s">
        <v>62</v>
      </c>
      <c r="H1646" s="16" t="s">
        <v>64</v>
      </c>
      <c r="I1646" s="2" t="s">
        <v>483</v>
      </c>
      <c r="J1646" t="s">
        <v>166</v>
      </c>
      <c r="K1646">
        <v>9960</v>
      </c>
      <c r="N1646">
        <v>14</v>
      </c>
    </row>
    <row r="1647" spans="2:14" hidden="1" x14ac:dyDescent="0.25">
      <c r="B1647" t="s">
        <v>47</v>
      </c>
      <c r="C1647" t="str">
        <f>_xlfn.XLOOKUP(B1647,Tabla2[CODIGO],Tabla2[MATERIAL],"N/A",0)</f>
        <v>Luminaria 75w</v>
      </c>
      <c r="D1647">
        <v>1</v>
      </c>
      <c r="E1647" t="s">
        <v>42</v>
      </c>
      <c r="F1647" t="s">
        <v>62</v>
      </c>
      <c r="H1647" s="16" t="s">
        <v>64</v>
      </c>
      <c r="I1647" s="2"/>
      <c r="J1647" t="s">
        <v>166</v>
      </c>
      <c r="K1647">
        <v>9960</v>
      </c>
      <c r="N1647">
        <v>15</v>
      </c>
    </row>
    <row r="1648" spans="2:14" hidden="1" x14ac:dyDescent="0.25">
      <c r="B1648" t="s">
        <v>47</v>
      </c>
      <c r="C1648" t="str">
        <f>_xlfn.XLOOKUP(B1648,Tabla2[CODIGO],Tabla2[MATERIAL],"N/A",0)</f>
        <v>Luminaria 75w</v>
      </c>
      <c r="D1648">
        <v>1</v>
      </c>
      <c r="E1648" t="s">
        <v>42</v>
      </c>
      <c r="F1648" t="s">
        <v>62</v>
      </c>
      <c r="H1648" s="16" t="s">
        <v>64</v>
      </c>
      <c r="I1648" s="2"/>
      <c r="J1648" t="s">
        <v>166</v>
      </c>
      <c r="K1648">
        <v>9960</v>
      </c>
      <c r="N1648">
        <v>16</v>
      </c>
    </row>
    <row r="1649" spans="2:14" hidden="1" x14ac:dyDescent="0.25">
      <c r="B1649" t="s">
        <v>50</v>
      </c>
      <c r="C1649" t="str">
        <f>_xlfn.XLOOKUP(B1649,Tabla2[CODIGO],Tabla2[MATERIAL],"N/A",0)</f>
        <v>Percha galv 1 puesto</v>
      </c>
      <c r="D1649">
        <v>1</v>
      </c>
      <c r="E1649" t="s">
        <v>42</v>
      </c>
      <c r="F1649" t="s">
        <v>62</v>
      </c>
      <c r="I1649" s="2"/>
      <c r="J1649" t="s">
        <v>166</v>
      </c>
      <c r="K1649">
        <v>9960</v>
      </c>
      <c r="N1649">
        <v>5</v>
      </c>
    </row>
    <row r="1650" spans="2:14" hidden="1" x14ac:dyDescent="0.25">
      <c r="B1650" t="s">
        <v>466</v>
      </c>
      <c r="C1650" t="str">
        <f>_xlfn.XLOOKUP(B1650,Tabla2[CODIGO],Tabla2[MATERIAL],"N/A",0)</f>
        <v xml:space="preserve">Perno carruaje 5-8*2 </v>
      </c>
      <c r="D1650">
        <v>1</v>
      </c>
      <c r="E1650" t="s">
        <v>42</v>
      </c>
      <c r="F1650" t="s">
        <v>62</v>
      </c>
      <c r="I1650" s="2"/>
      <c r="J1650" t="s">
        <v>166</v>
      </c>
      <c r="K1650">
        <v>9960</v>
      </c>
      <c r="N1650">
        <v>5</v>
      </c>
    </row>
    <row r="1651" spans="2:14" hidden="1" x14ac:dyDescent="0.25">
      <c r="B1651" t="s">
        <v>256</v>
      </c>
      <c r="C1651" t="str">
        <f>_xlfn.XLOOKUP(B1651,Tabla2[CODIGO],Tabla2[MATERIAL],"N/A",0)</f>
        <v>Poste fibra 10m x 510kg</v>
      </c>
      <c r="D1651">
        <v>1</v>
      </c>
      <c r="E1651" t="s">
        <v>42</v>
      </c>
      <c r="F1651" t="s">
        <v>62</v>
      </c>
      <c r="I1651" s="2"/>
      <c r="J1651" t="s">
        <v>166</v>
      </c>
      <c r="K1651">
        <v>9960</v>
      </c>
      <c r="N1651">
        <v>5</v>
      </c>
    </row>
    <row r="1652" spans="2:14" hidden="1" x14ac:dyDescent="0.25">
      <c r="B1652" t="s">
        <v>78</v>
      </c>
      <c r="C1652" t="str">
        <f>_xlfn.XLOOKUP(B1652,Tabla2[CODIGO],Tabla2[MATERIAL],"N/A",0)</f>
        <v>Tapa Concreto</v>
      </c>
      <c r="D1652">
        <v>1</v>
      </c>
      <c r="E1652" t="s">
        <v>42</v>
      </c>
      <c r="F1652" t="s">
        <v>62</v>
      </c>
      <c r="I1652" s="2"/>
      <c r="J1652" t="s">
        <v>166</v>
      </c>
      <c r="K1652">
        <v>9960</v>
      </c>
      <c r="N1652">
        <v>7</v>
      </c>
    </row>
    <row r="1653" spans="2:14" hidden="1" x14ac:dyDescent="0.25">
      <c r="B1653" t="s">
        <v>78</v>
      </c>
      <c r="C1653" t="str">
        <f>_xlfn.XLOOKUP(B1653,Tabla2[CODIGO],Tabla2[MATERIAL],"N/A",0)</f>
        <v>Tapa Concreto</v>
      </c>
      <c r="D1653">
        <v>1</v>
      </c>
      <c r="E1653" t="s">
        <v>42</v>
      </c>
      <c r="F1653" t="s">
        <v>62</v>
      </c>
      <c r="I1653" s="2"/>
      <c r="J1653" t="s">
        <v>166</v>
      </c>
      <c r="K1653">
        <v>9960</v>
      </c>
      <c r="N1653">
        <v>9</v>
      </c>
    </row>
    <row r="1654" spans="2:14" hidden="1" x14ac:dyDescent="0.25">
      <c r="B1654" t="s">
        <v>78</v>
      </c>
      <c r="C1654" t="str">
        <f>_xlfn.XLOOKUP(B1654,Tabla2[CODIGO],Tabla2[MATERIAL],"N/A",0)</f>
        <v>Tapa Concreto</v>
      </c>
      <c r="D1654">
        <v>1</v>
      </c>
      <c r="E1654" t="s">
        <v>42</v>
      </c>
      <c r="F1654" t="s">
        <v>62</v>
      </c>
      <c r="I1654" s="2"/>
      <c r="J1654" t="s">
        <v>166</v>
      </c>
      <c r="K1654">
        <v>9960</v>
      </c>
      <c r="N1654">
        <v>11</v>
      </c>
    </row>
    <row r="1655" spans="2:14" hidden="1" x14ac:dyDescent="0.25">
      <c r="B1655" t="s">
        <v>78</v>
      </c>
      <c r="C1655" t="str">
        <f>_xlfn.XLOOKUP(B1655,Tabla2[CODIGO],Tabla2[MATERIAL],"N/A",0)</f>
        <v>Tapa Concreto</v>
      </c>
      <c r="D1655">
        <v>1</v>
      </c>
      <c r="E1655" t="s">
        <v>42</v>
      </c>
      <c r="F1655" t="s">
        <v>62</v>
      </c>
      <c r="I1655" s="2"/>
      <c r="J1655" t="s">
        <v>166</v>
      </c>
      <c r="K1655">
        <v>9960</v>
      </c>
      <c r="N1655">
        <v>13</v>
      </c>
    </row>
    <row r="1656" spans="2:14" hidden="1" x14ac:dyDescent="0.25">
      <c r="B1656" t="s">
        <v>78</v>
      </c>
      <c r="C1656" t="str">
        <f>_xlfn.XLOOKUP(B1656,Tabla2[CODIGO],Tabla2[MATERIAL],"N/A",0)</f>
        <v>Tapa Concreto</v>
      </c>
      <c r="D1656">
        <v>1</v>
      </c>
      <c r="E1656" t="s">
        <v>42</v>
      </c>
      <c r="F1656" t="s">
        <v>62</v>
      </c>
      <c r="I1656" s="2"/>
      <c r="J1656" t="s">
        <v>166</v>
      </c>
      <c r="K1656">
        <v>9960</v>
      </c>
      <c r="N1656">
        <v>15</v>
      </c>
    </row>
    <row r="1657" spans="2:14" hidden="1" x14ac:dyDescent="0.25">
      <c r="B1657" t="s">
        <v>38</v>
      </c>
      <c r="C1657" t="str">
        <f>_xlfn.XLOOKUP(B1657,Tabla2[CODIGO],Tabla2[MATERIAL],"N/A",0)</f>
        <v>Tuberia Conduflex 3/4"</v>
      </c>
      <c r="D1657">
        <v>0.5</v>
      </c>
      <c r="E1657" t="s">
        <v>43</v>
      </c>
      <c r="F1657" t="s">
        <v>62</v>
      </c>
      <c r="I1657" s="2"/>
      <c r="J1657" t="s">
        <v>166</v>
      </c>
      <c r="K1657">
        <v>9960</v>
      </c>
      <c r="N1657">
        <v>1</v>
      </c>
    </row>
    <row r="1658" spans="2:14" hidden="1" x14ac:dyDescent="0.25">
      <c r="B1658" t="s">
        <v>239</v>
      </c>
      <c r="C1658" t="str">
        <f>_xlfn.XLOOKUP(B1658,Tabla2[CODIGO],Tabla2[MATERIAL],"N/A",0)</f>
        <v>Tubo Conduit imc 3/4"</v>
      </c>
      <c r="D1658">
        <v>2</v>
      </c>
      <c r="E1658" t="s">
        <v>42</v>
      </c>
      <c r="F1658" t="s">
        <v>62</v>
      </c>
      <c r="I1658" s="2"/>
      <c r="J1658" t="s">
        <v>166</v>
      </c>
      <c r="K1658">
        <v>9960</v>
      </c>
      <c r="N1658">
        <v>9</v>
      </c>
    </row>
    <row r="1659" spans="2:14" hidden="1" x14ac:dyDescent="0.25">
      <c r="B1659" t="s">
        <v>239</v>
      </c>
      <c r="C1659" t="str">
        <f>_xlfn.XLOOKUP(B1659,Tabla2[CODIGO],Tabla2[MATERIAL],"N/A",0)</f>
        <v>Tubo Conduit imc 3/4"</v>
      </c>
      <c r="D1659">
        <v>2</v>
      </c>
      <c r="E1659" t="s">
        <v>42</v>
      </c>
      <c r="F1659" t="s">
        <v>62</v>
      </c>
      <c r="I1659" s="2"/>
      <c r="J1659" t="s">
        <v>166</v>
      </c>
      <c r="K1659">
        <v>9960</v>
      </c>
      <c r="N1659">
        <v>11</v>
      </c>
    </row>
    <row r="1660" spans="2:14" hidden="1" x14ac:dyDescent="0.25">
      <c r="B1660" t="s">
        <v>239</v>
      </c>
      <c r="C1660" t="str">
        <f>_xlfn.XLOOKUP(B1660,Tabla2[CODIGO],Tabla2[MATERIAL],"N/A",0)</f>
        <v>Tubo Conduit imc 3/4"</v>
      </c>
      <c r="D1660">
        <v>2</v>
      </c>
      <c r="E1660" t="s">
        <v>42</v>
      </c>
      <c r="F1660" t="s">
        <v>62</v>
      </c>
      <c r="I1660" s="2"/>
      <c r="J1660" t="s">
        <v>166</v>
      </c>
      <c r="K1660">
        <v>9960</v>
      </c>
      <c r="N1660">
        <v>13</v>
      </c>
    </row>
    <row r="1661" spans="2:14" hidden="1" x14ac:dyDescent="0.25">
      <c r="B1661" t="s">
        <v>239</v>
      </c>
      <c r="C1661" t="str">
        <f>_xlfn.XLOOKUP(B1661,Tabla2[CODIGO],Tabla2[MATERIAL],"N/A",0)</f>
        <v>Tubo Conduit imc 3/4"</v>
      </c>
      <c r="D1661">
        <v>2</v>
      </c>
      <c r="E1661" t="s">
        <v>42</v>
      </c>
      <c r="F1661" t="s">
        <v>62</v>
      </c>
      <c r="I1661" s="2"/>
      <c r="J1661" t="s">
        <v>166</v>
      </c>
      <c r="K1661">
        <v>9960</v>
      </c>
      <c r="N1661">
        <v>15</v>
      </c>
    </row>
    <row r="1662" spans="2:14" hidden="1" x14ac:dyDescent="0.25">
      <c r="B1662" t="s">
        <v>465</v>
      </c>
      <c r="C1662" t="str">
        <f>_xlfn.XLOOKUP(B1662,Tabla2[CODIGO],Tabla2[MATERIAL],"N/A",0)</f>
        <v>Tuerca Hexagona 5/8</v>
      </c>
      <c r="D1662">
        <v>1</v>
      </c>
      <c r="E1662" t="s">
        <v>42</v>
      </c>
      <c r="F1662" t="s">
        <v>62</v>
      </c>
      <c r="I1662" s="2"/>
      <c r="J1662" t="s">
        <v>166</v>
      </c>
      <c r="K1662">
        <v>9960</v>
      </c>
      <c r="N1662">
        <v>5</v>
      </c>
    </row>
    <row r="1663" spans="2:14" hidden="1" x14ac:dyDescent="0.25">
      <c r="B1663" t="s">
        <v>198</v>
      </c>
      <c r="C1663" t="str">
        <f>_xlfn.XLOOKUP(B1663,Tabla2[CODIGO],Tabla2[MATERIAL],"N/A",0)</f>
        <v>Varilla cooperweld 2,4m</v>
      </c>
      <c r="D1663">
        <v>1</v>
      </c>
      <c r="E1663" t="s">
        <v>42</v>
      </c>
      <c r="F1663" t="s">
        <v>62</v>
      </c>
      <c r="I1663" s="2"/>
      <c r="J1663" t="s">
        <v>166</v>
      </c>
      <c r="K1663">
        <v>9960</v>
      </c>
      <c r="N1663">
        <v>9</v>
      </c>
    </row>
    <row r="1664" spans="2:14" hidden="1" x14ac:dyDescent="0.25">
      <c r="B1664" t="s">
        <v>198</v>
      </c>
      <c r="C1664" t="str">
        <f>_xlfn.XLOOKUP(B1664,Tabla2[CODIGO],Tabla2[MATERIAL],"N/A",0)</f>
        <v>Varilla cooperweld 2,4m</v>
      </c>
      <c r="D1664">
        <v>1</v>
      </c>
      <c r="E1664" t="s">
        <v>42</v>
      </c>
      <c r="F1664" t="s">
        <v>62</v>
      </c>
      <c r="I1664" s="2"/>
      <c r="J1664" t="s">
        <v>166</v>
      </c>
      <c r="K1664">
        <v>9960</v>
      </c>
      <c r="N1664">
        <v>11</v>
      </c>
    </row>
    <row r="1665" spans="2:14" hidden="1" x14ac:dyDescent="0.25">
      <c r="B1665" t="s">
        <v>198</v>
      </c>
      <c r="C1665" t="str">
        <f>_xlfn.XLOOKUP(B1665,Tabla2[CODIGO],Tabla2[MATERIAL],"N/A",0)</f>
        <v>Varilla cooperweld 2,4m</v>
      </c>
      <c r="D1665">
        <v>1</v>
      </c>
      <c r="E1665" t="s">
        <v>42</v>
      </c>
      <c r="F1665" t="s">
        <v>62</v>
      </c>
      <c r="I1665" s="2"/>
      <c r="J1665" t="s">
        <v>166</v>
      </c>
      <c r="K1665">
        <v>9960</v>
      </c>
      <c r="N1665">
        <v>13</v>
      </c>
    </row>
    <row r="1666" spans="2:14" hidden="1" x14ac:dyDescent="0.25">
      <c r="B1666" t="s">
        <v>198</v>
      </c>
      <c r="C1666" t="str">
        <f>_xlfn.XLOOKUP(B1666,Tabla2[CODIGO],Tabla2[MATERIAL],"N/A",0)</f>
        <v>Varilla cooperweld 2,4m</v>
      </c>
      <c r="D1666">
        <v>1</v>
      </c>
      <c r="E1666" t="s">
        <v>42</v>
      </c>
      <c r="F1666" t="s">
        <v>62</v>
      </c>
      <c r="I1666" s="2"/>
      <c r="J1666" t="s">
        <v>166</v>
      </c>
      <c r="K1666">
        <v>9960</v>
      </c>
      <c r="N1666">
        <v>15</v>
      </c>
    </row>
    <row r="1667" spans="2:14" hidden="1" x14ac:dyDescent="0.25">
      <c r="B1667" t="s">
        <v>239</v>
      </c>
      <c r="C1667" t="str">
        <f>_xlfn.XLOOKUP(B1667,Tabla2[CODIGO],Tabla2[MATERIAL],"N/A",0)</f>
        <v>Tubo Conduit imc 3/4"</v>
      </c>
      <c r="D1667">
        <v>3</v>
      </c>
      <c r="E1667" t="s">
        <v>42</v>
      </c>
      <c r="F1667" t="s">
        <v>62</v>
      </c>
      <c r="G1667" s="1">
        <v>46200</v>
      </c>
      <c r="I1667" s="2"/>
      <c r="J1667" t="s">
        <v>166</v>
      </c>
      <c r="K1667">
        <v>9961</v>
      </c>
      <c r="L1667" t="s">
        <v>165</v>
      </c>
      <c r="N1667">
        <v>14</v>
      </c>
    </row>
    <row r="1668" spans="2:14" hidden="1" x14ac:dyDescent="0.25">
      <c r="B1668" t="s">
        <v>239</v>
      </c>
      <c r="C1668" t="str">
        <f>_xlfn.XLOOKUP(B1668,Tabla2[CODIGO],Tabla2[MATERIAL],"N/A",0)</f>
        <v>Tubo Conduit imc 3/4"</v>
      </c>
      <c r="D1668">
        <v>2</v>
      </c>
      <c r="E1668" t="s">
        <v>42</v>
      </c>
      <c r="F1668" t="s">
        <v>62</v>
      </c>
      <c r="G1668" s="1">
        <v>46200</v>
      </c>
      <c r="I1668" s="2"/>
      <c r="J1668" t="s">
        <v>166</v>
      </c>
      <c r="K1668">
        <v>9961</v>
      </c>
      <c r="L1668" t="s">
        <v>165</v>
      </c>
      <c r="N1668">
        <v>17</v>
      </c>
    </row>
    <row r="1669" spans="2:14" hidden="1" x14ac:dyDescent="0.25">
      <c r="B1669" t="s">
        <v>466</v>
      </c>
      <c r="C1669" t="str">
        <f>_xlfn.XLOOKUP(B1669,Tabla2[CODIGO],Tabla2[MATERIAL],"N/A",0)</f>
        <v xml:space="preserve">Perno carruaje 5-8*2 </v>
      </c>
      <c r="D1669">
        <v>1</v>
      </c>
      <c r="E1669" t="s">
        <v>42</v>
      </c>
      <c r="F1669" t="s">
        <v>62</v>
      </c>
      <c r="G1669" s="1">
        <v>46200</v>
      </c>
      <c r="I1669" s="2"/>
      <c r="J1669" t="s">
        <v>166</v>
      </c>
      <c r="K1669">
        <v>9961</v>
      </c>
      <c r="L1669" t="s">
        <v>165</v>
      </c>
      <c r="N1669">
        <v>23</v>
      </c>
    </row>
    <row r="1670" spans="2:14" hidden="1" x14ac:dyDescent="0.25">
      <c r="B1670" t="s">
        <v>466</v>
      </c>
      <c r="C1670" t="str">
        <f>_xlfn.XLOOKUP(B1670,Tabla2[CODIGO],Tabla2[MATERIAL],"N/A",0)</f>
        <v xml:space="preserve">Perno carruaje 5-8*2 </v>
      </c>
      <c r="D1670">
        <v>1</v>
      </c>
      <c r="E1670" t="s">
        <v>42</v>
      </c>
      <c r="F1670" t="s">
        <v>62</v>
      </c>
      <c r="G1670" s="1">
        <v>46200</v>
      </c>
      <c r="I1670" s="2"/>
      <c r="J1670" t="s">
        <v>166</v>
      </c>
      <c r="K1670">
        <v>9961</v>
      </c>
      <c r="L1670" t="s">
        <v>165</v>
      </c>
      <c r="N1670">
        <v>24</v>
      </c>
    </row>
    <row r="1671" spans="2:14" hidden="1" x14ac:dyDescent="0.25">
      <c r="B1671" t="s">
        <v>466</v>
      </c>
      <c r="C1671" t="str">
        <f>_xlfn.XLOOKUP(B1671,Tabla2[CODIGO],Tabla2[MATERIAL],"N/A",0)</f>
        <v xml:space="preserve">Perno carruaje 5-8*2 </v>
      </c>
      <c r="D1671">
        <v>1</v>
      </c>
      <c r="E1671" t="s">
        <v>42</v>
      </c>
      <c r="F1671" t="s">
        <v>62</v>
      </c>
      <c r="G1671" s="1">
        <v>46200</v>
      </c>
      <c r="I1671" s="2"/>
      <c r="J1671" t="s">
        <v>166</v>
      </c>
      <c r="K1671">
        <v>9961</v>
      </c>
      <c r="L1671" t="s">
        <v>165</v>
      </c>
      <c r="N1671">
        <v>25</v>
      </c>
    </row>
    <row r="1672" spans="2:14" hidden="1" x14ac:dyDescent="0.25">
      <c r="B1672" t="s">
        <v>466</v>
      </c>
      <c r="C1672" t="str">
        <f>_xlfn.XLOOKUP(B1672,Tabla2[CODIGO],Tabla2[MATERIAL],"N/A",0)</f>
        <v xml:space="preserve">Perno carruaje 5-8*2 </v>
      </c>
      <c r="D1672">
        <v>1</v>
      </c>
      <c r="E1672" t="s">
        <v>42</v>
      </c>
      <c r="F1672" t="s">
        <v>62</v>
      </c>
      <c r="G1672" s="1">
        <v>46200</v>
      </c>
      <c r="I1672" s="2"/>
      <c r="J1672" t="s">
        <v>166</v>
      </c>
      <c r="K1672">
        <v>9961</v>
      </c>
      <c r="L1672" t="s">
        <v>165</v>
      </c>
      <c r="N1672">
        <v>26</v>
      </c>
    </row>
    <row r="1673" spans="2:14" hidden="1" x14ac:dyDescent="0.25">
      <c r="B1673" t="s">
        <v>465</v>
      </c>
      <c r="C1673" t="str">
        <f>_xlfn.XLOOKUP(B1673,Tabla2[CODIGO],Tabla2[MATERIAL],"N/A",0)</f>
        <v>Tuerca Hexagona 5/8</v>
      </c>
      <c r="D1673">
        <v>1</v>
      </c>
      <c r="E1673" t="s">
        <v>42</v>
      </c>
      <c r="F1673" t="s">
        <v>62</v>
      </c>
      <c r="G1673" s="1">
        <v>46200</v>
      </c>
      <c r="I1673" s="2"/>
      <c r="J1673" t="s">
        <v>166</v>
      </c>
      <c r="K1673">
        <v>9961</v>
      </c>
      <c r="L1673" t="s">
        <v>165</v>
      </c>
      <c r="N1673">
        <v>23</v>
      </c>
    </row>
    <row r="1674" spans="2:14" hidden="1" x14ac:dyDescent="0.25">
      <c r="B1674" t="s">
        <v>465</v>
      </c>
      <c r="C1674" t="str">
        <f>_xlfn.XLOOKUP(B1674,Tabla2[CODIGO],Tabla2[MATERIAL],"N/A",0)</f>
        <v>Tuerca Hexagona 5/8</v>
      </c>
      <c r="D1674">
        <v>1</v>
      </c>
      <c r="E1674" t="s">
        <v>42</v>
      </c>
      <c r="F1674" t="s">
        <v>62</v>
      </c>
      <c r="G1674" s="1">
        <v>46200</v>
      </c>
      <c r="I1674" s="2"/>
      <c r="J1674" t="s">
        <v>166</v>
      </c>
      <c r="K1674">
        <v>9961</v>
      </c>
      <c r="L1674" t="s">
        <v>165</v>
      </c>
      <c r="N1674">
        <v>24</v>
      </c>
    </row>
    <row r="1675" spans="2:14" hidden="1" x14ac:dyDescent="0.25">
      <c r="B1675" t="s">
        <v>465</v>
      </c>
      <c r="C1675" t="str">
        <f>_xlfn.XLOOKUP(B1675,Tabla2[CODIGO],Tabla2[MATERIAL],"N/A",0)</f>
        <v>Tuerca Hexagona 5/8</v>
      </c>
      <c r="D1675">
        <v>1</v>
      </c>
      <c r="E1675" t="s">
        <v>42</v>
      </c>
      <c r="F1675" t="s">
        <v>62</v>
      </c>
      <c r="G1675" s="1">
        <v>46200</v>
      </c>
      <c r="I1675" s="2"/>
      <c r="J1675" t="s">
        <v>166</v>
      </c>
      <c r="K1675">
        <v>9961</v>
      </c>
      <c r="L1675" t="s">
        <v>165</v>
      </c>
      <c r="N1675">
        <v>25</v>
      </c>
    </row>
    <row r="1676" spans="2:14" hidden="1" x14ac:dyDescent="0.25">
      <c r="B1676" t="s">
        <v>465</v>
      </c>
      <c r="C1676" t="str">
        <f>_xlfn.XLOOKUP(B1676,Tabla2[CODIGO],Tabla2[MATERIAL],"N/A",0)</f>
        <v>Tuerca Hexagona 5/8</v>
      </c>
      <c r="D1676">
        <v>1</v>
      </c>
      <c r="E1676" t="s">
        <v>42</v>
      </c>
      <c r="F1676" t="s">
        <v>62</v>
      </c>
      <c r="G1676" s="1">
        <v>46200</v>
      </c>
      <c r="I1676" s="2"/>
      <c r="J1676" t="s">
        <v>166</v>
      </c>
      <c r="K1676">
        <v>9961</v>
      </c>
      <c r="L1676" t="s">
        <v>165</v>
      </c>
      <c r="N1676">
        <v>26</v>
      </c>
    </row>
    <row r="1677" spans="2:14" hidden="1" x14ac:dyDescent="0.25">
      <c r="B1677" t="s">
        <v>214</v>
      </c>
      <c r="C1677" t="str">
        <f>_xlfn.XLOOKUP(B1677,Tabla2[CODIGO],Tabla2[MATERIAL],"N/A",0)</f>
        <v>Marco para caja ap</v>
      </c>
      <c r="D1677">
        <v>1</v>
      </c>
      <c r="E1677" t="s">
        <v>42</v>
      </c>
      <c r="F1677" t="s">
        <v>62</v>
      </c>
      <c r="G1677" s="1">
        <v>46200</v>
      </c>
      <c r="I1677" s="2"/>
      <c r="J1677" t="s">
        <v>166</v>
      </c>
      <c r="K1677">
        <v>9961</v>
      </c>
      <c r="L1677" t="s">
        <v>165</v>
      </c>
      <c r="N1677">
        <v>6</v>
      </c>
    </row>
    <row r="1678" spans="2:14" hidden="1" x14ac:dyDescent="0.25">
      <c r="B1678" t="s">
        <v>214</v>
      </c>
      <c r="C1678" t="str">
        <f>_xlfn.XLOOKUP(B1678,Tabla2[CODIGO],Tabla2[MATERIAL],"N/A",0)</f>
        <v>Marco para caja ap</v>
      </c>
      <c r="D1678">
        <v>1</v>
      </c>
      <c r="E1678" t="s">
        <v>42</v>
      </c>
      <c r="F1678" t="s">
        <v>62</v>
      </c>
      <c r="G1678" s="1">
        <v>46200</v>
      </c>
      <c r="I1678" s="2"/>
      <c r="J1678" t="s">
        <v>166</v>
      </c>
      <c r="K1678">
        <v>9961</v>
      </c>
      <c r="L1678" t="s">
        <v>165</v>
      </c>
      <c r="N1678">
        <v>7</v>
      </c>
    </row>
    <row r="1679" spans="2:14" hidden="1" x14ac:dyDescent="0.25">
      <c r="B1679" t="s">
        <v>214</v>
      </c>
      <c r="C1679" t="str">
        <f>_xlfn.XLOOKUP(B1679,Tabla2[CODIGO],Tabla2[MATERIAL],"N/A",0)</f>
        <v>Marco para caja ap</v>
      </c>
      <c r="D1679">
        <v>1</v>
      </c>
      <c r="E1679" t="s">
        <v>42</v>
      </c>
      <c r="F1679" t="s">
        <v>62</v>
      </c>
      <c r="G1679" s="1">
        <v>46200</v>
      </c>
      <c r="I1679" s="2"/>
      <c r="J1679" t="s">
        <v>166</v>
      </c>
      <c r="K1679">
        <v>9961</v>
      </c>
      <c r="L1679" t="s">
        <v>165</v>
      </c>
      <c r="N1679">
        <v>17</v>
      </c>
    </row>
    <row r="1680" spans="2:14" hidden="1" x14ac:dyDescent="0.25">
      <c r="B1680" t="s">
        <v>214</v>
      </c>
      <c r="C1680" t="str">
        <f>_xlfn.XLOOKUP(B1680,Tabla2[CODIGO],Tabla2[MATERIAL],"N/A",0)</f>
        <v>Marco para caja ap</v>
      </c>
      <c r="D1680">
        <v>1</v>
      </c>
      <c r="E1680" t="s">
        <v>42</v>
      </c>
      <c r="F1680" t="s">
        <v>62</v>
      </c>
      <c r="G1680" s="1">
        <v>46200</v>
      </c>
      <c r="I1680" s="2"/>
      <c r="J1680" t="s">
        <v>166</v>
      </c>
      <c r="K1680">
        <v>9961</v>
      </c>
      <c r="L1680" t="s">
        <v>165</v>
      </c>
      <c r="N1680">
        <v>20</v>
      </c>
    </row>
    <row r="1681" spans="2:14" hidden="1" x14ac:dyDescent="0.25">
      <c r="B1681" t="s">
        <v>466</v>
      </c>
      <c r="C1681" t="str">
        <f>_xlfn.XLOOKUP(B1681,Tabla2[CODIGO],Tabla2[MATERIAL],"N/A",0)</f>
        <v xml:space="preserve">Perno carruaje 5-8*2 </v>
      </c>
      <c r="D1681">
        <v>1</v>
      </c>
      <c r="E1681" t="s">
        <v>42</v>
      </c>
      <c r="F1681" t="s">
        <v>62</v>
      </c>
      <c r="G1681" s="1">
        <v>46211</v>
      </c>
      <c r="I1681" s="2"/>
      <c r="J1681" t="s">
        <v>166</v>
      </c>
      <c r="K1681">
        <v>9962</v>
      </c>
      <c r="L1681" t="s">
        <v>286</v>
      </c>
      <c r="M1681">
        <v>3018792</v>
      </c>
      <c r="N1681">
        <v>1</v>
      </c>
    </row>
    <row r="1682" spans="2:14" hidden="1" x14ac:dyDescent="0.25">
      <c r="B1682" t="s">
        <v>466</v>
      </c>
      <c r="C1682" t="str">
        <f>_xlfn.XLOOKUP(B1682,Tabla2[CODIGO],Tabla2[MATERIAL],"N/A",0)</f>
        <v xml:space="preserve">Perno carruaje 5-8*2 </v>
      </c>
      <c r="D1682">
        <v>1</v>
      </c>
      <c r="E1682" t="s">
        <v>42</v>
      </c>
      <c r="F1682" t="s">
        <v>62</v>
      </c>
      <c r="G1682" s="1">
        <v>46211</v>
      </c>
      <c r="I1682" s="2"/>
      <c r="J1682" t="s">
        <v>166</v>
      </c>
      <c r="K1682">
        <v>9962</v>
      </c>
      <c r="L1682" t="s">
        <v>286</v>
      </c>
      <c r="M1682">
        <v>3018784</v>
      </c>
      <c r="N1682">
        <v>2</v>
      </c>
    </row>
    <row r="1683" spans="2:14" hidden="1" x14ac:dyDescent="0.25">
      <c r="B1683" t="s">
        <v>466</v>
      </c>
      <c r="C1683" t="str">
        <f>_xlfn.XLOOKUP(B1683,Tabla2[CODIGO],Tabla2[MATERIAL],"N/A",0)</f>
        <v xml:space="preserve">Perno carruaje 5-8*2 </v>
      </c>
      <c r="D1683">
        <v>2</v>
      </c>
      <c r="E1683" t="s">
        <v>42</v>
      </c>
      <c r="F1683" t="s">
        <v>62</v>
      </c>
      <c r="G1683" s="1">
        <v>46211</v>
      </c>
      <c r="I1683" s="2"/>
      <c r="J1683" t="s">
        <v>166</v>
      </c>
      <c r="K1683">
        <v>9962</v>
      </c>
      <c r="L1683" t="s">
        <v>286</v>
      </c>
      <c r="M1683">
        <v>3018776</v>
      </c>
      <c r="N1683">
        <v>3</v>
      </c>
    </row>
    <row r="1684" spans="2:14" hidden="1" x14ac:dyDescent="0.25">
      <c r="B1684" t="s">
        <v>466</v>
      </c>
      <c r="C1684" t="str">
        <f>_xlfn.XLOOKUP(B1684,Tabla2[CODIGO],Tabla2[MATERIAL],"N/A",0)</f>
        <v xml:space="preserve">Perno carruaje 5-8*2 </v>
      </c>
      <c r="D1684">
        <v>1</v>
      </c>
      <c r="E1684" t="s">
        <v>42</v>
      </c>
      <c r="F1684" t="s">
        <v>62</v>
      </c>
      <c r="G1684" s="1">
        <v>46211</v>
      </c>
      <c r="I1684" s="2"/>
      <c r="J1684" t="s">
        <v>166</v>
      </c>
      <c r="K1684">
        <v>9962</v>
      </c>
      <c r="L1684" t="s">
        <v>286</v>
      </c>
      <c r="M1684">
        <v>3018750</v>
      </c>
      <c r="N1684">
        <v>4</v>
      </c>
    </row>
    <row r="1685" spans="2:14" hidden="1" x14ac:dyDescent="0.25">
      <c r="B1685" t="s">
        <v>466</v>
      </c>
      <c r="C1685" t="str">
        <f>_xlfn.XLOOKUP(B1685,Tabla2[CODIGO],Tabla2[MATERIAL],"N/A",0)</f>
        <v xml:space="preserve">Perno carruaje 5-8*2 </v>
      </c>
      <c r="D1685">
        <v>1</v>
      </c>
      <c r="E1685" t="s">
        <v>42</v>
      </c>
      <c r="F1685" t="s">
        <v>62</v>
      </c>
      <c r="G1685" s="1">
        <v>46211</v>
      </c>
      <c r="I1685" s="2"/>
      <c r="J1685" t="s">
        <v>166</v>
      </c>
      <c r="K1685">
        <v>9962</v>
      </c>
      <c r="L1685" t="s">
        <v>286</v>
      </c>
      <c r="M1685">
        <v>3018741</v>
      </c>
      <c r="N1685">
        <v>5</v>
      </c>
    </row>
    <row r="1686" spans="2:14" hidden="1" x14ac:dyDescent="0.25">
      <c r="B1686" t="s">
        <v>466</v>
      </c>
      <c r="C1686" t="str">
        <f>_xlfn.XLOOKUP(B1686,Tabla2[CODIGO],Tabla2[MATERIAL],"N/A",0)</f>
        <v xml:space="preserve">Perno carruaje 5-8*2 </v>
      </c>
      <c r="D1686">
        <v>2</v>
      </c>
      <c r="E1686" t="s">
        <v>42</v>
      </c>
      <c r="F1686" t="s">
        <v>62</v>
      </c>
      <c r="G1686" s="1">
        <v>46211</v>
      </c>
      <c r="I1686" s="2"/>
      <c r="J1686" t="s">
        <v>166</v>
      </c>
      <c r="K1686">
        <v>9962</v>
      </c>
      <c r="L1686" t="s">
        <v>286</v>
      </c>
      <c r="M1686">
        <v>3018733</v>
      </c>
      <c r="N1686">
        <v>6</v>
      </c>
    </row>
    <row r="1687" spans="2:14" hidden="1" x14ac:dyDescent="0.25">
      <c r="B1687" t="s">
        <v>466</v>
      </c>
      <c r="C1687" t="str">
        <f>_xlfn.XLOOKUP(B1687,Tabla2[CODIGO],Tabla2[MATERIAL],"N/A",0)</f>
        <v xml:space="preserve">Perno carruaje 5-8*2 </v>
      </c>
      <c r="D1687">
        <v>1</v>
      </c>
      <c r="E1687" t="s">
        <v>42</v>
      </c>
      <c r="F1687" t="s">
        <v>62</v>
      </c>
      <c r="G1687" s="1">
        <v>46211</v>
      </c>
      <c r="I1687" s="2"/>
      <c r="J1687" t="s">
        <v>166</v>
      </c>
      <c r="K1687">
        <v>9962</v>
      </c>
      <c r="L1687" t="s">
        <v>286</v>
      </c>
      <c r="M1687">
        <v>3018679</v>
      </c>
      <c r="N1687">
        <v>7</v>
      </c>
    </row>
    <row r="1688" spans="2:14" hidden="1" x14ac:dyDescent="0.25">
      <c r="B1688" t="s">
        <v>466</v>
      </c>
      <c r="C1688" t="str">
        <f>_xlfn.XLOOKUP(B1688,Tabla2[CODIGO],Tabla2[MATERIAL],"N/A",0)</f>
        <v xml:space="preserve">Perno carruaje 5-8*2 </v>
      </c>
      <c r="D1688">
        <v>1</v>
      </c>
      <c r="E1688" t="s">
        <v>42</v>
      </c>
      <c r="F1688" t="s">
        <v>62</v>
      </c>
      <c r="G1688" s="1">
        <v>46211</v>
      </c>
      <c r="I1688" s="2"/>
      <c r="J1688" t="s">
        <v>166</v>
      </c>
      <c r="K1688">
        <v>9962</v>
      </c>
      <c r="L1688" t="s">
        <v>286</v>
      </c>
      <c r="M1688">
        <v>3018687</v>
      </c>
      <c r="N1688">
        <v>8</v>
      </c>
    </row>
    <row r="1689" spans="2:14" hidden="1" x14ac:dyDescent="0.25">
      <c r="B1689" t="s">
        <v>466</v>
      </c>
      <c r="C1689" t="str">
        <f>_xlfn.XLOOKUP(B1689,Tabla2[CODIGO],Tabla2[MATERIAL],"N/A",0)</f>
        <v xml:space="preserve">Perno carruaje 5-8*2 </v>
      </c>
      <c r="D1689">
        <v>1</v>
      </c>
      <c r="E1689" t="s">
        <v>42</v>
      </c>
      <c r="F1689" t="s">
        <v>62</v>
      </c>
      <c r="G1689" s="1">
        <v>46211</v>
      </c>
      <c r="I1689" s="2"/>
      <c r="J1689" t="s">
        <v>166</v>
      </c>
      <c r="K1689">
        <v>9962</v>
      </c>
      <c r="L1689" t="s">
        <v>286</v>
      </c>
      <c r="M1689">
        <v>3018695</v>
      </c>
      <c r="N1689">
        <v>9</v>
      </c>
    </row>
    <row r="1690" spans="2:14" hidden="1" x14ac:dyDescent="0.25">
      <c r="B1690" t="s">
        <v>466</v>
      </c>
      <c r="C1690" t="str">
        <f>_xlfn.XLOOKUP(B1690,Tabla2[CODIGO],Tabla2[MATERIAL],"N/A",0)</f>
        <v xml:space="preserve">Perno carruaje 5-8*2 </v>
      </c>
      <c r="D1690">
        <v>1</v>
      </c>
      <c r="E1690" t="s">
        <v>42</v>
      </c>
      <c r="F1690" t="s">
        <v>62</v>
      </c>
      <c r="G1690" s="1">
        <v>46211</v>
      </c>
      <c r="I1690" s="2"/>
      <c r="J1690" t="s">
        <v>166</v>
      </c>
      <c r="K1690">
        <v>9962</v>
      </c>
      <c r="L1690" t="s">
        <v>286</v>
      </c>
      <c r="M1690">
        <v>3018709</v>
      </c>
      <c r="N1690">
        <v>10</v>
      </c>
    </row>
    <row r="1691" spans="2:14" hidden="1" x14ac:dyDescent="0.25">
      <c r="B1691" t="s">
        <v>466</v>
      </c>
      <c r="C1691" t="str">
        <f>_xlfn.XLOOKUP(B1691,Tabla2[CODIGO],Tabla2[MATERIAL],"N/A",0)</f>
        <v xml:space="preserve">Perno carruaje 5-8*2 </v>
      </c>
      <c r="D1691">
        <v>1</v>
      </c>
      <c r="E1691" t="s">
        <v>42</v>
      </c>
      <c r="F1691" t="s">
        <v>62</v>
      </c>
      <c r="G1691" s="1">
        <v>46211</v>
      </c>
      <c r="I1691" s="2"/>
      <c r="J1691" t="s">
        <v>166</v>
      </c>
      <c r="K1691">
        <v>9962</v>
      </c>
      <c r="L1691" t="s">
        <v>286</v>
      </c>
      <c r="M1691">
        <v>3018717</v>
      </c>
      <c r="N1691">
        <v>11</v>
      </c>
    </row>
    <row r="1692" spans="2:14" hidden="1" x14ac:dyDescent="0.25">
      <c r="B1692" t="s">
        <v>466</v>
      </c>
      <c r="C1692" t="str">
        <f>_xlfn.XLOOKUP(B1692,Tabla2[CODIGO],Tabla2[MATERIAL],"N/A",0)</f>
        <v xml:space="preserve">Perno carruaje 5-8*2 </v>
      </c>
      <c r="D1692">
        <v>1</v>
      </c>
      <c r="E1692" t="s">
        <v>42</v>
      </c>
      <c r="F1692" t="s">
        <v>62</v>
      </c>
      <c r="G1692" s="1">
        <v>46211</v>
      </c>
      <c r="I1692" s="2"/>
      <c r="J1692" t="s">
        <v>166</v>
      </c>
      <c r="K1692">
        <v>9962</v>
      </c>
      <c r="L1692" t="s">
        <v>286</v>
      </c>
      <c r="M1692">
        <v>3018725</v>
      </c>
      <c r="N1692">
        <v>12</v>
      </c>
    </row>
    <row r="1693" spans="2:14" hidden="1" x14ac:dyDescent="0.25">
      <c r="B1693" t="s">
        <v>213</v>
      </c>
      <c r="C1693" t="str">
        <f>_xlfn.XLOOKUP(B1693,Tabla2[CODIGO],Tabla2[MATERIAL],"N/A",0)</f>
        <v>Tuerca Hexagona 5/8</v>
      </c>
      <c r="D1693">
        <v>1</v>
      </c>
      <c r="E1693" t="s">
        <v>42</v>
      </c>
      <c r="F1693" t="s">
        <v>62</v>
      </c>
      <c r="G1693" s="1">
        <v>46211</v>
      </c>
      <c r="I1693" s="2"/>
      <c r="J1693" t="s">
        <v>166</v>
      </c>
      <c r="K1693">
        <v>9962</v>
      </c>
      <c r="L1693" t="s">
        <v>286</v>
      </c>
      <c r="M1693">
        <v>3018792</v>
      </c>
      <c r="N1693">
        <v>1</v>
      </c>
    </row>
    <row r="1694" spans="2:14" hidden="1" x14ac:dyDescent="0.25">
      <c r="B1694" t="s">
        <v>213</v>
      </c>
      <c r="C1694" t="str">
        <f>_xlfn.XLOOKUP(B1694,Tabla2[CODIGO],Tabla2[MATERIAL],"N/A",0)</f>
        <v>Tuerca Hexagona 5/8</v>
      </c>
      <c r="D1694">
        <v>1</v>
      </c>
      <c r="E1694" t="s">
        <v>42</v>
      </c>
      <c r="F1694" t="s">
        <v>62</v>
      </c>
      <c r="G1694" s="1">
        <v>46211</v>
      </c>
      <c r="I1694" s="2"/>
      <c r="J1694" t="s">
        <v>166</v>
      </c>
      <c r="K1694">
        <v>9962</v>
      </c>
      <c r="L1694" t="s">
        <v>286</v>
      </c>
      <c r="M1694">
        <v>3018784</v>
      </c>
      <c r="N1694">
        <v>2</v>
      </c>
    </row>
    <row r="1695" spans="2:14" hidden="1" x14ac:dyDescent="0.25">
      <c r="B1695" t="s">
        <v>213</v>
      </c>
      <c r="C1695" t="str">
        <f>_xlfn.XLOOKUP(B1695,Tabla2[CODIGO],Tabla2[MATERIAL],"N/A",0)</f>
        <v>Tuerca Hexagona 5/8</v>
      </c>
      <c r="D1695">
        <v>2</v>
      </c>
      <c r="E1695" t="s">
        <v>42</v>
      </c>
      <c r="F1695" t="s">
        <v>62</v>
      </c>
      <c r="G1695" s="1">
        <v>46211</v>
      </c>
      <c r="I1695" s="2"/>
      <c r="J1695" t="s">
        <v>166</v>
      </c>
      <c r="K1695">
        <v>9962</v>
      </c>
      <c r="L1695" t="s">
        <v>286</v>
      </c>
      <c r="M1695">
        <v>3018776</v>
      </c>
      <c r="N1695">
        <v>3</v>
      </c>
    </row>
    <row r="1696" spans="2:14" hidden="1" x14ac:dyDescent="0.25">
      <c r="B1696" t="s">
        <v>213</v>
      </c>
      <c r="C1696" t="str">
        <f>_xlfn.XLOOKUP(B1696,Tabla2[CODIGO],Tabla2[MATERIAL],"N/A",0)</f>
        <v>Tuerca Hexagona 5/8</v>
      </c>
      <c r="D1696">
        <v>1</v>
      </c>
      <c r="E1696" t="s">
        <v>42</v>
      </c>
      <c r="F1696" t="s">
        <v>62</v>
      </c>
      <c r="G1696" s="1">
        <v>46211</v>
      </c>
      <c r="I1696" s="2"/>
      <c r="J1696" t="s">
        <v>166</v>
      </c>
      <c r="K1696">
        <v>9962</v>
      </c>
      <c r="L1696" t="s">
        <v>286</v>
      </c>
      <c r="M1696">
        <v>3018750</v>
      </c>
      <c r="N1696">
        <v>4</v>
      </c>
    </row>
    <row r="1697" spans="2:14" hidden="1" x14ac:dyDescent="0.25">
      <c r="B1697" t="s">
        <v>213</v>
      </c>
      <c r="C1697" t="str">
        <f>_xlfn.XLOOKUP(B1697,Tabla2[CODIGO],Tabla2[MATERIAL],"N/A",0)</f>
        <v>Tuerca Hexagona 5/8</v>
      </c>
      <c r="D1697">
        <v>1</v>
      </c>
      <c r="E1697" t="s">
        <v>42</v>
      </c>
      <c r="F1697" t="s">
        <v>62</v>
      </c>
      <c r="G1697" s="1">
        <v>46211</v>
      </c>
      <c r="I1697" s="2"/>
      <c r="J1697" t="s">
        <v>166</v>
      </c>
      <c r="K1697">
        <v>9962</v>
      </c>
      <c r="L1697" t="s">
        <v>286</v>
      </c>
      <c r="M1697">
        <v>3018741</v>
      </c>
      <c r="N1697">
        <v>5</v>
      </c>
    </row>
    <row r="1698" spans="2:14" hidden="1" x14ac:dyDescent="0.25">
      <c r="B1698" t="s">
        <v>213</v>
      </c>
      <c r="C1698" t="str">
        <f>_xlfn.XLOOKUP(B1698,Tabla2[CODIGO],Tabla2[MATERIAL],"N/A",0)</f>
        <v>Tuerca Hexagona 5/8</v>
      </c>
      <c r="D1698">
        <v>2</v>
      </c>
      <c r="E1698" t="s">
        <v>42</v>
      </c>
      <c r="F1698" t="s">
        <v>62</v>
      </c>
      <c r="G1698" s="1">
        <v>46211</v>
      </c>
      <c r="I1698" s="2"/>
      <c r="J1698" t="s">
        <v>166</v>
      </c>
      <c r="K1698">
        <v>9962</v>
      </c>
      <c r="L1698" t="s">
        <v>286</v>
      </c>
      <c r="M1698">
        <v>3018733</v>
      </c>
      <c r="N1698">
        <v>6</v>
      </c>
    </row>
    <row r="1699" spans="2:14" hidden="1" x14ac:dyDescent="0.25">
      <c r="B1699" t="s">
        <v>213</v>
      </c>
      <c r="C1699" t="str">
        <f>_xlfn.XLOOKUP(B1699,Tabla2[CODIGO],Tabla2[MATERIAL],"N/A",0)</f>
        <v>Tuerca Hexagona 5/8</v>
      </c>
      <c r="D1699">
        <v>1</v>
      </c>
      <c r="E1699" t="s">
        <v>42</v>
      </c>
      <c r="F1699" t="s">
        <v>62</v>
      </c>
      <c r="G1699" s="1">
        <v>46211</v>
      </c>
      <c r="I1699" s="2"/>
      <c r="J1699" t="s">
        <v>166</v>
      </c>
      <c r="K1699">
        <v>9962</v>
      </c>
      <c r="L1699" t="s">
        <v>286</v>
      </c>
      <c r="M1699">
        <v>3018679</v>
      </c>
      <c r="N1699">
        <v>7</v>
      </c>
    </row>
    <row r="1700" spans="2:14" hidden="1" x14ac:dyDescent="0.25">
      <c r="B1700" t="s">
        <v>213</v>
      </c>
      <c r="C1700" t="str">
        <f>_xlfn.XLOOKUP(B1700,Tabla2[CODIGO],Tabla2[MATERIAL],"N/A",0)</f>
        <v>Tuerca Hexagona 5/8</v>
      </c>
      <c r="D1700">
        <v>1</v>
      </c>
      <c r="E1700" t="s">
        <v>42</v>
      </c>
      <c r="F1700" t="s">
        <v>62</v>
      </c>
      <c r="G1700" s="1">
        <v>46211</v>
      </c>
      <c r="I1700" s="2"/>
      <c r="J1700" t="s">
        <v>166</v>
      </c>
      <c r="K1700">
        <v>9962</v>
      </c>
      <c r="L1700" t="s">
        <v>286</v>
      </c>
      <c r="M1700">
        <v>3018687</v>
      </c>
      <c r="N1700">
        <v>8</v>
      </c>
    </row>
    <row r="1701" spans="2:14" hidden="1" x14ac:dyDescent="0.25">
      <c r="B1701" t="s">
        <v>213</v>
      </c>
      <c r="C1701" t="str">
        <f>_xlfn.XLOOKUP(B1701,Tabla2[CODIGO],Tabla2[MATERIAL],"N/A",0)</f>
        <v>Tuerca Hexagona 5/8</v>
      </c>
      <c r="D1701">
        <v>1</v>
      </c>
      <c r="E1701" t="s">
        <v>42</v>
      </c>
      <c r="F1701" t="s">
        <v>62</v>
      </c>
      <c r="G1701" s="1">
        <v>46211</v>
      </c>
      <c r="I1701" s="2"/>
      <c r="J1701" t="s">
        <v>166</v>
      </c>
      <c r="K1701">
        <v>9962</v>
      </c>
      <c r="L1701" t="s">
        <v>286</v>
      </c>
      <c r="M1701">
        <v>3018695</v>
      </c>
      <c r="N1701">
        <v>9</v>
      </c>
    </row>
    <row r="1702" spans="2:14" hidden="1" x14ac:dyDescent="0.25">
      <c r="B1702" t="s">
        <v>213</v>
      </c>
      <c r="C1702" t="str">
        <f>_xlfn.XLOOKUP(B1702,Tabla2[CODIGO],Tabla2[MATERIAL],"N/A",0)</f>
        <v>Tuerca Hexagona 5/8</v>
      </c>
      <c r="D1702">
        <v>1</v>
      </c>
      <c r="E1702" t="s">
        <v>42</v>
      </c>
      <c r="F1702" t="s">
        <v>62</v>
      </c>
      <c r="G1702" s="1">
        <v>46211</v>
      </c>
      <c r="I1702" s="2"/>
      <c r="J1702" t="s">
        <v>166</v>
      </c>
      <c r="K1702">
        <v>9962</v>
      </c>
      <c r="L1702" t="s">
        <v>286</v>
      </c>
      <c r="M1702">
        <v>3018709</v>
      </c>
      <c r="N1702">
        <v>10</v>
      </c>
    </row>
    <row r="1703" spans="2:14" hidden="1" x14ac:dyDescent="0.25">
      <c r="B1703" t="s">
        <v>213</v>
      </c>
      <c r="C1703" t="str">
        <f>_xlfn.XLOOKUP(B1703,Tabla2[CODIGO],Tabla2[MATERIAL],"N/A",0)</f>
        <v>Tuerca Hexagona 5/8</v>
      </c>
      <c r="D1703">
        <v>1</v>
      </c>
      <c r="E1703" t="s">
        <v>42</v>
      </c>
      <c r="F1703" t="s">
        <v>62</v>
      </c>
      <c r="G1703" s="1">
        <v>46211</v>
      </c>
      <c r="I1703" s="2"/>
      <c r="J1703" t="s">
        <v>166</v>
      </c>
      <c r="K1703">
        <v>9962</v>
      </c>
      <c r="L1703" t="s">
        <v>286</v>
      </c>
      <c r="M1703">
        <v>3018717</v>
      </c>
      <c r="N1703">
        <v>11</v>
      </c>
    </row>
    <row r="1704" spans="2:14" hidden="1" x14ac:dyDescent="0.25">
      <c r="B1704" t="s">
        <v>213</v>
      </c>
      <c r="C1704" t="str">
        <f>_xlfn.XLOOKUP(B1704,Tabla2[CODIGO],Tabla2[MATERIAL],"N/A",0)</f>
        <v>Tuerca Hexagona 5/8</v>
      </c>
      <c r="D1704">
        <v>1</v>
      </c>
      <c r="E1704" t="s">
        <v>42</v>
      </c>
      <c r="F1704" t="s">
        <v>62</v>
      </c>
      <c r="G1704" s="1">
        <v>46211</v>
      </c>
      <c r="I1704" s="2"/>
      <c r="J1704" t="s">
        <v>166</v>
      </c>
      <c r="K1704">
        <v>9962</v>
      </c>
      <c r="L1704" t="s">
        <v>286</v>
      </c>
      <c r="M1704">
        <v>3018725</v>
      </c>
      <c r="N1704">
        <v>12</v>
      </c>
    </row>
    <row r="1705" spans="2:14" hidden="1" x14ac:dyDescent="0.25">
      <c r="B1705" t="s">
        <v>264</v>
      </c>
      <c r="C1705" t="str">
        <f>_xlfn.XLOOKUP(B1705,Tabla2[CODIGO],Tabla2[MATERIAL],"N/A",0)</f>
        <v>Cinta Autofundente</v>
      </c>
      <c r="D1705">
        <v>1</v>
      </c>
      <c r="E1705" t="s">
        <v>42</v>
      </c>
      <c r="F1705" t="s">
        <v>62</v>
      </c>
      <c r="G1705" s="1">
        <v>46204</v>
      </c>
      <c r="I1705" s="2"/>
      <c r="J1705" t="s">
        <v>166</v>
      </c>
      <c r="K1705">
        <v>9963</v>
      </c>
      <c r="L1705" t="s">
        <v>247</v>
      </c>
      <c r="M1705">
        <v>6529607</v>
      </c>
      <c r="N1705">
        <v>1</v>
      </c>
    </row>
    <row r="1706" spans="2:14" hidden="1" x14ac:dyDescent="0.25">
      <c r="B1706" t="s">
        <v>466</v>
      </c>
      <c r="C1706" t="str">
        <f>_xlfn.XLOOKUP(B1706,Tabla2[CODIGO],Tabla2[MATERIAL],"N/A",0)</f>
        <v xml:space="preserve">Perno carruaje 5-8*2 </v>
      </c>
      <c r="D1706">
        <v>1</v>
      </c>
      <c r="E1706" t="s">
        <v>42</v>
      </c>
      <c r="F1706" t="s">
        <v>62</v>
      </c>
      <c r="G1706" s="1">
        <v>46204</v>
      </c>
      <c r="I1706" s="2"/>
      <c r="J1706" t="s">
        <v>166</v>
      </c>
      <c r="K1706">
        <v>9963</v>
      </c>
      <c r="L1706" t="s">
        <v>247</v>
      </c>
      <c r="M1706">
        <v>2295580</v>
      </c>
      <c r="N1706">
        <v>5</v>
      </c>
    </row>
    <row r="1707" spans="2:14" hidden="1" x14ac:dyDescent="0.25">
      <c r="B1707" t="s">
        <v>466</v>
      </c>
      <c r="C1707" t="str">
        <f>_xlfn.XLOOKUP(B1707,Tabla2[CODIGO],Tabla2[MATERIAL],"N/A",0)</f>
        <v xml:space="preserve">Perno carruaje 5-8*2 </v>
      </c>
      <c r="D1707">
        <v>1</v>
      </c>
      <c r="E1707" t="s">
        <v>42</v>
      </c>
      <c r="F1707" t="s">
        <v>62</v>
      </c>
      <c r="G1707" s="1">
        <v>46204</v>
      </c>
      <c r="I1707" s="2"/>
      <c r="J1707" t="s">
        <v>166</v>
      </c>
      <c r="K1707">
        <v>9963</v>
      </c>
      <c r="L1707" t="s">
        <v>247</v>
      </c>
      <c r="M1707">
        <v>2295628</v>
      </c>
      <c r="N1707">
        <v>9</v>
      </c>
    </row>
    <row r="1708" spans="2:14" hidden="1" x14ac:dyDescent="0.25">
      <c r="B1708" t="s">
        <v>466</v>
      </c>
      <c r="C1708" t="str">
        <f>_xlfn.XLOOKUP(B1708,Tabla2[CODIGO],Tabla2[MATERIAL],"N/A",0)</f>
        <v xml:space="preserve">Perno carruaje 5-8*2 </v>
      </c>
      <c r="D1708">
        <v>1</v>
      </c>
      <c r="E1708" t="s">
        <v>42</v>
      </c>
      <c r="F1708" t="s">
        <v>62</v>
      </c>
      <c r="G1708" s="1">
        <v>46204</v>
      </c>
      <c r="I1708" s="2"/>
      <c r="J1708" t="s">
        <v>166</v>
      </c>
      <c r="K1708">
        <v>9963</v>
      </c>
      <c r="L1708" t="s">
        <v>247</v>
      </c>
      <c r="M1708">
        <v>2295628</v>
      </c>
      <c r="N1708">
        <v>10</v>
      </c>
    </row>
    <row r="1709" spans="2:14" hidden="1" x14ac:dyDescent="0.25">
      <c r="B1709" t="s">
        <v>465</v>
      </c>
      <c r="C1709" t="str">
        <f>_xlfn.XLOOKUP(B1709,Tabla2[CODIGO],Tabla2[MATERIAL],"N/A",0)</f>
        <v>Tuerca Hexagona 5/8</v>
      </c>
      <c r="D1709">
        <v>3</v>
      </c>
      <c r="E1709" t="s">
        <v>42</v>
      </c>
      <c r="F1709" t="s">
        <v>62</v>
      </c>
      <c r="G1709" s="1">
        <v>46204</v>
      </c>
      <c r="I1709" s="2"/>
      <c r="J1709" t="s">
        <v>166</v>
      </c>
      <c r="K1709">
        <v>9963</v>
      </c>
      <c r="L1709" t="s">
        <v>247</v>
      </c>
      <c r="M1709">
        <v>2295580</v>
      </c>
      <c r="N1709">
        <v>5</v>
      </c>
    </row>
    <row r="1710" spans="2:14" hidden="1" x14ac:dyDescent="0.25">
      <c r="B1710" t="s">
        <v>465</v>
      </c>
      <c r="C1710" t="str">
        <f>_xlfn.XLOOKUP(B1710,Tabla2[CODIGO],Tabla2[MATERIAL],"N/A",0)</f>
        <v>Tuerca Hexagona 5/8</v>
      </c>
      <c r="D1710">
        <v>3</v>
      </c>
      <c r="E1710" t="s">
        <v>42</v>
      </c>
      <c r="F1710" t="s">
        <v>62</v>
      </c>
      <c r="G1710" s="1">
        <v>46204</v>
      </c>
      <c r="I1710" s="2"/>
      <c r="J1710" t="s">
        <v>166</v>
      </c>
      <c r="K1710">
        <v>9963</v>
      </c>
      <c r="L1710" t="s">
        <v>247</v>
      </c>
      <c r="M1710">
        <v>2295628</v>
      </c>
      <c r="N1710">
        <v>9</v>
      </c>
    </row>
    <row r="1711" spans="2:14" hidden="1" x14ac:dyDescent="0.25">
      <c r="B1711" t="s">
        <v>351</v>
      </c>
      <c r="C1711" t="str">
        <f>_xlfn.XLOOKUP(B1711,Tabla2[CODIGO],Tabla2[MATERIAL],"N/A",0)</f>
        <v>concertina inox diametro 45cmx6m</v>
      </c>
      <c r="D1711">
        <v>30</v>
      </c>
      <c r="E1711" t="s">
        <v>42</v>
      </c>
      <c r="F1711" t="s">
        <v>16</v>
      </c>
      <c r="G1711" s="1">
        <v>46220</v>
      </c>
      <c r="I1711" s="2"/>
      <c r="J1711" t="s">
        <v>289</v>
      </c>
      <c r="K1711">
        <v>9966</v>
      </c>
    </row>
    <row r="1712" spans="2:14" hidden="1" x14ac:dyDescent="0.25">
      <c r="B1712" t="s">
        <v>259</v>
      </c>
      <c r="C1712" t="str">
        <f>_xlfn.XLOOKUP(B1712,Tabla2[CODIGO],Tabla2[MATERIAL],"N/A",0)</f>
        <v>Abrazadera sin salida 6"</v>
      </c>
      <c r="D1712">
        <v>3</v>
      </c>
      <c r="E1712" t="s">
        <v>42</v>
      </c>
      <c r="F1712" t="s">
        <v>62</v>
      </c>
      <c r="G1712" s="1">
        <v>46204</v>
      </c>
      <c r="I1712" s="2"/>
      <c r="J1712" t="s">
        <v>289</v>
      </c>
      <c r="K1712">
        <v>9967</v>
      </c>
    </row>
    <row r="1713" spans="2:11" hidden="1" x14ac:dyDescent="0.25">
      <c r="B1713" t="s">
        <v>225</v>
      </c>
      <c r="C1713" t="str">
        <f>_xlfn.XLOOKUP(B1713,Tabla2[CODIGO],Tabla2[MATERIAL],"N/A",0)</f>
        <v>Abrazadera una salida 6"</v>
      </c>
      <c r="D1713">
        <v>6</v>
      </c>
      <c r="E1713" t="s">
        <v>42</v>
      </c>
      <c r="F1713" t="s">
        <v>62</v>
      </c>
      <c r="G1713" s="1">
        <v>46204</v>
      </c>
      <c r="I1713" s="2"/>
      <c r="J1713" t="s">
        <v>289</v>
      </c>
      <c r="K1713">
        <v>9967</v>
      </c>
    </row>
    <row r="1714" spans="2:11" hidden="1" x14ac:dyDescent="0.25">
      <c r="B1714" t="s">
        <v>56</v>
      </c>
      <c r="C1714" t="str">
        <f>_xlfn.XLOOKUP(B1714,Tabla2[CODIGO],Tabla2[MATERIAL],"N/A",0)</f>
        <v>Aislador Carrreto</v>
      </c>
      <c r="D1714">
        <v>7</v>
      </c>
      <c r="E1714" t="s">
        <v>42</v>
      </c>
      <c r="F1714" t="s">
        <v>62</v>
      </c>
      <c r="G1714" s="1">
        <v>46204</v>
      </c>
      <c r="I1714" s="2"/>
      <c r="J1714" t="s">
        <v>289</v>
      </c>
      <c r="K1714">
        <v>9967</v>
      </c>
    </row>
    <row r="1715" spans="2:11" hidden="1" x14ac:dyDescent="0.25">
      <c r="B1715" t="s">
        <v>217</v>
      </c>
      <c r="C1715" t="str">
        <f>_xlfn.XLOOKUP(B1715,Tabla2[CODIGO],Tabla2[MATERIAL],"N/A",0)</f>
        <v>Brazo Galvanizado 1 1/2" x 2m</v>
      </c>
      <c r="D1715">
        <v>21</v>
      </c>
      <c r="E1715" t="s">
        <v>42</v>
      </c>
      <c r="F1715" t="s">
        <v>62</v>
      </c>
      <c r="G1715" s="1">
        <v>46204</v>
      </c>
      <c r="I1715" s="2"/>
      <c r="J1715" t="s">
        <v>289</v>
      </c>
      <c r="K1715">
        <v>9967</v>
      </c>
    </row>
    <row r="1716" spans="2:11" hidden="1" x14ac:dyDescent="0.25">
      <c r="B1716" t="s">
        <v>323</v>
      </c>
      <c r="C1716" t="str">
        <f>_xlfn.XLOOKUP(B1716,Tabla2[CODIGO],Tabla2[MATERIAL],"N/A",0)</f>
        <v>Brazo Galvanizado 1 1/2" tipo L</v>
      </c>
      <c r="D1716">
        <v>3</v>
      </c>
      <c r="E1716" t="s">
        <v>42</v>
      </c>
      <c r="F1716" t="s">
        <v>62</v>
      </c>
      <c r="G1716" s="1">
        <v>46204</v>
      </c>
      <c r="I1716" s="2"/>
      <c r="J1716" t="s">
        <v>289</v>
      </c>
      <c r="K1716">
        <v>9967</v>
      </c>
    </row>
    <row r="1717" spans="2:11" hidden="1" x14ac:dyDescent="0.25">
      <c r="B1717" t="s">
        <v>194</v>
      </c>
      <c r="C1717" t="str">
        <f>_xlfn.XLOOKUP(B1717,Tabla2[CODIGO],Tabla2[MATERIAL],"N/A",0)</f>
        <v>Cable TPX 2x4 1x4 awg</v>
      </c>
      <c r="D1717">
        <v>42</v>
      </c>
      <c r="E1717" t="s">
        <v>43</v>
      </c>
      <c r="F1717" t="s">
        <v>62</v>
      </c>
      <c r="G1717" s="1">
        <v>46204</v>
      </c>
      <c r="I1717" s="2"/>
      <c r="J1717" t="s">
        <v>289</v>
      </c>
      <c r="K1717">
        <v>9967</v>
      </c>
    </row>
    <row r="1718" spans="2:11" hidden="1" x14ac:dyDescent="0.25">
      <c r="B1718" t="s">
        <v>21</v>
      </c>
      <c r="C1718" t="str">
        <f>_xlfn.XLOOKUP(B1718,Tabla2[CODIGO],Tabla2[MATERIAL],"N/A",0)</f>
        <v>Cable Encauchetado 3x14 pvc</v>
      </c>
      <c r="D1718">
        <v>60</v>
      </c>
      <c r="E1718" t="s">
        <v>43</v>
      </c>
      <c r="F1718" t="s">
        <v>62</v>
      </c>
      <c r="G1718" s="1">
        <v>46204</v>
      </c>
      <c r="I1718" s="2"/>
      <c r="J1718" t="s">
        <v>289</v>
      </c>
      <c r="K1718">
        <v>9967</v>
      </c>
    </row>
    <row r="1719" spans="2:11" hidden="1" x14ac:dyDescent="0.25">
      <c r="B1719" t="s">
        <v>265</v>
      </c>
      <c r="C1719" t="str">
        <f>_xlfn.XLOOKUP(B1719,Tabla2[CODIGO],Tabla2[MATERIAL],"N/A",0)</f>
        <v>Cinta Aislante</v>
      </c>
      <c r="D1719">
        <v>1</v>
      </c>
      <c r="E1719" t="s">
        <v>42</v>
      </c>
      <c r="F1719" t="s">
        <v>62</v>
      </c>
      <c r="G1719" s="1">
        <v>46204</v>
      </c>
      <c r="I1719" s="2"/>
      <c r="J1719" t="s">
        <v>289</v>
      </c>
      <c r="K1719">
        <v>9967</v>
      </c>
    </row>
    <row r="1720" spans="2:11" hidden="1" x14ac:dyDescent="0.25">
      <c r="B1720" t="s">
        <v>53</v>
      </c>
      <c r="C1720" t="str">
        <f>_xlfn.XLOOKUP(B1720,Tabla2[CODIGO],Tabla2[MATERIAL],"N/A",0)</f>
        <v>Conector de Perforacion ais kz-ep (EP95) pequeño</v>
      </c>
      <c r="D1720">
        <v>51</v>
      </c>
      <c r="E1720" t="s">
        <v>42</v>
      </c>
      <c r="F1720" t="s">
        <v>62</v>
      </c>
      <c r="G1720" s="1">
        <v>46204</v>
      </c>
      <c r="I1720" s="2"/>
      <c r="J1720" t="s">
        <v>289</v>
      </c>
      <c r="K1720">
        <v>9967</v>
      </c>
    </row>
    <row r="1721" spans="2:11" hidden="1" x14ac:dyDescent="0.25">
      <c r="B1721" t="s">
        <v>54</v>
      </c>
      <c r="C1721" t="str">
        <f>_xlfn.XLOOKUP(B1721,Tabla2[CODIGO],Tabla2[MATERIAL],"N/A",0)</f>
        <v>Conector resorte 18-8</v>
      </c>
      <c r="D1721">
        <v>20</v>
      </c>
      <c r="E1721" t="s">
        <v>42</v>
      </c>
      <c r="F1721" t="s">
        <v>62</v>
      </c>
      <c r="G1721" s="1">
        <v>46204</v>
      </c>
      <c r="I1721" s="2"/>
      <c r="J1721" t="s">
        <v>289</v>
      </c>
      <c r="K1721">
        <v>9967</v>
      </c>
    </row>
    <row r="1722" spans="2:11" hidden="1" x14ac:dyDescent="0.25">
      <c r="B1722" t="s">
        <v>76</v>
      </c>
      <c r="C1722" t="str">
        <f>_xlfn.XLOOKUP(B1722,Tabla2[CODIGO],Tabla2[MATERIAL],"N/A",0)</f>
        <v>Empalme gel ppal 8-4/0 a der 14-2/0 awg (grande)</v>
      </c>
      <c r="D1722">
        <v>10</v>
      </c>
      <c r="E1722" t="s">
        <v>42</v>
      </c>
      <c r="F1722" t="s">
        <v>62</v>
      </c>
      <c r="G1722" s="1">
        <v>46204</v>
      </c>
      <c r="I1722" s="2"/>
      <c r="J1722" t="s">
        <v>289</v>
      </c>
      <c r="K1722">
        <v>9967</v>
      </c>
    </row>
    <row r="1723" spans="2:11" hidden="1" x14ac:dyDescent="0.25">
      <c r="B1723" t="s">
        <v>60</v>
      </c>
      <c r="C1723" t="str">
        <f>_xlfn.XLOOKUP(B1723,Tabla2[CODIGO],Tabla2[MATERIAL],"N/A",0)</f>
        <v>Fotocelda</v>
      </c>
      <c r="D1723">
        <v>24</v>
      </c>
      <c r="E1723" t="s">
        <v>42</v>
      </c>
      <c r="F1723" t="s">
        <v>62</v>
      </c>
      <c r="G1723" s="1">
        <v>46204</v>
      </c>
      <c r="I1723" s="2"/>
      <c r="J1723" t="s">
        <v>289</v>
      </c>
      <c r="K1723">
        <v>9967</v>
      </c>
    </row>
    <row r="1724" spans="2:11" hidden="1" x14ac:dyDescent="0.25">
      <c r="B1724" t="s">
        <v>212</v>
      </c>
      <c r="C1724" t="str">
        <f>_xlfn.XLOOKUP(B1724,Tabla2[CODIGO],Tabla2[MATERIAL],"N/A",0)</f>
        <v>Grillete galvanizado 1,1/2</v>
      </c>
      <c r="D1724">
        <v>16</v>
      </c>
      <c r="E1724" t="s">
        <v>42</v>
      </c>
      <c r="F1724" t="s">
        <v>62</v>
      </c>
      <c r="G1724" s="1">
        <v>46204</v>
      </c>
      <c r="I1724" s="2"/>
      <c r="J1724" t="s">
        <v>289</v>
      </c>
      <c r="K1724">
        <v>9967</v>
      </c>
    </row>
    <row r="1725" spans="2:11" hidden="1" x14ac:dyDescent="0.25">
      <c r="B1725" t="s">
        <v>30</v>
      </c>
      <c r="C1725" t="str">
        <f>_xlfn.XLOOKUP(B1725,Tabla2[CODIGO],Tabla2[MATERIAL],"N/A",0)</f>
        <v>Kit puesta tierra acero inoxidable</v>
      </c>
      <c r="D1725">
        <v>6</v>
      </c>
      <c r="E1725" t="s">
        <v>42</v>
      </c>
      <c r="F1725" t="s">
        <v>62</v>
      </c>
      <c r="G1725" s="1">
        <v>46204</v>
      </c>
      <c r="I1725" s="2"/>
      <c r="J1725" t="s">
        <v>289</v>
      </c>
      <c r="K1725">
        <v>9967</v>
      </c>
    </row>
    <row r="1726" spans="2:11" hidden="1" x14ac:dyDescent="0.25">
      <c r="B1726" t="s">
        <v>47</v>
      </c>
      <c r="C1726" t="str">
        <f>_xlfn.XLOOKUP(B1726,Tabla2[CODIGO],Tabla2[MATERIAL],"N/A",0)</f>
        <v>Luminaria 75w</v>
      </c>
      <c r="D1726">
        <v>24</v>
      </c>
      <c r="E1726" t="s">
        <v>42</v>
      </c>
      <c r="F1726" t="s">
        <v>62</v>
      </c>
      <c r="G1726" s="1">
        <v>46204</v>
      </c>
      <c r="I1726" s="2"/>
      <c r="J1726" t="s">
        <v>289</v>
      </c>
      <c r="K1726">
        <v>9967</v>
      </c>
    </row>
    <row r="1727" spans="2:11" hidden="1" x14ac:dyDescent="0.25">
      <c r="B1727" t="s">
        <v>50</v>
      </c>
      <c r="C1727" t="str">
        <f>_xlfn.XLOOKUP(B1727,Tabla2[CODIGO],Tabla2[MATERIAL],"N/A",0)</f>
        <v>Percha galv 1 puesto</v>
      </c>
      <c r="D1727">
        <v>7</v>
      </c>
      <c r="E1727" t="s">
        <v>42</v>
      </c>
      <c r="F1727" t="s">
        <v>62</v>
      </c>
      <c r="G1727" s="1">
        <v>46204</v>
      </c>
      <c r="I1727" s="2"/>
      <c r="J1727" t="s">
        <v>289</v>
      </c>
      <c r="K1727">
        <v>9967</v>
      </c>
    </row>
    <row r="1728" spans="2:11" hidden="1" x14ac:dyDescent="0.25">
      <c r="B1728" t="s">
        <v>214</v>
      </c>
      <c r="C1728" t="str">
        <f>_xlfn.XLOOKUP(B1728,Tabla2[CODIGO],Tabla2[MATERIAL],"N/A",0)</f>
        <v>Marco para caja ap</v>
      </c>
      <c r="D1728">
        <v>5</v>
      </c>
      <c r="E1728" t="s">
        <v>42</v>
      </c>
      <c r="F1728" t="s">
        <v>62</v>
      </c>
      <c r="G1728" s="1">
        <v>46218</v>
      </c>
      <c r="I1728" s="2"/>
      <c r="J1728" t="s">
        <v>289</v>
      </c>
      <c r="K1728">
        <v>9967</v>
      </c>
    </row>
    <row r="1729" spans="2:11" hidden="1" x14ac:dyDescent="0.25">
      <c r="B1729" t="s">
        <v>78</v>
      </c>
      <c r="C1729" t="str">
        <f>_xlfn.XLOOKUP(B1729,Tabla2[CODIGO],Tabla2[MATERIAL],"N/A",0)</f>
        <v>Tapa Concreto</v>
      </c>
      <c r="D1729">
        <v>5</v>
      </c>
      <c r="E1729" t="s">
        <v>42</v>
      </c>
      <c r="F1729" t="s">
        <v>62</v>
      </c>
      <c r="G1729" s="1">
        <v>46218</v>
      </c>
      <c r="I1729" s="2"/>
      <c r="J1729" t="s">
        <v>289</v>
      </c>
      <c r="K1729">
        <v>9967</v>
      </c>
    </row>
    <row r="1730" spans="2:11" hidden="1" x14ac:dyDescent="0.25">
      <c r="B1730" t="s">
        <v>261</v>
      </c>
      <c r="C1730" t="str">
        <f>_xlfn.XLOOKUP(B1730,Tabla2[CODIGO],Tabla2[MATERIAL],"N/A",0)</f>
        <v>Abrazadera sin salida 6"</v>
      </c>
      <c r="D1730">
        <v>4</v>
      </c>
      <c r="E1730" t="s">
        <v>42</v>
      </c>
      <c r="F1730" t="s">
        <v>62</v>
      </c>
      <c r="G1730" s="1">
        <v>46204</v>
      </c>
      <c r="I1730" s="2"/>
      <c r="J1730" t="s">
        <v>289</v>
      </c>
      <c r="K1730">
        <v>9968</v>
      </c>
    </row>
    <row r="1731" spans="2:11" hidden="1" x14ac:dyDescent="0.25">
      <c r="B1731" t="s">
        <v>318</v>
      </c>
      <c r="C1731" t="str">
        <f>_xlfn.XLOOKUP(B1731,Tabla2[CODIGO],Tabla2[MATERIAL],"N/A",0)</f>
        <v>Cable AL aa-8000 4 awg</v>
      </c>
      <c r="D1731">
        <v>84</v>
      </c>
      <c r="E1731" t="s">
        <v>43</v>
      </c>
      <c r="F1731" t="s">
        <v>62</v>
      </c>
      <c r="G1731" s="1">
        <v>46204</v>
      </c>
      <c r="I1731" s="2"/>
      <c r="J1731" t="s">
        <v>289</v>
      </c>
      <c r="K1731">
        <v>9968</v>
      </c>
    </row>
    <row r="1732" spans="2:11" hidden="1" x14ac:dyDescent="0.25">
      <c r="B1732" t="s">
        <v>319</v>
      </c>
      <c r="C1732" t="str">
        <f>_xlfn.XLOOKUP(B1732,Tabla2[CODIGO],Tabla2[MATERIAL],"N/A",0)</f>
        <v>alambre Cu thhn 14 verde</v>
      </c>
      <c r="D1732">
        <v>42</v>
      </c>
      <c r="E1732" t="s">
        <v>43</v>
      </c>
      <c r="F1732" t="s">
        <v>62</v>
      </c>
      <c r="G1732" s="1">
        <v>46204</v>
      </c>
      <c r="I1732" s="2"/>
      <c r="J1732" t="s">
        <v>289</v>
      </c>
      <c r="K1732">
        <v>9968</v>
      </c>
    </row>
    <row r="1733" spans="2:11" hidden="1" x14ac:dyDescent="0.25">
      <c r="B1733" t="s">
        <v>241</v>
      </c>
      <c r="C1733" t="str">
        <f>_xlfn.XLOOKUP(B1733,Tabla2[CODIGO],Tabla2[MATERIAL],"N/A",0)</f>
        <v>capacete tuberia imc 3/4"</v>
      </c>
      <c r="D1733">
        <v>3</v>
      </c>
      <c r="E1733" t="s">
        <v>42</v>
      </c>
      <c r="F1733" t="s">
        <v>62</v>
      </c>
      <c r="G1733" s="1">
        <v>46204</v>
      </c>
      <c r="I1733" s="2"/>
      <c r="J1733" t="s">
        <v>289</v>
      </c>
      <c r="K1733">
        <v>9968</v>
      </c>
    </row>
    <row r="1734" spans="2:11" hidden="1" x14ac:dyDescent="0.25">
      <c r="B1734" t="s">
        <v>265</v>
      </c>
      <c r="C1734" t="str">
        <f>_xlfn.XLOOKUP(B1734,Tabla2[CODIGO],Tabla2[MATERIAL],"N/A",0)</f>
        <v>Cinta Aislante</v>
      </c>
      <c r="D1734">
        <v>1</v>
      </c>
      <c r="E1734" t="s">
        <v>42</v>
      </c>
      <c r="F1734" t="s">
        <v>62</v>
      </c>
      <c r="G1734" s="1">
        <v>46204</v>
      </c>
      <c r="I1734" s="2"/>
      <c r="J1734" t="s">
        <v>289</v>
      </c>
      <c r="K1734">
        <v>9968</v>
      </c>
    </row>
    <row r="1735" spans="2:11" hidden="1" x14ac:dyDescent="0.25">
      <c r="B1735" t="s">
        <v>36</v>
      </c>
      <c r="C1735" t="str">
        <f>_xlfn.XLOOKUP(B1735,Tabla2[CODIGO],Tabla2[MATERIAL],"N/A",0)</f>
        <v>Cinta Bandit 1/2"</v>
      </c>
      <c r="D1735">
        <v>3</v>
      </c>
      <c r="E1735" t="s">
        <v>42</v>
      </c>
      <c r="F1735" t="s">
        <v>62</v>
      </c>
      <c r="G1735" s="1">
        <v>46204</v>
      </c>
      <c r="I1735" s="2"/>
      <c r="J1735" t="s">
        <v>289</v>
      </c>
      <c r="K1735">
        <v>9968</v>
      </c>
    </row>
    <row r="1736" spans="2:11" hidden="1" x14ac:dyDescent="0.25">
      <c r="B1736" t="s">
        <v>53</v>
      </c>
      <c r="C1736" t="str">
        <f>_xlfn.XLOOKUP(B1736,Tabla2[CODIGO],Tabla2[MATERIAL],"N/A",0)</f>
        <v>Conector de Perforacion ais kz-ep (EP95) pequeño</v>
      </c>
      <c r="D1736">
        <v>26</v>
      </c>
      <c r="E1736" t="s">
        <v>42</v>
      </c>
      <c r="F1736" t="s">
        <v>62</v>
      </c>
      <c r="G1736" s="1">
        <v>46204</v>
      </c>
      <c r="I1736" s="2"/>
      <c r="J1736" t="s">
        <v>289</v>
      </c>
      <c r="K1736">
        <v>9968</v>
      </c>
    </row>
    <row r="1737" spans="2:11" hidden="1" x14ac:dyDescent="0.25">
      <c r="B1737" t="s">
        <v>54</v>
      </c>
      <c r="C1737" t="str">
        <f>_xlfn.XLOOKUP(B1737,Tabla2[CODIGO],Tabla2[MATERIAL],"N/A",0)</f>
        <v>Conector resorte 18-8</v>
      </c>
      <c r="D1737">
        <v>13</v>
      </c>
      <c r="E1737" t="s">
        <v>42</v>
      </c>
      <c r="F1737" t="s">
        <v>62</v>
      </c>
      <c r="G1737" s="1">
        <v>46204</v>
      </c>
      <c r="I1737" s="2"/>
      <c r="J1737" t="s">
        <v>289</v>
      </c>
      <c r="K1737">
        <v>9968</v>
      </c>
    </row>
    <row r="1738" spans="2:11" hidden="1" x14ac:dyDescent="0.25">
      <c r="B1738" t="s">
        <v>210</v>
      </c>
      <c r="C1738" t="str">
        <f>_xlfn.XLOOKUP(B1738,Tabla2[CODIGO],Tabla2[MATERIAL],"N/A",0)</f>
        <v>Conector Varilla cooperw.</v>
      </c>
      <c r="D1738">
        <v>5</v>
      </c>
      <c r="E1738" t="s">
        <v>42</v>
      </c>
      <c r="F1738" t="s">
        <v>62</v>
      </c>
      <c r="G1738" s="1">
        <v>46204</v>
      </c>
      <c r="I1738" s="2"/>
      <c r="J1738" t="s">
        <v>289</v>
      </c>
      <c r="K1738">
        <v>9968</v>
      </c>
    </row>
    <row r="1739" spans="2:11" hidden="1" x14ac:dyDescent="0.25">
      <c r="B1739" t="s">
        <v>76</v>
      </c>
      <c r="C1739" t="str">
        <f>_xlfn.XLOOKUP(B1739,Tabla2[CODIGO],Tabla2[MATERIAL],"N/A",0)</f>
        <v>Empalme gel ppal 8-4/0 a der 14-2/0 awg (grande)</v>
      </c>
      <c r="D1739">
        <v>12</v>
      </c>
      <c r="E1739" t="s">
        <v>42</v>
      </c>
      <c r="F1739" t="s">
        <v>62</v>
      </c>
      <c r="G1739" s="1">
        <v>46204</v>
      </c>
      <c r="I1739" s="2"/>
      <c r="J1739" t="s">
        <v>289</v>
      </c>
      <c r="K1739">
        <v>9968</v>
      </c>
    </row>
    <row r="1740" spans="2:11" hidden="1" x14ac:dyDescent="0.25">
      <c r="B1740" t="s">
        <v>60</v>
      </c>
      <c r="C1740" t="str">
        <f>_xlfn.XLOOKUP(B1740,Tabla2[CODIGO],Tabla2[MATERIAL],"N/A",0)</f>
        <v>Fotocelda</v>
      </c>
      <c r="D1740">
        <v>23</v>
      </c>
      <c r="E1740" t="s">
        <v>42</v>
      </c>
      <c r="F1740" t="s">
        <v>62</v>
      </c>
      <c r="G1740" s="1">
        <v>46204</v>
      </c>
      <c r="I1740" s="2"/>
      <c r="J1740" t="s">
        <v>289</v>
      </c>
      <c r="K1740">
        <v>9968</v>
      </c>
    </row>
    <row r="1741" spans="2:11" hidden="1" x14ac:dyDescent="0.25">
      <c r="B1741" t="s">
        <v>212</v>
      </c>
      <c r="C1741" t="str">
        <f>_xlfn.XLOOKUP(B1741,Tabla2[CODIGO],Tabla2[MATERIAL],"N/A",0)</f>
        <v>Grillete galvanizado 1,1/2</v>
      </c>
      <c r="D1741">
        <v>2</v>
      </c>
      <c r="E1741" t="s">
        <v>42</v>
      </c>
      <c r="F1741" t="s">
        <v>62</v>
      </c>
      <c r="G1741" s="1">
        <v>46204</v>
      </c>
      <c r="I1741" s="2"/>
      <c r="J1741" t="s">
        <v>289</v>
      </c>
      <c r="K1741">
        <v>9968</v>
      </c>
    </row>
    <row r="1742" spans="2:11" hidden="1" x14ac:dyDescent="0.25">
      <c r="B1742" t="s">
        <v>37</v>
      </c>
      <c r="C1742" t="str">
        <f>_xlfn.XLOOKUP(B1742,Tabla2[CODIGO],Tabla2[MATERIAL],"N/A",0)</f>
        <v>Hebilla para cinta bandit 1/2"</v>
      </c>
      <c r="D1742">
        <v>3</v>
      </c>
      <c r="E1742" t="s">
        <v>42</v>
      </c>
      <c r="F1742" t="s">
        <v>62</v>
      </c>
      <c r="G1742" s="1">
        <v>46204</v>
      </c>
      <c r="I1742" s="2"/>
      <c r="J1742" t="s">
        <v>289</v>
      </c>
      <c r="K1742">
        <v>9968</v>
      </c>
    </row>
    <row r="1743" spans="2:11" hidden="1" x14ac:dyDescent="0.25">
      <c r="B1743" t="s">
        <v>47</v>
      </c>
      <c r="C1743" t="str">
        <f>_xlfn.XLOOKUP(B1743,Tabla2[CODIGO],Tabla2[MATERIAL],"N/A",0)</f>
        <v>Luminaria 75w</v>
      </c>
      <c r="D1743">
        <v>9</v>
      </c>
      <c r="E1743" t="s">
        <v>42</v>
      </c>
      <c r="F1743" t="s">
        <v>62</v>
      </c>
      <c r="G1743" s="1">
        <v>46204</v>
      </c>
      <c r="I1743" s="2"/>
      <c r="J1743" t="s">
        <v>289</v>
      </c>
      <c r="K1743">
        <v>9968</v>
      </c>
    </row>
    <row r="1744" spans="2:11" hidden="1" x14ac:dyDescent="0.25">
      <c r="B1744" t="s">
        <v>256</v>
      </c>
      <c r="C1744" t="str">
        <f>_xlfn.XLOOKUP(B1744,Tabla2[CODIGO],Tabla2[MATERIAL],"N/A",0)</f>
        <v>Poste fibra 10m x 510kg</v>
      </c>
      <c r="D1744">
        <v>1</v>
      </c>
      <c r="E1744" t="s">
        <v>42</v>
      </c>
      <c r="F1744" t="s">
        <v>62</v>
      </c>
      <c r="G1744" s="1">
        <v>46204</v>
      </c>
      <c r="I1744" s="2"/>
      <c r="J1744" t="s">
        <v>289</v>
      </c>
      <c r="K1744">
        <v>9968</v>
      </c>
    </row>
    <row r="1745" spans="2:14" hidden="1" x14ac:dyDescent="0.25">
      <c r="B1745" t="s">
        <v>290</v>
      </c>
      <c r="C1745" t="str">
        <f>_xlfn.XLOOKUP(B1745,Tabla2[CODIGO],Tabla2[MATERIAL],"N/A",0)</f>
        <v>proyector 90w</v>
      </c>
      <c r="D1745">
        <v>6</v>
      </c>
      <c r="E1745" t="s">
        <v>42</v>
      </c>
      <c r="F1745" t="s">
        <v>62</v>
      </c>
      <c r="G1745" s="1">
        <v>46204</v>
      </c>
      <c r="I1745" s="2"/>
      <c r="J1745" t="s">
        <v>289</v>
      </c>
      <c r="K1745">
        <v>9968</v>
      </c>
    </row>
    <row r="1746" spans="2:14" hidden="1" x14ac:dyDescent="0.25">
      <c r="B1746" t="s">
        <v>82</v>
      </c>
      <c r="C1746" t="str">
        <f>_xlfn.XLOOKUP(B1746,Tabla2[CODIGO],Tabla2[MATERIAL],"N/A",0)</f>
        <v>proyector 190w</v>
      </c>
      <c r="D1746">
        <v>1</v>
      </c>
      <c r="E1746" t="s">
        <v>42</v>
      </c>
      <c r="F1746" t="s">
        <v>62</v>
      </c>
      <c r="H1746" t="s">
        <v>64</v>
      </c>
      <c r="I1746" s="2" t="s">
        <v>434</v>
      </c>
      <c r="J1746" t="s">
        <v>289</v>
      </c>
      <c r="K1746">
        <v>9974</v>
      </c>
      <c r="M1746">
        <v>1865331</v>
      </c>
      <c r="N1746">
        <v>11</v>
      </c>
    </row>
    <row r="1747" spans="2:14" hidden="1" x14ac:dyDescent="0.25">
      <c r="B1747" t="s">
        <v>38</v>
      </c>
      <c r="C1747" t="str">
        <f>_xlfn.XLOOKUP(B1747,Tabla2[CODIGO],Tabla2[MATERIAL],"N/A",0)</f>
        <v>Tuberia Conduflex 3/4"</v>
      </c>
      <c r="D1747">
        <v>2</v>
      </c>
      <c r="E1747" t="s">
        <v>42</v>
      </c>
      <c r="F1747" t="s">
        <v>62</v>
      </c>
      <c r="G1747" s="1">
        <v>46204</v>
      </c>
      <c r="I1747" s="2"/>
      <c r="J1747" t="s">
        <v>289</v>
      </c>
      <c r="K1747">
        <v>9968</v>
      </c>
    </row>
    <row r="1748" spans="2:14" hidden="1" x14ac:dyDescent="0.25">
      <c r="B1748" t="s">
        <v>239</v>
      </c>
      <c r="C1748" t="str">
        <f>_xlfn.XLOOKUP(B1748,Tabla2[CODIGO],Tabla2[MATERIAL],"N/A",0)</f>
        <v>Tubo Conduit imc 3/4"</v>
      </c>
      <c r="D1748">
        <v>2</v>
      </c>
      <c r="E1748" t="s">
        <v>42</v>
      </c>
      <c r="F1748" t="s">
        <v>62</v>
      </c>
      <c r="G1748" s="1">
        <v>46204</v>
      </c>
      <c r="I1748" s="2"/>
      <c r="J1748" t="s">
        <v>289</v>
      </c>
      <c r="K1748">
        <v>9968</v>
      </c>
    </row>
    <row r="1749" spans="2:14" hidden="1" x14ac:dyDescent="0.25">
      <c r="B1749" t="s">
        <v>353</v>
      </c>
      <c r="C1749" t="str">
        <f>_xlfn.XLOOKUP(B1749,Tabla2[CODIGO],Tabla2[MATERIAL],"N/A",0)</f>
        <v>tubo pvc conduit 2"x6m</v>
      </c>
      <c r="D1749">
        <v>10</v>
      </c>
      <c r="E1749" t="s">
        <v>42</v>
      </c>
      <c r="F1749" t="s">
        <v>62</v>
      </c>
      <c r="G1749" s="1">
        <v>46204</v>
      </c>
      <c r="I1749" s="2"/>
      <c r="J1749" t="s">
        <v>289</v>
      </c>
      <c r="K1749">
        <v>9968</v>
      </c>
    </row>
    <row r="1750" spans="2:14" hidden="1" x14ac:dyDescent="0.25">
      <c r="B1750" t="s">
        <v>213</v>
      </c>
      <c r="C1750" t="str">
        <f>_xlfn.XLOOKUP(B1750,Tabla2[CODIGO],Tabla2[MATERIAL],"N/A",0)</f>
        <v>Tuerca Hexagona 5/8</v>
      </c>
      <c r="D1750">
        <v>14</v>
      </c>
      <c r="E1750" t="s">
        <v>42</v>
      </c>
      <c r="F1750" t="s">
        <v>62</v>
      </c>
      <c r="G1750" s="1">
        <v>46204</v>
      </c>
      <c r="I1750" s="2"/>
      <c r="J1750" t="s">
        <v>289</v>
      </c>
      <c r="K1750">
        <v>9968</v>
      </c>
    </row>
    <row r="1751" spans="2:14" hidden="1" x14ac:dyDescent="0.25">
      <c r="B1751" t="s">
        <v>198</v>
      </c>
      <c r="C1751" t="str">
        <f>_xlfn.XLOOKUP(B1751,Tabla2[CODIGO],Tabla2[MATERIAL],"N/A",0)</f>
        <v>Varilla cooperweld 2,4m</v>
      </c>
      <c r="D1751">
        <v>5</v>
      </c>
      <c r="E1751" t="s">
        <v>42</v>
      </c>
      <c r="F1751" t="s">
        <v>62</v>
      </c>
      <c r="G1751" s="1">
        <v>46204</v>
      </c>
      <c r="I1751" s="2"/>
      <c r="J1751" t="s">
        <v>289</v>
      </c>
      <c r="K1751">
        <v>9968</v>
      </c>
    </row>
    <row r="1752" spans="2:14" hidden="1" x14ac:dyDescent="0.25">
      <c r="B1752" t="s">
        <v>214</v>
      </c>
      <c r="C1752" t="str">
        <f>_xlfn.XLOOKUP(B1752,Tabla2[CODIGO],Tabla2[MATERIAL],"N/A",0)</f>
        <v>Marco para caja ap</v>
      </c>
      <c r="D1752">
        <v>6</v>
      </c>
      <c r="E1752" t="s">
        <v>42</v>
      </c>
      <c r="F1752" t="s">
        <v>62</v>
      </c>
      <c r="G1752" s="1">
        <v>46218</v>
      </c>
      <c r="I1752" s="2"/>
      <c r="J1752" t="s">
        <v>289</v>
      </c>
      <c r="K1752">
        <v>9968</v>
      </c>
    </row>
    <row r="1753" spans="2:14" hidden="1" x14ac:dyDescent="0.25">
      <c r="B1753" t="s">
        <v>78</v>
      </c>
      <c r="C1753" t="str">
        <f>_xlfn.XLOOKUP(B1753,Tabla2[CODIGO],Tabla2[MATERIAL],"N/A",0)</f>
        <v>Tapa Concreto</v>
      </c>
      <c r="D1753">
        <v>6</v>
      </c>
      <c r="E1753" t="s">
        <v>42</v>
      </c>
      <c r="F1753" t="s">
        <v>62</v>
      </c>
      <c r="G1753" s="1">
        <v>46218</v>
      </c>
      <c r="I1753" s="2"/>
      <c r="J1753" t="s">
        <v>289</v>
      </c>
      <c r="K1753">
        <v>9968</v>
      </c>
    </row>
    <row r="1754" spans="2:14" hidden="1" x14ac:dyDescent="0.25">
      <c r="B1754" t="s">
        <v>241</v>
      </c>
      <c r="C1754" t="str">
        <f>_xlfn.XLOOKUP(B1754,Tabla2[CODIGO],Tabla2[MATERIAL],"N/A",0)</f>
        <v>capacete tuberia imc 3/4"</v>
      </c>
      <c r="D1754">
        <v>2</v>
      </c>
      <c r="E1754" t="s">
        <v>42</v>
      </c>
      <c r="F1754" t="s">
        <v>62</v>
      </c>
      <c r="G1754" s="1">
        <v>46231</v>
      </c>
      <c r="I1754" s="2"/>
      <c r="J1754" t="s">
        <v>289</v>
      </c>
      <c r="K1754">
        <v>9968</v>
      </c>
    </row>
    <row r="1755" spans="2:14" hidden="1" x14ac:dyDescent="0.25">
      <c r="B1755" t="s">
        <v>250</v>
      </c>
      <c r="C1755" t="str">
        <f>_xlfn.XLOOKUP(B1755,Tabla2[CODIGO],Tabla2[MATERIAL],"N/A",0)</f>
        <v>Cruceta Metalica 3*3x 1/4</v>
      </c>
      <c r="D1755">
        <v>3</v>
      </c>
      <c r="E1755" t="s">
        <v>42</v>
      </c>
      <c r="F1755" t="s">
        <v>16</v>
      </c>
      <c r="G1755" s="1">
        <v>46231</v>
      </c>
      <c r="I1755" s="2"/>
      <c r="J1755" t="s">
        <v>289</v>
      </c>
      <c r="K1755">
        <v>9968</v>
      </c>
    </row>
    <row r="1756" spans="2:14" hidden="1" x14ac:dyDescent="0.25">
      <c r="B1756" t="s">
        <v>192</v>
      </c>
      <c r="C1756" t="str">
        <f>_xlfn.XLOOKUP(B1756,Tabla2[CODIGO],Tabla2[MATERIAL],"N/A",0)</f>
        <v>angular V</v>
      </c>
      <c r="D1756">
        <v>3</v>
      </c>
      <c r="E1756" t="s">
        <v>42</v>
      </c>
      <c r="F1756" t="s">
        <v>16</v>
      </c>
      <c r="G1756" s="1">
        <v>46231</v>
      </c>
      <c r="I1756" s="2"/>
      <c r="J1756" t="s">
        <v>289</v>
      </c>
      <c r="K1756">
        <v>9968</v>
      </c>
    </row>
    <row r="1757" spans="2:14" hidden="1" x14ac:dyDescent="0.25">
      <c r="B1757" t="s">
        <v>466</v>
      </c>
      <c r="C1757" t="str">
        <f>_xlfn.XLOOKUP(B1757,Tabla2[CODIGO],Tabla2[MATERIAL],"N/A",0)</f>
        <v xml:space="preserve">Perno carruaje 5-8*2 </v>
      </c>
      <c r="D1757">
        <v>14</v>
      </c>
      <c r="E1757" t="s">
        <v>42</v>
      </c>
      <c r="F1757" t="s">
        <v>62</v>
      </c>
      <c r="G1757" s="1">
        <v>46231</v>
      </c>
      <c r="I1757" s="2"/>
      <c r="J1757" t="s">
        <v>289</v>
      </c>
      <c r="K1757">
        <v>9968</v>
      </c>
    </row>
    <row r="1758" spans="2:14" hidden="1" x14ac:dyDescent="0.25">
      <c r="B1758" t="s">
        <v>213</v>
      </c>
      <c r="C1758" t="str">
        <f>_xlfn.XLOOKUP(B1758,Tabla2[CODIGO],Tabla2[MATERIAL],"N/A",0)</f>
        <v>Tuerca Hexagona 5/8</v>
      </c>
      <c r="D1758">
        <v>14</v>
      </c>
      <c r="E1758" t="s">
        <v>42</v>
      </c>
      <c r="F1758" t="s">
        <v>62</v>
      </c>
      <c r="G1758" s="1">
        <v>46231</v>
      </c>
      <c r="I1758" s="2"/>
      <c r="J1758" t="s">
        <v>289</v>
      </c>
      <c r="K1758">
        <v>9968</v>
      </c>
    </row>
    <row r="1759" spans="2:14" ht="0.75" hidden="1" customHeight="1" x14ac:dyDescent="0.25">
      <c r="B1759" t="s">
        <v>217</v>
      </c>
      <c r="C1759" t="str">
        <f>_xlfn.XLOOKUP(B1759,Tabla2[CODIGO],Tabla2[MATERIAL],"N/A",0)</f>
        <v>Brazo Galvanizado 1 1/2" x 2m</v>
      </c>
      <c r="D1759">
        <v>18</v>
      </c>
      <c r="E1759" t="s">
        <v>42</v>
      </c>
      <c r="F1759" t="s">
        <v>16</v>
      </c>
      <c r="G1759" s="1">
        <v>46219</v>
      </c>
      <c r="I1759" s="2"/>
      <c r="J1759" t="s">
        <v>289</v>
      </c>
      <c r="K1759">
        <v>9971</v>
      </c>
    </row>
    <row r="1760" spans="2:14" hidden="1" x14ac:dyDescent="0.25">
      <c r="B1760" t="s">
        <v>78</v>
      </c>
      <c r="C1760" t="str">
        <f>_xlfn.XLOOKUP(B1760,Tabla2[CODIGO],Tabla2[MATERIAL],"N/A",0)</f>
        <v>Tapa Concreto</v>
      </c>
      <c r="D1760">
        <v>1</v>
      </c>
      <c r="E1760" t="s">
        <v>42</v>
      </c>
      <c r="F1760" t="s">
        <v>62</v>
      </c>
      <c r="G1760" s="1">
        <v>46225</v>
      </c>
      <c r="I1760" s="2"/>
      <c r="J1760" t="s">
        <v>289</v>
      </c>
      <c r="K1760">
        <v>9971</v>
      </c>
      <c r="M1760">
        <v>2261944</v>
      </c>
      <c r="N1760">
        <v>13</v>
      </c>
    </row>
    <row r="1761" spans="2:14" hidden="1" x14ac:dyDescent="0.25">
      <c r="B1761" t="s">
        <v>78</v>
      </c>
      <c r="C1761" t="str">
        <f>_xlfn.XLOOKUP(B1761,Tabla2[CODIGO],Tabla2[MATERIAL],"N/A",0)</f>
        <v>Tapa Concreto</v>
      </c>
      <c r="D1761">
        <v>1</v>
      </c>
      <c r="E1761" t="s">
        <v>42</v>
      </c>
      <c r="F1761" t="s">
        <v>62</v>
      </c>
      <c r="G1761" s="1">
        <v>46225</v>
      </c>
      <c r="I1761" s="2"/>
      <c r="J1761" t="s">
        <v>289</v>
      </c>
      <c r="K1761">
        <v>9971</v>
      </c>
      <c r="M1761">
        <v>2261901</v>
      </c>
      <c r="N1761">
        <v>19</v>
      </c>
    </row>
    <row r="1762" spans="2:14" hidden="1" x14ac:dyDescent="0.25">
      <c r="B1762" t="s">
        <v>214</v>
      </c>
      <c r="C1762" t="str">
        <f>_xlfn.XLOOKUP(B1762,Tabla2[CODIGO],Tabla2[MATERIAL],"N/A",0)</f>
        <v>Marco para caja ap</v>
      </c>
      <c r="D1762">
        <v>1</v>
      </c>
      <c r="E1762" t="s">
        <v>42</v>
      </c>
      <c r="F1762" t="s">
        <v>62</v>
      </c>
      <c r="G1762" s="1">
        <v>46225</v>
      </c>
      <c r="I1762" s="2"/>
      <c r="J1762" t="s">
        <v>289</v>
      </c>
      <c r="K1762">
        <v>9971</v>
      </c>
      <c r="M1762">
        <v>2261944</v>
      </c>
      <c r="N1762">
        <v>13</v>
      </c>
    </row>
    <row r="1763" spans="2:14" hidden="1" x14ac:dyDescent="0.25">
      <c r="B1763" t="s">
        <v>214</v>
      </c>
      <c r="C1763" t="str">
        <f>_xlfn.XLOOKUP(B1763,Tabla2[CODIGO],Tabla2[MATERIAL],"N/A",0)</f>
        <v>Marco para caja ap</v>
      </c>
      <c r="D1763">
        <v>1</v>
      </c>
      <c r="E1763" t="s">
        <v>42</v>
      </c>
      <c r="F1763" t="s">
        <v>62</v>
      </c>
      <c r="G1763" s="1">
        <v>46225</v>
      </c>
      <c r="I1763" s="2"/>
      <c r="J1763" t="s">
        <v>289</v>
      </c>
      <c r="K1763">
        <v>9971</v>
      </c>
      <c r="M1763">
        <v>2261901</v>
      </c>
      <c r="N1763">
        <v>19</v>
      </c>
    </row>
    <row r="1764" spans="2:14" hidden="1" x14ac:dyDescent="0.25">
      <c r="B1764" t="s">
        <v>261</v>
      </c>
      <c r="C1764" t="str">
        <f>_xlfn.XLOOKUP(B1764,Tabla2[CODIGO],Tabla2[MATERIAL],"N/A",0)</f>
        <v>Abrazadera sin salida 6"</v>
      </c>
      <c r="D1764">
        <v>2</v>
      </c>
      <c r="E1764" t="s">
        <v>42</v>
      </c>
      <c r="F1764" t="s">
        <v>62</v>
      </c>
      <c r="I1764" s="2"/>
      <c r="J1764" t="s">
        <v>289</v>
      </c>
      <c r="K1764">
        <v>9972</v>
      </c>
      <c r="M1764">
        <v>2304333</v>
      </c>
      <c r="N1764">
        <v>8</v>
      </c>
    </row>
    <row r="1765" spans="2:14" hidden="1" x14ac:dyDescent="0.25">
      <c r="B1765" t="s">
        <v>319</v>
      </c>
      <c r="C1765" t="str">
        <f>_xlfn.XLOOKUP(B1765,Tabla2[CODIGO],Tabla2[MATERIAL],"N/A",0)</f>
        <v>alambre Cu thhn 14 verde</v>
      </c>
      <c r="D1765">
        <v>16</v>
      </c>
      <c r="E1765" t="s">
        <v>43</v>
      </c>
      <c r="F1765" t="s">
        <v>62</v>
      </c>
      <c r="I1765" s="2"/>
      <c r="J1765" t="s">
        <v>289</v>
      </c>
      <c r="K1765">
        <v>9972</v>
      </c>
      <c r="M1765">
        <v>2304333</v>
      </c>
      <c r="N1765">
        <v>8</v>
      </c>
    </row>
    <row r="1766" spans="2:14" hidden="1" x14ac:dyDescent="0.25">
      <c r="B1766" t="s">
        <v>319</v>
      </c>
      <c r="C1766" t="str">
        <f>_xlfn.XLOOKUP(B1766,Tabla2[CODIGO],Tabla2[MATERIAL],"N/A",0)</f>
        <v>alambre Cu thhn 14 verde</v>
      </c>
      <c r="D1766">
        <v>16</v>
      </c>
      <c r="E1766" t="s">
        <v>43</v>
      </c>
      <c r="F1766" t="s">
        <v>62</v>
      </c>
      <c r="I1766" s="2"/>
      <c r="J1766" t="s">
        <v>289</v>
      </c>
      <c r="K1766">
        <v>9972</v>
      </c>
      <c r="M1766">
        <v>1901974</v>
      </c>
      <c r="N1766">
        <v>13</v>
      </c>
    </row>
    <row r="1767" spans="2:14" hidden="1" x14ac:dyDescent="0.25">
      <c r="B1767" t="s">
        <v>192</v>
      </c>
      <c r="C1767" t="str">
        <f>_xlfn.XLOOKUP(B1767,Tabla2[CODIGO],Tabla2[MATERIAL],"N/A",0)</f>
        <v>angular V</v>
      </c>
      <c r="D1767">
        <v>1</v>
      </c>
      <c r="E1767" t="s">
        <v>42</v>
      </c>
      <c r="F1767" t="s">
        <v>62</v>
      </c>
      <c r="I1767" s="2"/>
      <c r="J1767" t="s">
        <v>289</v>
      </c>
      <c r="K1767">
        <v>9972</v>
      </c>
      <c r="M1767">
        <v>2304333</v>
      </c>
      <c r="N1767">
        <v>9</v>
      </c>
    </row>
    <row r="1768" spans="2:14" hidden="1" x14ac:dyDescent="0.25">
      <c r="B1768" t="s">
        <v>192</v>
      </c>
      <c r="C1768" t="str">
        <f>_xlfn.XLOOKUP(B1768,Tabla2[CODIGO],Tabla2[MATERIAL],"N/A",0)</f>
        <v>angular V</v>
      </c>
      <c r="D1768">
        <v>1</v>
      </c>
      <c r="E1768" t="s">
        <v>42</v>
      </c>
      <c r="F1768" t="s">
        <v>62</v>
      </c>
      <c r="I1768" s="2"/>
      <c r="J1768" t="s">
        <v>289</v>
      </c>
      <c r="K1768">
        <v>9972</v>
      </c>
      <c r="M1768">
        <v>1901974</v>
      </c>
      <c r="N1768">
        <v>13</v>
      </c>
    </row>
    <row r="1769" spans="2:14" hidden="1" x14ac:dyDescent="0.25">
      <c r="B1769" t="s">
        <v>318</v>
      </c>
      <c r="C1769" t="str">
        <f>_xlfn.XLOOKUP(B1769,Tabla2[CODIGO],Tabla2[MATERIAL],"N/A",0)</f>
        <v>Cable AL aa-8000 4 awg</v>
      </c>
      <c r="D1769">
        <v>32</v>
      </c>
      <c r="E1769" t="s">
        <v>43</v>
      </c>
      <c r="F1769" t="s">
        <v>62</v>
      </c>
      <c r="I1769" s="2"/>
      <c r="J1769" t="s">
        <v>289</v>
      </c>
      <c r="K1769">
        <v>9972</v>
      </c>
      <c r="M1769">
        <v>2304333</v>
      </c>
      <c r="N1769">
        <v>8</v>
      </c>
    </row>
    <row r="1770" spans="2:14" hidden="1" x14ac:dyDescent="0.25">
      <c r="B1770" t="s">
        <v>318</v>
      </c>
      <c r="C1770" t="str">
        <f>_xlfn.XLOOKUP(B1770,Tabla2[CODIGO],Tabla2[MATERIAL],"N/A",0)</f>
        <v>Cable AL aa-8000 4 awg</v>
      </c>
      <c r="D1770">
        <v>32</v>
      </c>
      <c r="E1770" t="s">
        <v>43</v>
      </c>
      <c r="F1770" t="s">
        <v>62</v>
      </c>
      <c r="I1770" s="2"/>
      <c r="J1770" t="s">
        <v>289</v>
      </c>
      <c r="K1770">
        <v>9972</v>
      </c>
      <c r="M1770">
        <v>1901974</v>
      </c>
      <c r="N1770">
        <v>13</v>
      </c>
    </row>
    <row r="1771" spans="2:14" hidden="1" x14ac:dyDescent="0.25">
      <c r="B1771" t="s">
        <v>21</v>
      </c>
      <c r="C1771" t="str">
        <f>_xlfn.XLOOKUP(B1771,Tabla2[CODIGO],Tabla2[MATERIAL],"N/A",0)</f>
        <v>Cable Encauchetado 3x14 pvc</v>
      </c>
      <c r="D1771">
        <v>16</v>
      </c>
      <c r="E1771" t="s">
        <v>43</v>
      </c>
      <c r="F1771" t="s">
        <v>62</v>
      </c>
      <c r="I1771" s="2"/>
      <c r="J1771" t="s">
        <v>289</v>
      </c>
      <c r="K1771">
        <v>9972</v>
      </c>
      <c r="M1771">
        <v>6774521</v>
      </c>
      <c r="N1771">
        <v>1</v>
      </c>
    </row>
    <row r="1772" spans="2:14" hidden="1" x14ac:dyDescent="0.25">
      <c r="B1772" t="s">
        <v>21</v>
      </c>
      <c r="C1772" t="str">
        <f>_xlfn.XLOOKUP(B1772,Tabla2[CODIGO],Tabla2[MATERIAL],"N/A",0)</f>
        <v>Cable Encauchetado 3x14 pvc</v>
      </c>
      <c r="D1772">
        <v>16</v>
      </c>
      <c r="E1772" t="s">
        <v>43</v>
      </c>
      <c r="F1772" t="s">
        <v>62</v>
      </c>
      <c r="I1772" s="2"/>
      <c r="J1772" t="s">
        <v>289</v>
      </c>
      <c r="K1772">
        <v>9972</v>
      </c>
      <c r="M1772">
        <v>1901834</v>
      </c>
      <c r="N1772">
        <v>2</v>
      </c>
    </row>
    <row r="1773" spans="2:14" hidden="1" x14ac:dyDescent="0.25">
      <c r="B1773" t="s">
        <v>21</v>
      </c>
      <c r="C1773" t="str">
        <f>_xlfn.XLOOKUP(B1773,Tabla2[CODIGO],Tabla2[MATERIAL],"N/A",0)</f>
        <v>Cable Encauchetado 3x14 pvc</v>
      </c>
      <c r="D1773">
        <v>16</v>
      </c>
      <c r="E1773" t="s">
        <v>43</v>
      </c>
      <c r="F1773" t="s">
        <v>62</v>
      </c>
      <c r="I1773" s="2"/>
      <c r="J1773" t="s">
        <v>289</v>
      </c>
      <c r="K1773">
        <v>9972</v>
      </c>
      <c r="M1773">
        <v>2304295</v>
      </c>
      <c r="N1773">
        <v>4</v>
      </c>
    </row>
    <row r="1774" spans="2:14" hidden="1" x14ac:dyDescent="0.25">
      <c r="B1774" t="s">
        <v>21</v>
      </c>
      <c r="C1774" t="str">
        <f>_xlfn.XLOOKUP(B1774,Tabla2[CODIGO],Tabla2[MATERIAL],"N/A",0)</f>
        <v>Cable Encauchetado 3x14 pvc</v>
      </c>
      <c r="D1774">
        <v>16</v>
      </c>
      <c r="E1774" t="s">
        <v>43</v>
      </c>
      <c r="F1774" t="s">
        <v>62</v>
      </c>
      <c r="I1774" s="2"/>
      <c r="J1774" t="s">
        <v>289</v>
      </c>
      <c r="K1774">
        <v>9972</v>
      </c>
      <c r="M1774">
        <v>1902016</v>
      </c>
      <c r="N1774">
        <v>6</v>
      </c>
    </row>
    <row r="1775" spans="2:14" hidden="1" x14ac:dyDescent="0.25">
      <c r="B1775" t="s">
        <v>21</v>
      </c>
      <c r="C1775" t="str">
        <f>_xlfn.XLOOKUP(B1775,Tabla2[CODIGO],Tabla2[MATERIAL],"N/A",0)</f>
        <v>Cable Encauchetado 3x14 pvc</v>
      </c>
      <c r="D1775">
        <v>16</v>
      </c>
      <c r="E1775" t="s">
        <v>43</v>
      </c>
      <c r="F1775" t="s">
        <v>62</v>
      </c>
      <c r="I1775" s="2"/>
      <c r="J1775" t="s">
        <v>289</v>
      </c>
      <c r="K1775">
        <v>9972</v>
      </c>
      <c r="M1775">
        <v>1901923</v>
      </c>
      <c r="N1775">
        <v>12</v>
      </c>
    </row>
    <row r="1776" spans="2:14" hidden="1" x14ac:dyDescent="0.25">
      <c r="B1776" t="s">
        <v>21</v>
      </c>
      <c r="C1776" t="str">
        <f>_xlfn.XLOOKUP(B1776,Tabla2[CODIGO],Tabla2[MATERIAL],"N/A",0)</f>
        <v>Cable Encauchetado 3x14 pvc</v>
      </c>
      <c r="D1776">
        <v>16</v>
      </c>
      <c r="E1776" t="s">
        <v>43</v>
      </c>
      <c r="F1776" t="s">
        <v>62</v>
      </c>
      <c r="I1776" s="2"/>
      <c r="J1776" t="s">
        <v>289</v>
      </c>
      <c r="K1776">
        <v>9972</v>
      </c>
      <c r="M1776">
        <v>1901893</v>
      </c>
      <c r="N1776">
        <v>17</v>
      </c>
    </row>
    <row r="1777" spans="2:14" hidden="1" x14ac:dyDescent="0.25">
      <c r="B1777" t="s">
        <v>21</v>
      </c>
      <c r="C1777" t="str">
        <f>_xlfn.XLOOKUP(B1777,Tabla2[CODIGO],Tabla2[MATERIAL],"N/A",0)</f>
        <v>Cable Encauchetado 3x14 pvc</v>
      </c>
      <c r="D1777">
        <v>16</v>
      </c>
      <c r="E1777" t="s">
        <v>43</v>
      </c>
      <c r="F1777" t="s">
        <v>62</v>
      </c>
      <c r="I1777" s="2"/>
      <c r="J1777" t="s">
        <v>289</v>
      </c>
      <c r="K1777">
        <v>9972</v>
      </c>
      <c r="M1777">
        <v>1901885</v>
      </c>
      <c r="N1777">
        <v>20</v>
      </c>
    </row>
    <row r="1778" spans="2:14" hidden="1" x14ac:dyDescent="0.25">
      <c r="B1778" t="s">
        <v>265</v>
      </c>
      <c r="C1778" t="str">
        <f>_xlfn.XLOOKUP(B1778,Tabla2[CODIGO],Tabla2[MATERIAL],"N/A",0)</f>
        <v>Cinta Aislante</v>
      </c>
      <c r="D1778">
        <v>1</v>
      </c>
      <c r="E1778" t="s">
        <v>42</v>
      </c>
      <c r="F1778" t="s">
        <v>62</v>
      </c>
      <c r="I1778" s="2"/>
      <c r="J1778" t="s">
        <v>289</v>
      </c>
      <c r="K1778">
        <v>9972</v>
      </c>
    </row>
    <row r="1779" spans="2:14" hidden="1" x14ac:dyDescent="0.25">
      <c r="B1779" t="s">
        <v>36</v>
      </c>
      <c r="C1779" t="str">
        <f>_xlfn.XLOOKUP(B1779,Tabla2[CODIGO],Tabla2[MATERIAL],"N/A",0)</f>
        <v>Cinta Bandit 1/2"</v>
      </c>
      <c r="D1779">
        <v>3</v>
      </c>
      <c r="E1779" t="s">
        <v>43</v>
      </c>
      <c r="F1779" t="s">
        <v>62</v>
      </c>
      <c r="I1779" s="2"/>
      <c r="J1779" t="s">
        <v>289</v>
      </c>
      <c r="K1779">
        <v>9972</v>
      </c>
      <c r="M1779">
        <v>6774521</v>
      </c>
      <c r="N1779">
        <v>1</v>
      </c>
    </row>
    <row r="1780" spans="2:14" hidden="1" x14ac:dyDescent="0.25">
      <c r="B1780" t="s">
        <v>36</v>
      </c>
      <c r="C1780" t="str">
        <f>_xlfn.XLOOKUP(B1780,Tabla2[CODIGO],Tabla2[MATERIAL],"N/A",0)</f>
        <v>Cinta Bandit 1/2"</v>
      </c>
      <c r="D1780">
        <v>3</v>
      </c>
      <c r="E1780" t="s">
        <v>43</v>
      </c>
      <c r="F1780" t="s">
        <v>62</v>
      </c>
      <c r="I1780" s="2"/>
      <c r="J1780" t="s">
        <v>289</v>
      </c>
      <c r="K1780">
        <v>9972</v>
      </c>
      <c r="M1780">
        <v>2304333</v>
      </c>
      <c r="N1780">
        <v>8</v>
      </c>
    </row>
    <row r="1781" spans="2:14" hidden="1" x14ac:dyDescent="0.25">
      <c r="B1781" t="s">
        <v>36</v>
      </c>
      <c r="C1781" t="str">
        <f>_xlfn.XLOOKUP(B1781,Tabla2[CODIGO],Tabla2[MATERIAL],"N/A",0)</f>
        <v>Cinta Bandit 1/2"</v>
      </c>
      <c r="D1781">
        <v>3</v>
      </c>
      <c r="E1781" t="s">
        <v>43</v>
      </c>
      <c r="F1781" t="s">
        <v>62</v>
      </c>
      <c r="I1781" s="2"/>
      <c r="J1781" t="s">
        <v>289</v>
      </c>
      <c r="K1781">
        <v>9972</v>
      </c>
      <c r="M1781">
        <v>1901974</v>
      </c>
      <c r="N1781">
        <v>13</v>
      </c>
    </row>
    <row r="1782" spans="2:14" hidden="1" x14ac:dyDescent="0.25">
      <c r="B1782" t="s">
        <v>53</v>
      </c>
      <c r="C1782" t="str">
        <f>_xlfn.XLOOKUP(B1782,Tabla2[CODIGO],Tabla2[MATERIAL],"N/A",0)</f>
        <v>Conector de Perforacion ais kz-ep (EP95) pequeño</v>
      </c>
      <c r="D1782">
        <v>4</v>
      </c>
      <c r="E1782" t="s">
        <v>42</v>
      </c>
      <c r="F1782" t="s">
        <v>62</v>
      </c>
      <c r="I1782" s="2"/>
      <c r="J1782" t="s">
        <v>289</v>
      </c>
      <c r="K1782">
        <v>9972</v>
      </c>
      <c r="M1782">
        <v>2304333</v>
      </c>
      <c r="N1782">
        <v>8</v>
      </c>
    </row>
    <row r="1783" spans="2:14" hidden="1" x14ac:dyDescent="0.25">
      <c r="B1783" t="s">
        <v>53</v>
      </c>
      <c r="C1783" t="str">
        <f>_xlfn.XLOOKUP(B1783,Tabla2[CODIGO],Tabla2[MATERIAL],"N/A",0)</f>
        <v>Conector de Perforacion ais kz-ep (EP95) pequeño</v>
      </c>
      <c r="D1783">
        <v>2</v>
      </c>
      <c r="E1783" t="s">
        <v>42</v>
      </c>
      <c r="F1783" t="s">
        <v>62</v>
      </c>
      <c r="I1783" s="2"/>
      <c r="J1783" t="s">
        <v>289</v>
      </c>
      <c r="K1783">
        <v>9972</v>
      </c>
      <c r="M1783">
        <v>1901974</v>
      </c>
      <c r="N1783">
        <v>13</v>
      </c>
    </row>
    <row r="1784" spans="2:14" hidden="1" x14ac:dyDescent="0.25">
      <c r="B1784" t="s">
        <v>210</v>
      </c>
      <c r="C1784" t="str">
        <f>_xlfn.XLOOKUP(B1784,Tabla2[CODIGO],Tabla2[MATERIAL],"N/A",0)</f>
        <v>Conector Varilla cooperw.</v>
      </c>
      <c r="D1784">
        <v>1</v>
      </c>
      <c r="E1784" t="s">
        <v>42</v>
      </c>
      <c r="F1784" t="s">
        <v>62</v>
      </c>
      <c r="I1784" s="2"/>
      <c r="J1784" t="s">
        <v>289</v>
      </c>
      <c r="K1784">
        <v>9972</v>
      </c>
      <c r="M1784">
        <v>1901834</v>
      </c>
      <c r="N1784">
        <v>2</v>
      </c>
    </row>
    <row r="1785" spans="2:14" hidden="1" x14ac:dyDescent="0.25">
      <c r="B1785" t="s">
        <v>210</v>
      </c>
      <c r="C1785" t="str">
        <f>_xlfn.XLOOKUP(B1785,Tabla2[CODIGO],Tabla2[MATERIAL],"N/A",0)</f>
        <v>Conector Varilla cooperw.</v>
      </c>
      <c r="D1785">
        <v>1</v>
      </c>
      <c r="E1785" t="s">
        <v>42</v>
      </c>
      <c r="F1785" t="s">
        <v>62</v>
      </c>
      <c r="I1785" s="2"/>
      <c r="J1785" t="s">
        <v>289</v>
      </c>
      <c r="K1785">
        <v>9972</v>
      </c>
      <c r="M1785">
        <v>2304295</v>
      </c>
      <c r="N1785">
        <v>4</v>
      </c>
    </row>
    <row r="1786" spans="2:14" hidden="1" x14ac:dyDescent="0.25">
      <c r="B1786" t="s">
        <v>210</v>
      </c>
      <c r="C1786" t="str">
        <f>_xlfn.XLOOKUP(B1786,Tabla2[CODIGO],Tabla2[MATERIAL],"N/A",0)</f>
        <v>Conector Varilla cooperw.</v>
      </c>
      <c r="D1786">
        <v>1</v>
      </c>
      <c r="E1786" t="s">
        <v>42</v>
      </c>
      <c r="F1786" t="s">
        <v>62</v>
      </c>
      <c r="I1786" s="2"/>
      <c r="J1786" t="s">
        <v>289</v>
      </c>
      <c r="K1786">
        <v>9972</v>
      </c>
      <c r="M1786">
        <v>1902016</v>
      </c>
      <c r="N1786">
        <v>6</v>
      </c>
    </row>
    <row r="1787" spans="2:14" hidden="1" x14ac:dyDescent="0.25">
      <c r="B1787" t="s">
        <v>210</v>
      </c>
      <c r="C1787" t="str">
        <f>_xlfn.XLOOKUP(B1787,Tabla2[CODIGO],Tabla2[MATERIAL],"N/A",0)</f>
        <v>Conector Varilla cooperw.</v>
      </c>
      <c r="D1787">
        <v>1</v>
      </c>
      <c r="E1787" t="s">
        <v>42</v>
      </c>
      <c r="F1787" t="s">
        <v>62</v>
      </c>
      <c r="I1787" s="2"/>
      <c r="J1787" t="s">
        <v>289</v>
      </c>
      <c r="K1787">
        <v>9972</v>
      </c>
      <c r="M1787">
        <v>2304333</v>
      </c>
      <c r="N1787">
        <v>8</v>
      </c>
    </row>
    <row r="1788" spans="2:14" hidden="1" x14ac:dyDescent="0.25">
      <c r="B1788" t="s">
        <v>210</v>
      </c>
      <c r="C1788" t="str">
        <f>_xlfn.XLOOKUP(B1788,Tabla2[CODIGO],Tabla2[MATERIAL],"N/A",0)</f>
        <v>Conector Varilla cooperw.</v>
      </c>
      <c r="D1788">
        <v>1</v>
      </c>
      <c r="E1788" t="s">
        <v>42</v>
      </c>
      <c r="F1788" t="s">
        <v>62</v>
      </c>
      <c r="I1788" s="2"/>
      <c r="J1788" t="s">
        <v>289</v>
      </c>
      <c r="K1788">
        <v>9972</v>
      </c>
      <c r="M1788">
        <v>1901923</v>
      </c>
      <c r="N1788">
        <v>12</v>
      </c>
    </row>
    <row r="1789" spans="2:14" hidden="1" x14ac:dyDescent="0.25">
      <c r="B1789" t="s">
        <v>210</v>
      </c>
      <c r="C1789" t="str">
        <f>_xlfn.XLOOKUP(B1789,Tabla2[CODIGO],Tabla2[MATERIAL],"N/A",0)</f>
        <v>Conector Varilla cooperw.</v>
      </c>
      <c r="D1789">
        <v>1</v>
      </c>
      <c r="E1789" t="s">
        <v>42</v>
      </c>
      <c r="F1789" t="s">
        <v>62</v>
      </c>
      <c r="I1789" s="2"/>
      <c r="J1789" t="s">
        <v>289</v>
      </c>
      <c r="K1789">
        <v>9972</v>
      </c>
      <c r="M1789">
        <v>1901974</v>
      </c>
      <c r="N1789">
        <v>13</v>
      </c>
    </row>
    <row r="1790" spans="2:14" hidden="1" x14ac:dyDescent="0.25">
      <c r="B1790" t="s">
        <v>210</v>
      </c>
      <c r="C1790" t="str">
        <f>_xlfn.XLOOKUP(B1790,Tabla2[CODIGO],Tabla2[MATERIAL],"N/A",0)</f>
        <v>Conector Varilla cooperw.</v>
      </c>
      <c r="D1790">
        <v>1</v>
      </c>
      <c r="E1790" t="s">
        <v>42</v>
      </c>
      <c r="F1790" t="s">
        <v>62</v>
      </c>
      <c r="I1790" s="2"/>
      <c r="J1790" t="s">
        <v>289</v>
      </c>
      <c r="K1790">
        <v>9972</v>
      </c>
      <c r="M1790">
        <v>1901893</v>
      </c>
      <c r="N1790">
        <v>17</v>
      </c>
    </row>
    <row r="1791" spans="2:14" hidden="1" x14ac:dyDescent="0.25">
      <c r="B1791" t="s">
        <v>210</v>
      </c>
      <c r="C1791" t="str">
        <f>_xlfn.XLOOKUP(B1791,Tabla2[CODIGO],Tabla2[MATERIAL],"N/A",0)</f>
        <v>Conector Varilla cooperw.</v>
      </c>
      <c r="D1791">
        <v>1</v>
      </c>
      <c r="E1791" t="s">
        <v>42</v>
      </c>
      <c r="F1791" t="s">
        <v>62</v>
      </c>
      <c r="I1791" s="2"/>
      <c r="J1791" t="s">
        <v>289</v>
      </c>
      <c r="K1791">
        <v>9972</v>
      </c>
      <c r="M1791">
        <v>1901885</v>
      </c>
      <c r="N1791">
        <v>20</v>
      </c>
    </row>
    <row r="1792" spans="2:14" hidden="1" x14ac:dyDescent="0.25">
      <c r="B1792" t="s">
        <v>54</v>
      </c>
      <c r="C1792" t="str">
        <f>_xlfn.XLOOKUP(B1792,Tabla2[CODIGO],Tabla2[MATERIAL],"N/A",0)</f>
        <v>Conector resorte 18-8</v>
      </c>
      <c r="D1792">
        <v>3</v>
      </c>
      <c r="E1792" t="s">
        <v>42</v>
      </c>
      <c r="F1792" t="s">
        <v>62</v>
      </c>
      <c r="I1792" s="2"/>
      <c r="J1792" t="s">
        <v>289</v>
      </c>
      <c r="K1792">
        <v>9972</v>
      </c>
      <c r="M1792">
        <v>6774521</v>
      </c>
      <c r="N1792">
        <v>1</v>
      </c>
    </row>
    <row r="1793" spans="2:14" hidden="1" x14ac:dyDescent="0.25">
      <c r="B1793" t="s">
        <v>54</v>
      </c>
      <c r="C1793" t="str">
        <f>_xlfn.XLOOKUP(B1793,Tabla2[CODIGO],Tabla2[MATERIAL],"N/A",0)</f>
        <v>Conector resorte 18-8</v>
      </c>
      <c r="D1793">
        <v>3</v>
      </c>
      <c r="E1793" t="s">
        <v>42</v>
      </c>
      <c r="F1793" t="s">
        <v>62</v>
      </c>
      <c r="I1793" s="2"/>
      <c r="J1793" t="s">
        <v>289</v>
      </c>
      <c r="K1793">
        <v>9972</v>
      </c>
      <c r="M1793">
        <v>1901834</v>
      </c>
      <c r="N1793">
        <v>2</v>
      </c>
    </row>
    <row r="1794" spans="2:14" hidden="1" x14ac:dyDescent="0.25">
      <c r="B1794" t="s">
        <v>54</v>
      </c>
      <c r="C1794" t="str">
        <f>_xlfn.XLOOKUP(B1794,Tabla2[CODIGO],Tabla2[MATERIAL],"N/A",0)</f>
        <v>Conector resorte 18-8</v>
      </c>
      <c r="D1794">
        <v>3</v>
      </c>
      <c r="E1794" t="s">
        <v>42</v>
      </c>
      <c r="F1794" t="s">
        <v>62</v>
      </c>
      <c r="I1794" s="2"/>
      <c r="J1794" t="s">
        <v>289</v>
      </c>
      <c r="K1794">
        <v>9972</v>
      </c>
      <c r="M1794">
        <v>2304295</v>
      </c>
      <c r="N1794">
        <v>4</v>
      </c>
    </row>
    <row r="1795" spans="2:14" hidden="1" x14ac:dyDescent="0.25">
      <c r="B1795" t="s">
        <v>54</v>
      </c>
      <c r="C1795" t="str">
        <f>_xlfn.XLOOKUP(B1795,Tabla2[CODIGO],Tabla2[MATERIAL],"N/A",0)</f>
        <v>Conector resorte 18-8</v>
      </c>
      <c r="D1795">
        <v>3</v>
      </c>
      <c r="E1795" t="s">
        <v>42</v>
      </c>
      <c r="F1795" t="s">
        <v>62</v>
      </c>
      <c r="I1795" s="2"/>
      <c r="J1795" t="s">
        <v>289</v>
      </c>
      <c r="K1795">
        <v>9972</v>
      </c>
      <c r="M1795">
        <v>1902016</v>
      </c>
      <c r="N1795">
        <v>6</v>
      </c>
    </row>
    <row r="1796" spans="2:14" hidden="1" x14ac:dyDescent="0.25">
      <c r="B1796" t="s">
        <v>54</v>
      </c>
      <c r="C1796" t="str">
        <f>_xlfn.XLOOKUP(B1796,Tabla2[CODIGO],Tabla2[MATERIAL],"N/A",0)</f>
        <v>Conector resorte 18-8</v>
      </c>
      <c r="D1796">
        <v>1</v>
      </c>
      <c r="E1796" t="s">
        <v>42</v>
      </c>
      <c r="F1796" t="s">
        <v>62</v>
      </c>
      <c r="I1796" s="2"/>
      <c r="J1796" t="s">
        <v>289</v>
      </c>
      <c r="K1796">
        <v>9972</v>
      </c>
      <c r="M1796">
        <v>2304333</v>
      </c>
      <c r="N1796">
        <v>8</v>
      </c>
    </row>
    <row r="1797" spans="2:14" hidden="1" x14ac:dyDescent="0.25">
      <c r="B1797" t="s">
        <v>54</v>
      </c>
      <c r="C1797" t="str">
        <f>_xlfn.XLOOKUP(B1797,Tabla2[CODIGO],Tabla2[MATERIAL],"N/A",0)</f>
        <v>Conector resorte 18-8</v>
      </c>
      <c r="D1797">
        <v>3</v>
      </c>
      <c r="E1797" t="s">
        <v>42</v>
      </c>
      <c r="F1797" t="s">
        <v>62</v>
      </c>
      <c r="I1797" s="2"/>
      <c r="J1797" t="s">
        <v>289</v>
      </c>
      <c r="K1797">
        <v>9972</v>
      </c>
      <c r="M1797">
        <v>1901923</v>
      </c>
      <c r="N1797">
        <v>12</v>
      </c>
    </row>
    <row r="1798" spans="2:14" hidden="1" x14ac:dyDescent="0.25">
      <c r="B1798" t="s">
        <v>54</v>
      </c>
      <c r="C1798" t="str">
        <f>_xlfn.XLOOKUP(B1798,Tabla2[CODIGO],Tabla2[MATERIAL],"N/A",0)</f>
        <v>Conector resorte 18-8</v>
      </c>
      <c r="D1798">
        <v>1</v>
      </c>
      <c r="E1798" t="s">
        <v>42</v>
      </c>
      <c r="F1798" t="s">
        <v>62</v>
      </c>
      <c r="I1798" s="2"/>
      <c r="J1798" t="s">
        <v>289</v>
      </c>
      <c r="K1798">
        <v>9972</v>
      </c>
      <c r="M1798">
        <v>1901974</v>
      </c>
      <c r="N1798">
        <v>13</v>
      </c>
    </row>
    <row r="1799" spans="2:14" hidden="1" x14ac:dyDescent="0.25">
      <c r="B1799" t="s">
        <v>54</v>
      </c>
      <c r="C1799" t="str">
        <f>_xlfn.XLOOKUP(B1799,Tabla2[CODIGO],Tabla2[MATERIAL],"N/A",0)</f>
        <v>Conector resorte 18-8</v>
      </c>
      <c r="D1799">
        <v>3</v>
      </c>
      <c r="E1799" t="s">
        <v>42</v>
      </c>
      <c r="F1799" t="s">
        <v>62</v>
      </c>
      <c r="I1799" s="2"/>
      <c r="J1799" t="s">
        <v>289</v>
      </c>
      <c r="K1799">
        <v>9972</v>
      </c>
      <c r="M1799">
        <v>1901893</v>
      </c>
      <c r="N1799">
        <v>17</v>
      </c>
    </row>
    <row r="1800" spans="2:14" hidden="1" x14ac:dyDescent="0.25">
      <c r="B1800" t="s">
        <v>54</v>
      </c>
      <c r="C1800" t="str">
        <f>_xlfn.XLOOKUP(B1800,Tabla2[CODIGO],Tabla2[MATERIAL],"N/A",0)</f>
        <v>Conector resorte 18-8</v>
      </c>
      <c r="D1800">
        <v>3</v>
      </c>
      <c r="E1800" t="s">
        <v>42</v>
      </c>
      <c r="F1800" t="s">
        <v>62</v>
      </c>
      <c r="I1800" s="2"/>
      <c r="J1800" t="s">
        <v>289</v>
      </c>
      <c r="K1800">
        <v>9972</v>
      </c>
      <c r="M1800">
        <v>1888587</v>
      </c>
      <c r="N1800">
        <v>19</v>
      </c>
    </row>
    <row r="1801" spans="2:14" hidden="1" x14ac:dyDescent="0.25">
      <c r="B1801" t="s">
        <v>54</v>
      </c>
      <c r="C1801" t="str">
        <f>_xlfn.XLOOKUP(B1801,Tabla2[CODIGO],Tabla2[MATERIAL],"N/A",0)</f>
        <v>Conector resorte 18-8</v>
      </c>
      <c r="D1801">
        <v>3</v>
      </c>
      <c r="E1801" t="s">
        <v>42</v>
      </c>
      <c r="F1801" t="s">
        <v>62</v>
      </c>
      <c r="I1801" s="2"/>
      <c r="J1801" t="s">
        <v>289</v>
      </c>
      <c r="K1801">
        <v>9972</v>
      </c>
      <c r="M1801">
        <v>1901885</v>
      </c>
      <c r="N1801">
        <v>20</v>
      </c>
    </row>
    <row r="1802" spans="2:14" hidden="1" x14ac:dyDescent="0.25">
      <c r="B1802" t="s">
        <v>250</v>
      </c>
      <c r="C1802" t="str">
        <f>_xlfn.XLOOKUP(B1802,Tabla2[CODIGO],Tabla2[MATERIAL],"N/A",0)</f>
        <v>Cruceta Metalica 3*3x 1/4</v>
      </c>
      <c r="D1802">
        <v>1</v>
      </c>
      <c r="E1802" t="s">
        <v>42</v>
      </c>
      <c r="F1802" t="s">
        <v>62</v>
      </c>
      <c r="I1802" s="2"/>
      <c r="J1802" t="s">
        <v>289</v>
      </c>
      <c r="K1802">
        <v>9972</v>
      </c>
      <c r="M1802">
        <v>2304333</v>
      </c>
      <c r="N1802">
        <v>9</v>
      </c>
    </row>
    <row r="1803" spans="2:14" hidden="1" x14ac:dyDescent="0.25">
      <c r="B1803" t="s">
        <v>250</v>
      </c>
      <c r="C1803" t="str">
        <f>_xlfn.XLOOKUP(B1803,Tabla2[CODIGO],Tabla2[MATERIAL],"N/A",0)</f>
        <v>Cruceta Metalica 3*3x 1/4</v>
      </c>
      <c r="D1803">
        <v>1</v>
      </c>
      <c r="E1803" t="s">
        <v>42</v>
      </c>
      <c r="F1803" t="s">
        <v>62</v>
      </c>
      <c r="I1803" s="2"/>
      <c r="J1803" t="s">
        <v>289</v>
      </c>
      <c r="K1803">
        <v>9972</v>
      </c>
      <c r="M1803">
        <v>1901974</v>
      </c>
      <c r="N1803">
        <v>13</v>
      </c>
    </row>
    <row r="1804" spans="2:14" hidden="1" x14ac:dyDescent="0.25">
      <c r="B1804" t="s">
        <v>76</v>
      </c>
      <c r="C1804" t="str">
        <f>_xlfn.XLOOKUP(B1804,Tabla2[CODIGO],Tabla2[MATERIAL],"N/A",0)</f>
        <v>Empalme gel ppal 8-4/0 a der 14-2/0 awg (grande)</v>
      </c>
      <c r="D1804">
        <v>2</v>
      </c>
      <c r="E1804" t="s">
        <v>42</v>
      </c>
      <c r="F1804" t="s">
        <v>62</v>
      </c>
      <c r="I1804" s="2"/>
      <c r="J1804" t="s">
        <v>289</v>
      </c>
      <c r="K1804">
        <v>9972</v>
      </c>
      <c r="M1804">
        <v>6774521</v>
      </c>
      <c r="N1804">
        <v>1</v>
      </c>
    </row>
    <row r="1805" spans="2:14" hidden="1" x14ac:dyDescent="0.25">
      <c r="B1805" t="s">
        <v>76</v>
      </c>
      <c r="C1805" t="str">
        <f>_xlfn.XLOOKUP(B1805,Tabla2[CODIGO],Tabla2[MATERIAL],"N/A",0)</f>
        <v>Empalme gel ppal 8-4/0 a der 14-2/0 awg (grande)</v>
      </c>
      <c r="D1805">
        <v>2</v>
      </c>
      <c r="E1805" t="s">
        <v>42</v>
      </c>
      <c r="F1805" t="s">
        <v>62</v>
      </c>
      <c r="I1805" s="2"/>
      <c r="J1805" t="s">
        <v>289</v>
      </c>
      <c r="K1805">
        <v>9972</v>
      </c>
      <c r="M1805">
        <v>1901834</v>
      </c>
      <c r="N1805">
        <v>2</v>
      </c>
    </row>
    <row r="1806" spans="2:14" hidden="1" x14ac:dyDescent="0.25">
      <c r="B1806" t="s">
        <v>76</v>
      </c>
      <c r="C1806" t="str">
        <f>_xlfn.XLOOKUP(B1806,Tabla2[CODIGO],Tabla2[MATERIAL],"N/A",0)</f>
        <v>Empalme gel ppal 8-4/0 a der 14-2/0 awg (grande)</v>
      </c>
      <c r="D1806">
        <v>2</v>
      </c>
      <c r="E1806" t="s">
        <v>42</v>
      </c>
      <c r="F1806" t="s">
        <v>62</v>
      </c>
      <c r="I1806" s="2"/>
      <c r="J1806" t="s">
        <v>289</v>
      </c>
      <c r="K1806">
        <v>9972</v>
      </c>
      <c r="M1806">
        <v>2304295</v>
      </c>
      <c r="N1806">
        <v>4</v>
      </c>
    </row>
    <row r="1807" spans="2:14" hidden="1" x14ac:dyDescent="0.25">
      <c r="B1807" t="s">
        <v>76</v>
      </c>
      <c r="C1807" t="str">
        <f>_xlfn.XLOOKUP(B1807,Tabla2[CODIGO],Tabla2[MATERIAL],"N/A",0)</f>
        <v>Empalme gel ppal 8-4/0 a der 14-2/0 awg (grande)</v>
      </c>
      <c r="D1807">
        <v>2</v>
      </c>
      <c r="E1807" t="s">
        <v>42</v>
      </c>
      <c r="F1807" t="s">
        <v>62</v>
      </c>
      <c r="I1807" s="2"/>
      <c r="J1807" t="s">
        <v>289</v>
      </c>
      <c r="K1807">
        <v>9972</v>
      </c>
      <c r="M1807">
        <v>1902016</v>
      </c>
      <c r="N1807">
        <v>6</v>
      </c>
    </row>
    <row r="1808" spans="2:14" hidden="1" x14ac:dyDescent="0.25">
      <c r="B1808" t="s">
        <v>76</v>
      </c>
      <c r="C1808" t="str">
        <f>_xlfn.XLOOKUP(B1808,Tabla2[CODIGO],Tabla2[MATERIAL],"N/A",0)</f>
        <v>Empalme gel ppal 8-4/0 a der 14-2/0 awg (grande)</v>
      </c>
      <c r="D1808">
        <v>2</v>
      </c>
      <c r="E1808" t="s">
        <v>42</v>
      </c>
      <c r="F1808" t="s">
        <v>62</v>
      </c>
      <c r="I1808" s="2"/>
      <c r="J1808" t="s">
        <v>289</v>
      </c>
      <c r="K1808">
        <v>9972</v>
      </c>
      <c r="M1808">
        <v>2304333</v>
      </c>
      <c r="N1808">
        <v>8</v>
      </c>
    </row>
    <row r="1809" spans="2:14" hidden="1" x14ac:dyDescent="0.25">
      <c r="B1809" t="s">
        <v>76</v>
      </c>
      <c r="C1809" t="str">
        <f>_xlfn.XLOOKUP(B1809,Tabla2[CODIGO],Tabla2[MATERIAL],"N/A",0)</f>
        <v>Empalme gel ppal 8-4/0 a der 14-2/0 awg (grande)</v>
      </c>
      <c r="D1809">
        <v>2</v>
      </c>
      <c r="E1809" t="s">
        <v>42</v>
      </c>
      <c r="F1809" t="s">
        <v>62</v>
      </c>
      <c r="I1809" s="2"/>
      <c r="J1809" t="s">
        <v>289</v>
      </c>
      <c r="K1809">
        <v>9972</v>
      </c>
      <c r="M1809">
        <v>1901923</v>
      </c>
      <c r="N1809">
        <v>12</v>
      </c>
    </row>
    <row r="1810" spans="2:14" hidden="1" x14ac:dyDescent="0.25">
      <c r="B1810" t="s">
        <v>76</v>
      </c>
      <c r="C1810" t="str">
        <f>_xlfn.XLOOKUP(B1810,Tabla2[CODIGO],Tabla2[MATERIAL],"N/A",0)</f>
        <v>Empalme gel ppal 8-4/0 a der 14-2/0 awg (grande)</v>
      </c>
      <c r="D1810">
        <v>2</v>
      </c>
      <c r="E1810" t="s">
        <v>42</v>
      </c>
      <c r="F1810" t="s">
        <v>62</v>
      </c>
      <c r="I1810" s="2"/>
      <c r="J1810" t="s">
        <v>289</v>
      </c>
      <c r="K1810">
        <v>9972</v>
      </c>
      <c r="M1810">
        <v>1901974</v>
      </c>
      <c r="N1810">
        <v>13</v>
      </c>
    </row>
    <row r="1811" spans="2:14" hidden="1" x14ac:dyDescent="0.25">
      <c r="B1811" t="s">
        <v>76</v>
      </c>
      <c r="C1811" t="str">
        <f>_xlfn.XLOOKUP(B1811,Tabla2[CODIGO],Tabla2[MATERIAL],"N/A",0)</f>
        <v>Empalme gel ppal 8-4/0 a der 14-2/0 awg (grande)</v>
      </c>
      <c r="D1811">
        <v>2</v>
      </c>
      <c r="E1811" t="s">
        <v>42</v>
      </c>
      <c r="F1811" t="s">
        <v>62</v>
      </c>
      <c r="I1811" s="2"/>
      <c r="J1811" t="s">
        <v>289</v>
      </c>
      <c r="K1811">
        <v>9972</v>
      </c>
      <c r="M1811">
        <v>1901893</v>
      </c>
      <c r="N1811">
        <v>17</v>
      </c>
    </row>
    <row r="1812" spans="2:14" hidden="1" x14ac:dyDescent="0.25">
      <c r="B1812" t="s">
        <v>76</v>
      </c>
      <c r="C1812" t="str">
        <f>_xlfn.XLOOKUP(B1812,Tabla2[CODIGO],Tabla2[MATERIAL],"N/A",0)</f>
        <v>Empalme gel ppal 8-4/0 a der 14-2/0 awg (grande)</v>
      </c>
      <c r="D1812">
        <v>2</v>
      </c>
      <c r="E1812" t="s">
        <v>42</v>
      </c>
      <c r="F1812" t="s">
        <v>62</v>
      </c>
      <c r="I1812" s="2"/>
      <c r="J1812" t="s">
        <v>289</v>
      </c>
      <c r="K1812">
        <v>9972</v>
      </c>
      <c r="M1812">
        <v>1901885</v>
      </c>
      <c r="N1812">
        <v>20</v>
      </c>
    </row>
    <row r="1813" spans="2:14" hidden="1" x14ac:dyDescent="0.25">
      <c r="B1813" t="s">
        <v>212</v>
      </c>
      <c r="C1813" t="str">
        <f>_xlfn.XLOOKUP(B1813,Tabla2[CODIGO],Tabla2[MATERIAL],"N/A",0)</f>
        <v>Grillete galvanizado 1,1/2</v>
      </c>
      <c r="D1813">
        <v>2</v>
      </c>
      <c r="E1813" t="s">
        <v>42</v>
      </c>
      <c r="F1813" t="s">
        <v>62</v>
      </c>
      <c r="I1813" s="2"/>
      <c r="J1813" t="s">
        <v>289</v>
      </c>
      <c r="K1813">
        <v>9972</v>
      </c>
      <c r="M1813">
        <v>2304333</v>
      </c>
      <c r="N1813">
        <v>8</v>
      </c>
    </row>
    <row r="1814" spans="2:14" hidden="1" x14ac:dyDescent="0.25">
      <c r="B1814" t="s">
        <v>198</v>
      </c>
      <c r="C1814" t="str">
        <f>_xlfn.XLOOKUP(B1814,Tabla2[CODIGO],Tabla2[MATERIAL],"N/A",0)</f>
        <v>Varilla cooperweld 2,4m</v>
      </c>
      <c r="D1814">
        <v>1</v>
      </c>
      <c r="E1814" t="s">
        <v>42</v>
      </c>
      <c r="F1814" t="s">
        <v>62</v>
      </c>
      <c r="I1814" s="2"/>
      <c r="J1814" t="s">
        <v>289</v>
      </c>
      <c r="K1814">
        <v>9972</v>
      </c>
      <c r="M1814">
        <v>6774521</v>
      </c>
      <c r="N1814">
        <v>1</v>
      </c>
    </row>
    <row r="1815" spans="2:14" hidden="1" x14ac:dyDescent="0.25">
      <c r="B1815" t="s">
        <v>198</v>
      </c>
      <c r="C1815" t="str">
        <f>_xlfn.XLOOKUP(B1815,Tabla2[CODIGO],Tabla2[MATERIAL],"N/A",0)</f>
        <v>Varilla cooperweld 2,4m</v>
      </c>
      <c r="D1815">
        <v>1</v>
      </c>
      <c r="E1815" t="s">
        <v>42</v>
      </c>
      <c r="F1815" t="s">
        <v>62</v>
      </c>
      <c r="I1815" s="2"/>
      <c r="J1815" t="s">
        <v>289</v>
      </c>
      <c r="K1815">
        <v>9972</v>
      </c>
      <c r="M1815">
        <v>1902016</v>
      </c>
      <c r="N1815">
        <v>6</v>
      </c>
    </row>
    <row r="1816" spans="2:14" hidden="1" x14ac:dyDescent="0.25">
      <c r="B1816" t="s">
        <v>198</v>
      </c>
      <c r="C1816" t="str">
        <f>_xlfn.XLOOKUP(B1816,Tabla2[CODIGO],Tabla2[MATERIAL],"N/A",0)</f>
        <v>Varilla cooperweld 2,4m</v>
      </c>
      <c r="D1816">
        <v>1</v>
      </c>
      <c r="E1816" t="s">
        <v>42</v>
      </c>
      <c r="F1816" t="s">
        <v>62</v>
      </c>
      <c r="I1816" s="2"/>
      <c r="J1816" t="s">
        <v>289</v>
      </c>
      <c r="K1816">
        <v>9972</v>
      </c>
      <c r="M1816">
        <v>2304333</v>
      </c>
      <c r="N1816">
        <v>8</v>
      </c>
    </row>
    <row r="1817" spans="2:14" hidden="1" x14ac:dyDescent="0.25">
      <c r="B1817" t="s">
        <v>37</v>
      </c>
      <c r="C1817" t="str">
        <f>_xlfn.XLOOKUP(B1817,Tabla2[CODIGO],Tabla2[MATERIAL],"N/A",0)</f>
        <v>Hebilla para cinta bandit 1/2"</v>
      </c>
      <c r="D1817">
        <v>3</v>
      </c>
      <c r="E1817" t="s">
        <v>42</v>
      </c>
      <c r="F1817" t="s">
        <v>62</v>
      </c>
      <c r="I1817" s="2"/>
      <c r="J1817" t="s">
        <v>289</v>
      </c>
      <c r="K1817">
        <v>9972</v>
      </c>
      <c r="M1817">
        <v>6774521</v>
      </c>
      <c r="N1817">
        <v>1</v>
      </c>
    </row>
    <row r="1818" spans="2:14" hidden="1" x14ac:dyDescent="0.25">
      <c r="B1818" t="s">
        <v>37</v>
      </c>
      <c r="C1818" t="str">
        <f>_xlfn.XLOOKUP(B1818,Tabla2[CODIGO],Tabla2[MATERIAL],"N/A",0)</f>
        <v>Hebilla para cinta bandit 1/2"</v>
      </c>
      <c r="D1818">
        <v>3</v>
      </c>
      <c r="E1818" t="s">
        <v>42</v>
      </c>
      <c r="F1818" t="s">
        <v>62</v>
      </c>
      <c r="I1818" s="2"/>
      <c r="J1818" t="s">
        <v>289</v>
      </c>
      <c r="K1818">
        <v>9972</v>
      </c>
      <c r="M1818">
        <v>2304333</v>
      </c>
      <c r="N1818">
        <v>8</v>
      </c>
    </row>
    <row r="1819" spans="2:14" hidden="1" x14ac:dyDescent="0.25">
      <c r="B1819" t="s">
        <v>37</v>
      </c>
      <c r="C1819" t="str">
        <f>_xlfn.XLOOKUP(B1819,Tabla2[CODIGO],Tabla2[MATERIAL],"N/A",0)</f>
        <v>Hebilla para cinta bandit 1/2"</v>
      </c>
      <c r="D1819">
        <v>3</v>
      </c>
      <c r="E1819" t="s">
        <v>42</v>
      </c>
      <c r="F1819" t="s">
        <v>62</v>
      </c>
      <c r="I1819" s="2"/>
      <c r="J1819" t="s">
        <v>289</v>
      </c>
      <c r="K1819">
        <v>9972</v>
      </c>
      <c r="M1819">
        <v>1901974</v>
      </c>
      <c r="N1819">
        <v>13</v>
      </c>
    </row>
    <row r="1820" spans="2:14" hidden="1" x14ac:dyDescent="0.25">
      <c r="B1820" t="s">
        <v>38</v>
      </c>
      <c r="C1820" t="str">
        <f>_xlfn.XLOOKUP(B1820,Tabla2[CODIGO],Tabla2[MATERIAL],"N/A",0)</f>
        <v>Tuberia Conduflex 3/4"</v>
      </c>
      <c r="D1820">
        <v>0.3</v>
      </c>
      <c r="E1820" t="s">
        <v>43</v>
      </c>
      <c r="F1820" t="s">
        <v>62</v>
      </c>
      <c r="I1820" s="2"/>
      <c r="J1820" t="s">
        <v>289</v>
      </c>
      <c r="K1820">
        <v>9972</v>
      </c>
      <c r="M1820">
        <v>6774521</v>
      </c>
      <c r="N1820">
        <v>1</v>
      </c>
    </row>
    <row r="1821" spans="2:14" hidden="1" x14ac:dyDescent="0.25">
      <c r="B1821" t="s">
        <v>38</v>
      </c>
      <c r="C1821" t="str">
        <f>_xlfn.XLOOKUP(B1821,Tabla2[CODIGO],Tabla2[MATERIAL],"N/A",0)</f>
        <v>Tuberia Conduflex 3/4"</v>
      </c>
      <c r="D1821">
        <v>0.3</v>
      </c>
      <c r="E1821" t="s">
        <v>43</v>
      </c>
      <c r="F1821" t="s">
        <v>62</v>
      </c>
      <c r="I1821" s="2"/>
      <c r="J1821" t="s">
        <v>289</v>
      </c>
      <c r="K1821">
        <v>9972</v>
      </c>
      <c r="M1821">
        <v>1901834</v>
      </c>
      <c r="N1821">
        <v>2</v>
      </c>
    </row>
    <row r="1822" spans="2:14" hidden="1" x14ac:dyDescent="0.25">
      <c r="B1822" t="s">
        <v>38</v>
      </c>
      <c r="C1822" t="str">
        <f>_xlfn.XLOOKUP(B1822,Tabla2[CODIGO],Tabla2[MATERIAL],"N/A",0)</f>
        <v>Tuberia Conduflex 3/4"</v>
      </c>
      <c r="D1822">
        <v>0.3</v>
      </c>
      <c r="E1822" t="s">
        <v>43</v>
      </c>
      <c r="F1822" t="s">
        <v>62</v>
      </c>
      <c r="I1822" s="2"/>
      <c r="J1822" t="s">
        <v>289</v>
      </c>
      <c r="K1822">
        <v>9972</v>
      </c>
      <c r="M1822">
        <v>2304295</v>
      </c>
      <c r="N1822">
        <v>4</v>
      </c>
    </row>
    <row r="1823" spans="2:14" hidden="1" x14ac:dyDescent="0.25">
      <c r="B1823" t="s">
        <v>38</v>
      </c>
      <c r="C1823" t="str">
        <f>_xlfn.XLOOKUP(B1823,Tabla2[CODIGO],Tabla2[MATERIAL],"N/A",0)</f>
        <v>Tuberia Conduflex 3/4"</v>
      </c>
      <c r="D1823">
        <v>0.3</v>
      </c>
      <c r="E1823" t="s">
        <v>43</v>
      </c>
      <c r="F1823" t="s">
        <v>62</v>
      </c>
      <c r="I1823" s="2"/>
      <c r="J1823" t="s">
        <v>289</v>
      </c>
      <c r="K1823">
        <v>9972</v>
      </c>
      <c r="M1823">
        <v>1902016</v>
      </c>
      <c r="N1823">
        <v>6</v>
      </c>
    </row>
    <row r="1824" spans="2:14" hidden="1" x14ac:dyDescent="0.25">
      <c r="B1824" t="s">
        <v>38</v>
      </c>
      <c r="C1824" t="str">
        <f>_xlfn.XLOOKUP(B1824,Tabla2[CODIGO],Tabla2[MATERIAL],"N/A",0)</f>
        <v>Tuberia Conduflex 3/4"</v>
      </c>
      <c r="D1824">
        <v>0.3</v>
      </c>
      <c r="E1824" t="s">
        <v>43</v>
      </c>
      <c r="F1824" t="s">
        <v>62</v>
      </c>
      <c r="I1824" s="2"/>
      <c r="J1824" t="s">
        <v>289</v>
      </c>
      <c r="K1824">
        <v>9972</v>
      </c>
      <c r="M1824">
        <v>2304333</v>
      </c>
      <c r="N1824">
        <v>8</v>
      </c>
    </row>
    <row r="1825" spans="2:14" hidden="1" x14ac:dyDescent="0.25">
      <c r="B1825" t="s">
        <v>38</v>
      </c>
      <c r="C1825" t="str">
        <f>_xlfn.XLOOKUP(B1825,Tabla2[CODIGO],Tabla2[MATERIAL],"N/A",0)</f>
        <v>Tuberia Conduflex 3/4"</v>
      </c>
      <c r="D1825">
        <v>1</v>
      </c>
      <c r="E1825" t="s">
        <v>43</v>
      </c>
      <c r="F1825" t="s">
        <v>62</v>
      </c>
      <c r="I1825" s="2"/>
      <c r="J1825" t="s">
        <v>289</v>
      </c>
      <c r="K1825">
        <v>9972</v>
      </c>
      <c r="M1825">
        <v>1901923</v>
      </c>
      <c r="N1825">
        <v>12</v>
      </c>
    </row>
    <row r="1826" spans="2:14" hidden="1" x14ac:dyDescent="0.25">
      <c r="B1826" t="s">
        <v>38</v>
      </c>
      <c r="C1826" t="str">
        <f>_xlfn.XLOOKUP(B1826,Tabla2[CODIGO],Tabla2[MATERIAL],"N/A",0)</f>
        <v>Tuberia Conduflex 3/4"</v>
      </c>
      <c r="D1826">
        <v>0.3</v>
      </c>
      <c r="E1826" t="s">
        <v>43</v>
      </c>
      <c r="F1826" t="s">
        <v>62</v>
      </c>
      <c r="I1826" s="2"/>
      <c r="J1826" t="s">
        <v>289</v>
      </c>
      <c r="K1826">
        <v>9972</v>
      </c>
      <c r="M1826">
        <v>1901974</v>
      </c>
      <c r="N1826">
        <v>13</v>
      </c>
    </row>
    <row r="1827" spans="2:14" hidden="1" x14ac:dyDescent="0.25">
      <c r="B1827" t="s">
        <v>38</v>
      </c>
      <c r="C1827" t="str">
        <f>_xlfn.XLOOKUP(B1827,Tabla2[CODIGO],Tabla2[MATERIAL],"N/A",0)</f>
        <v>Tuberia Conduflex 3/4"</v>
      </c>
      <c r="D1827">
        <v>0.3</v>
      </c>
      <c r="E1827" t="s">
        <v>43</v>
      </c>
      <c r="F1827" t="s">
        <v>62</v>
      </c>
      <c r="I1827" s="2"/>
      <c r="J1827" t="s">
        <v>289</v>
      </c>
      <c r="K1827">
        <v>9972</v>
      </c>
      <c r="M1827">
        <v>1901893</v>
      </c>
      <c r="N1827">
        <v>17</v>
      </c>
    </row>
    <row r="1828" spans="2:14" hidden="1" x14ac:dyDescent="0.25">
      <c r="B1828" t="s">
        <v>38</v>
      </c>
      <c r="C1828" t="str">
        <f>_xlfn.XLOOKUP(B1828,Tabla2[CODIGO],Tabla2[MATERIAL],"N/A",0)</f>
        <v>Tuberia Conduflex 3/4"</v>
      </c>
      <c r="D1828">
        <v>1</v>
      </c>
      <c r="E1828" t="s">
        <v>43</v>
      </c>
      <c r="F1828" t="s">
        <v>62</v>
      </c>
      <c r="I1828" s="2"/>
      <c r="J1828" t="s">
        <v>289</v>
      </c>
      <c r="K1828">
        <v>9972</v>
      </c>
      <c r="M1828">
        <v>1901885</v>
      </c>
      <c r="N1828">
        <v>20</v>
      </c>
    </row>
    <row r="1829" spans="2:14" hidden="1" x14ac:dyDescent="0.25">
      <c r="B1829" t="s">
        <v>78</v>
      </c>
      <c r="C1829" t="str">
        <f>_xlfn.XLOOKUP(B1829,Tabla2[CODIGO],Tabla2[MATERIAL],"N/A",0)</f>
        <v>Tapa Concreto</v>
      </c>
      <c r="D1829">
        <v>1</v>
      </c>
      <c r="E1829" t="s">
        <v>42</v>
      </c>
      <c r="F1829" t="s">
        <v>62</v>
      </c>
      <c r="I1829" s="2"/>
      <c r="J1829" t="s">
        <v>289</v>
      </c>
      <c r="K1829">
        <v>9972</v>
      </c>
      <c r="M1829">
        <v>6774521</v>
      </c>
      <c r="N1829">
        <v>1</v>
      </c>
    </row>
    <row r="1830" spans="2:14" hidden="1" x14ac:dyDescent="0.25">
      <c r="B1830" t="s">
        <v>78</v>
      </c>
      <c r="C1830" t="str">
        <f>_xlfn.XLOOKUP(B1830,Tabla2[CODIGO],Tabla2[MATERIAL],"N/A",0)</f>
        <v>Tapa Concreto</v>
      </c>
      <c r="D1830">
        <v>1</v>
      </c>
      <c r="E1830" t="s">
        <v>42</v>
      </c>
      <c r="F1830" t="s">
        <v>62</v>
      </c>
      <c r="I1830" s="2"/>
      <c r="J1830" t="s">
        <v>289</v>
      </c>
      <c r="K1830">
        <v>9972</v>
      </c>
      <c r="M1830">
        <v>1901834</v>
      </c>
      <c r="N1830">
        <v>2</v>
      </c>
    </row>
    <row r="1831" spans="2:14" hidden="1" x14ac:dyDescent="0.25">
      <c r="B1831" t="s">
        <v>78</v>
      </c>
      <c r="C1831" t="str">
        <f>_xlfn.XLOOKUP(B1831,Tabla2[CODIGO],Tabla2[MATERIAL],"N/A",0)</f>
        <v>Tapa Concreto</v>
      </c>
      <c r="D1831">
        <v>1</v>
      </c>
      <c r="E1831" t="s">
        <v>42</v>
      </c>
      <c r="F1831" t="s">
        <v>62</v>
      </c>
      <c r="I1831" s="2"/>
      <c r="J1831" t="s">
        <v>289</v>
      </c>
      <c r="K1831">
        <v>9972</v>
      </c>
      <c r="M1831">
        <v>1902016</v>
      </c>
      <c r="N1831">
        <v>6</v>
      </c>
    </row>
    <row r="1832" spans="2:14" hidden="1" x14ac:dyDescent="0.25">
      <c r="B1832" t="s">
        <v>78</v>
      </c>
      <c r="C1832" t="str">
        <f>_xlfn.XLOOKUP(B1832,Tabla2[CODIGO],Tabla2[MATERIAL],"N/A",0)</f>
        <v>Tapa Concreto</v>
      </c>
      <c r="D1832">
        <v>1</v>
      </c>
      <c r="E1832" t="s">
        <v>42</v>
      </c>
      <c r="F1832" t="s">
        <v>62</v>
      </c>
      <c r="I1832" s="2"/>
      <c r="J1832" t="s">
        <v>289</v>
      </c>
      <c r="K1832">
        <v>9972</v>
      </c>
      <c r="M1832">
        <v>2304333</v>
      </c>
      <c r="N1832">
        <v>8</v>
      </c>
    </row>
    <row r="1833" spans="2:14" hidden="1" x14ac:dyDescent="0.25">
      <c r="B1833" t="s">
        <v>78</v>
      </c>
      <c r="C1833" t="str">
        <f>_xlfn.XLOOKUP(B1833,Tabla2[CODIGO],Tabla2[MATERIAL],"N/A",0)</f>
        <v>Tapa Concreto</v>
      </c>
      <c r="D1833">
        <v>1</v>
      </c>
      <c r="E1833" t="s">
        <v>42</v>
      </c>
      <c r="F1833" t="s">
        <v>62</v>
      </c>
      <c r="I1833" s="2"/>
      <c r="J1833" t="s">
        <v>289</v>
      </c>
      <c r="K1833">
        <v>9972</v>
      </c>
      <c r="M1833">
        <v>1901923</v>
      </c>
      <c r="N1833">
        <v>12</v>
      </c>
    </row>
    <row r="1834" spans="2:14" hidden="1" x14ac:dyDescent="0.25">
      <c r="B1834" t="s">
        <v>78</v>
      </c>
      <c r="C1834" t="str">
        <f>_xlfn.XLOOKUP(B1834,Tabla2[CODIGO],Tabla2[MATERIAL],"N/A",0)</f>
        <v>Tapa Concreto</v>
      </c>
      <c r="D1834">
        <v>1</v>
      </c>
      <c r="E1834" t="s">
        <v>42</v>
      </c>
      <c r="F1834" t="s">
        <v>62</v>
      </c>
      <c r="I1834" s="2"/>
      <c r="J1834" t="s">
        <v>289</v>
      </c>
      <c r="K1834">
        <v>9972</v>
      </c>
      <c r="M1834">
        <v>1901974</v>
      </c>
      <c r="N1834">
        <v>13</v>
      </c>
    </row>
    <row r="1835" spans="2:14" hidden="1" x14ac:dyDescent="0.25">
      <c r="B1835" t="s">
        <v>78</v>
      </c>
      <c r="C1835" t="str">
        <f>_xlfn.XLOOKUP(B1835,Tabla2[CODIGO],Tabla2[MATERIAL],"N/A",0)</f>
        <v>Tapa Concreto</v>
      </c>
      <c r="D1835">
        <v>1</v>
      </c>
      <c r="E1835" t="s">
        <v>42</v>
      </c>
      <c r="F1835" t="s">
        <v>62</v>
      </c>
      <c r="I1835" s="2"/>
      <c r="J1835" t="s">
        <v>289</v>
      </c>
      <c r="K1835">
        <v>9972</v>
      </c>
      <c r="M1835">
        <v>1901893</v>
      </c>
      <c r="N1835">
        <v>17</v>
      </c>
    </row>
    <row r="1836" spans="2:14" hidden="1" x14ac:dyDescent="0.25">
      <c r="B1836" t="s">
        <v>78</v>
      </c>
      <c r="C1836" t="str">
        <f>_xlfn.XLOOKUP(B1836,Tabla2[CODIGO],Tabla2[MATERIAL],"N/A",0)</f>
        <v>Tapa Concreto</v>
      </c>
      <c r="D1836">
        <v>1</v>
      </c>
      <c r="E1836" t="s">
        <v>42</v>
      </c>
      <c r="F1836" t="s">
        <v>62</v>
      </c>
      <c r="I1836" s="2"/>
      <c r="J1836" t="s">
        <v>289</v>
      </c>
      <c r="K1836">
        <v>9972</v>
      </c>
      <c r="M1836">
        <v>1901885</v>
      </c>
      <c r="N1836">
        <v>20</v>
      </c>
    </row>
    <row r="1837" spans="2:14" hidden="1" x14ac:dyDescent="0.25">
      <c r="B1837" t="s">
        <v>214</v>
      </c>
      <c r="C1837" t="str">
        <f>_xlfn.XLOOKUP(B1837,Tabla2[CODIGO],Tabla2[MATERIAL],"N/A",0)</f>
        <v>Marco para caja ap</v>
      </c>
      <c r="D1837">
        <v>1</v>
      </c>
      <c r="E1837" t="s">
        <v>42</v>
      </c>
      <c r="F1837" t="s">
        <v>62</v>
      </c>
      <c r="I1837" s="2"/>
      <c r="J1837" t="s">
        <v>289</v>
      </c>
      <c r="K1837">
        <v>9972</v>
      </c>
      <c r="M1837">
        <v>6774521</v>
      </c>
      <c r="N1837">
        <v>1</v>
      </c>
    </row>
    <row r="1838" spans="2:14" hidden="1" x14ac:dyDescent="0.25">
      <c r="B1838" t="s">
        <v>214</v>
      </c>
      <c r="C1838" t="str">
        <f>_xlfn.XLOOKUP(B1838,Tabla2[CODIGO],Tabla2[MATERIAL],"N/A",0)</f>
        <v>Marco para caja ap</v>
      </c>
      <c r="D1838">
        <v>1</v>
      </c>
      <c r="E1838" t="s">
        <v>42</v>
      </c>
      <c r="F1838" t="s">
        <v>62</v>
      </c>
      <c r="I1838" s="2"/>
      <c r="J1838" t="s">
        <v>289</v>
      </c>
      <c r="K1838">
        <v>9972</v>
      </c>
      <c r="M1838">
        <v>1901834</v>
      </c>
      <c r="N1838">
        <v>2</v>
      </c>
    </row>
    <row r="1839" spans="2:14" hidden="1" x14ac:dyDescent="0.25">
      <c r="B1839" t="s">
        <v>214</v>
      </c>
      <c r="C1839" t="str">
        <f>_xlfn.XLOOKUP(B1839,Tabla2[CODIGO],Tabla2[MATERIAL],"N/A",0)</f>
        <v>Marco para caja ap</v>
      </c>
      <c r="D1839">
        <v>1</v>
      </c>
      <c r="E1839" t="s">
        <v>42</v>
      </c>
      <c r="F1839" t="s">
        <v>62</v>
      </c>
      <c r="I1839" s="2"/>
      <c r="J1839" t="s">
        <v>289</v>
      </c>
      <c r="K1839">
        <v>9972</v>
      </c>
      <c r="M1839">
        <v>1902016</v>
      </c>
      <c r="N1839">
        <v>6</v>
      </c>
    </row>
    <row r="1840" spans="2:14" hidden="1" x14ac:dyDescent="0.25">
      <c r="B1840" t="s">
        <v>214</v>
      </c>
      <c r="C1840" t="str">
        <f>_xlfn.XLOOKUP(B1840,Tabla2[CODIGO],Tabla2[MATERIAL],"N/A",0)</f>
        <v>Marco para caja ap</v>
      </c>
      <c r="D1840">
        <v>1</v>
      </c>
      <c r="E1840" t="s">
        <v>42</v>
      </c>
      <c r="F1840" t="s">
        <v>62</v>
      </c>
      <c r="I1840" s="2"/>
      <c r="J1840" t="s">
        <v>289</v>
      </c>
      <c r="K1840">
        <v>9972</v>
      </c>
      <c r="M1840">
        <v>2304333</v>
      </c>
      <c r="N1840">
        <v>8</v>
      </c>
    </row>
    <row r="1841" spans="2:14" hidden="1" x14ac:dyDescent="0.25">
      <c r="B1841" t="s">
        <v>214</v>
      </c>
      <c r="C1841" t="str">
        <f>_xlfn.XLOOKUP(B1841,Tabla2[CODIGO],Tabla2[MATERIAL],"N/A",0)</f>
        <v>Marco para caja ap</v>
      </c>
      <c r="D1841">
        <v>1</v>
      </c>
      <c r="E1841" t="s">
        <v>42</v>
      </c>
      <c r="F1841" t="s">
        <v>62</v>
      </c>
      <c r="I1841" s="2"/>
      <c r="J1841" t="s">
        <v>289</v>
      </c>
      <c r="K1841">
        <v>9972</v>
      </c>
      <c r="M1841">
        <v>1901923</v>
      </c>
      <c r="N1841">
        <v>12</v>
      </c>
    </row>
    <row r="1842" spans="2:14" hidden="1" x14ac:dyDescent="0.25">
      <c r="B1842" t="s">
        <v>214</v>
      </c>
      <c r="C1842" t="str">
        <f>_xlfn.XLOOKUP(B1842,Tabla2[CODIGO],Tabla2[MATERIAL],"N/A",0)</f>
        <v>Marco para caja ap</v>
      </c>
      <c r="D1842">
        <v>1</v>
      </c>
      <c r="E1842" t="s">
        <v>42</v>
      </c>
      <c r="F1842" t="s">
        <v>62</v>
      </c>
      <c r="I1842" s="2"/>
      <c r="J1842" t="s">
        <v>289</v>
      </c>
      <c r="K1842">
        <v>9972</v>
      </c>
      <c r="M1842">
        <v>1901974</v>
      </c>
      <c r="N1842">
        <v>13</v>
      </c>
    </row>
    <row r="1843" spans="2:14" hidden="1" x14ac:dyDescent="0.25">
      <c r="B1843" t="s">
        <v>214</v>
      </c>
      <c r="C1843" t="str">
        <f>_xlfn.XLOOKUP(B1843,Tabla2[CODIGO],Tabla2[MATERIAL],"N/A",0)</f>
        <v>Marco para caja ap</v>
      </c>
      <c r="D1843">
        <v>1</v>
      </c>
      <c r="E1843" t="s">
        <v>42</v>
      </c>
      <c r="F1843" t="s">
        <v>62</v>
      </c>
      <c r="I1843" s="2"/>
      <c r="J1843" t="s">
        <v>289</v>
      </c>
      <c r="K1843">
        <v>9972</v>
      </c>
      <c r="M1843">
        <v>1901893</v>
      </c>
      <c r="N1843">
        <v>17</v>
      </c>
    </row>
    <row r="1844" spans="2:14" hidden="1" x14ac:dyDescent="0.25">
      <c r="B1844" t="s">
        <v>214</v>
      </c>
      <c r="C1844" t="str">
        <f>_xlfn.XLOOKUP(B1844,Tabla2[CODIGO],Tabla2[MATERIAL],"N/A",0)</f>
        <v>Marco para caja ap</v>
      </c>
      <c r="D1844">
        <v>1</v>
      </c>
      <c r="E1844" t="s">
        <v>42</v>
      </c>
      <c r="F1844" t="s">
        <v>62</v>
      </c>
      <c r="I1844" s="2"/>
      <c r="J1844" t="s">
        <v>289</v>
      </c>
      <c r="K1844">
        <v>9972</v>
      </c>
      <c r="M1844">
        <v>1901885</v>
      </c>
      <c r="N1844">
        <v>20</v>
      </c>
    </row>
    <row r="1845" spans="2:14" hidden="1" x14ac:dyDescent="0.25">
      <c r="B1845" t="s">
        <v>239</v>
      </c>
      <c r="C1845" t="str">
        <f>_xlfn.XLOOKUP(B1845,Tabla2[CODIGO],Tabla2[MATERIAL],"N/A",0)</f>
        <v>Tubo Conduit imc 3/4"</v>
      </c>
      <c r="D1845">
        <v>2</v>
      </c>
      <c r="E1845" t="s">
        <v>42</v>
      </c>
      <c r="F1845" t="s">
        <v>62</v>
      </c>
      <c r="I1845" s="2"/>
      <c r="J1845" t="s">
        <v>289</v>
      </c>
      <c r="K1845">
        <v>9972</v>
      </c>
      <c r="M1845">
        <v>6774521</v>
      </c>
      <c r="N1845">
        <v>1</v>
      </c>
    </row>
    <row r="1846" spans="2:14" hidden="1" x14ac:dyDescent="0.25">
      <c r="B1846" t="s">
        <v>239</v>
      </c>
      <c r="C1846" t="str">
        <f>_xlfn.XLOOKUP(B1846,Tabla2[CODIGO],Tabla2[MATERIAL],"N/A",0)</f>
        <v>Tubo Conduit imc 3/4"</v>
      </c>
      <c r="D1846">
        <v>2</v>
      </c>
      <c r="E1846" t="s">
        <v>42</v>
      </c>
      <c r="F1846" t="s">
        <v>62</v>
      </c>
      <c r="I1846" s="2"/>
      <c r="J1846" t="s">
        <v>289</v>
      </c>
      <c r="K1846">
        <v>9972</v>
      </c>
      <c r="M1846">
        <v>2304333</v>
      </c>
      <c r="N1846">
        <v>8</v>
      </c>
    </row>
    <row r="1847" spans="2:14" hidden="1" x14ac:dyDescent="0.25">
      <c r="B1847" t="s">
        <v>239</v>
      </c>
      <c r="C1847" t="str">
        <f>_xlfn.XLOOKUP(B1847,Tabla2[CODIGO],Tabla2[MATERIAL],"N/A",0)</f>
        <v>Tubo Conduit imc 3/4"</v>
      </c>
      <c r="D1847">
        <v>2</v>
      </c>
      <c r="E1847" t="s">
        <v>42</v>
      </c>
      <c r="F1847" t="s">
        <v>62</v>
      </c>
      <c r="I1847" s="2"/>
      <c r="J1847" t="s">
        <v>289</v>
      </c>
      <c r="K1847">
        <v>9972</v>
      </c>
      <c r="M1847">
        <v>1901974</v>
      </c>
      <c r="N1847">
        <v>13</v>
      </c>
    </row>
    <row r="1848" spans="2:14" hidden="1" x14ac:dyDescent="0.25">
      <c r="B1848" t="s">
        <v>84</v>
      </c>
      <c r="C1848" t="str">
        <f>_xlfn.XLOOKUP(B1848,Tabla2[CODIGO],Tabla2[MATERIAL],"N/A",0)</f>
        <v>Luminaria 110w</v>
      </c>
      <c r="D1848">
        <v>1</v>
      </c>
      <c r="E1848" t="s">
        <v>42</v>
      </c>
      <c r="F1848" t="s">
        <v>62</v>
      </c>
      <c r="H1848" t="s">
        <v>64</v>
      </c>
      <c r="I1848" s="2" t="s">
        <v>118</v>
      </c>
      <c r="J1848" t="s">
        <v>289</v>
      </c>
      <c r="K1848">
        <v>9972</v>
      </c>
      <c r="M1848">
        <v>6774521</v>
      </c>
      <c r="N1848">
        <v>1</v>
      </c>
    </row>
    <row r="1849" spans="2:14" hidden="1" x14ac:dyDescent="0.25">
      <c r="B1849" t="s">
        <v>84</v>
      </c>
      <c r="C1849" t="str">
        <f>_xlfn.XLOOKUP(B1849,Tabla2[CODIGO],Tabla2[MATERIAL],"N/A",0)</f>
        <v>Luminaria 110w</v>
      </c>
      <c r="D1849">
        <v>1</v>
      </c>
      <c r="E1849" t="s">
        <v>42</v>
      </c>
      <c r="F1849" t="s">
        <v>62</v>
      </c>
      <c r="H1849" t="s">
        <v>64</v>
      </c>
      <c r="I1849" s="2" t="s">
        <v>394</v>
      </c>
      <c r="J1849" t="s">
        <v>289</v>
      </c>
      <c r="K1849">
        <v>9972</v>
      </c>
      <c r="M1849">
        <v>1901834</v>
      </c>
      <c r="N1849">
        <v>2</v>
      </c>
    </row>
    <row r="1850" spans="2:14" hidden="1" x14ac:dyDescent="0.25">
      <c r="B1850" t="s">
        <v>84</v>
      </c>
      <c r="C1850" t="str">
        <f>_xlfn.XLOOKUP(B1850,Tabla2[CODIGO],Tabla2[MATERIAL],"N/A",0)</f>
        <v>Luminaria 110w</v>
      </c>
      <c r="D1850">
        <v>1</v>
      </c>
      <c r="E1850" t="s">
        <v>42</v>
      </c>
      <c r="F1850" t="s">
        <v>62</v>
      </c>
      <c r="H1850" t="s">
        <v>64</v>
      </c>
      <c r="I1850" s="2" t="s">
        <v>396</v>
      </c>
      <c r="J1850" t="s">
        <v>289</v>
      </c>
      <c r="K1850">
        <v>9972</v>
      </c>
      <c r="M1850">
        <v>1901834</v>
      </c>
      <c r="N1850">
        <v>3</v>
      </c>
    </row>
    <row r="1851" spans="2:14" hidden="1" x14ac:dyDescent="0.25">
      <c r="B1851" t="s">
        <v>84</v>
      </c>
      <c r="C1851" t="str">
        <f>_xlfn.XLOOKUP(B1851,Tabla2[CODIGO],Tabla2[MATERIAL],"N/A",0)</f>
        <v>Luminaria 110w</v>
      </c>
      <c r="D1851">
        <v>1</v>
      </c>
      <c r="E1851" t="s">
        <v>42</v>
      </c>
      <c r="F1851" t="s">
        <v>62</v>
      </c>
      <c r="H1851" t="s">
        <v>64</v>
      </c>
      <c r="I1851" s="2" t="s">
        <v>401</v>
      </c>
      <c r="J1851" t="s">
        <v>289</v>
      </c>
      <c r="K1851">
        <v>9972</v>
      </c>
      <c r="M1851">
        <v>2304295</v>
      </c>
      <c r="N1851">
        <v>4</v>
      </c>
    </row>
    <row r="1852" spans="2:14" hidden="1" x14ac:dyDescent="0.25">
      <c r="B1852" t="s">
        <v>84</v>
      </c>
      <c r="C1852" t="str">
        <f>_xlfn.XLOOKUP(B1852,Tabla2[CODIGO],Tabla2[MATERIAL],"N/A",0)</f>
        <v>Luminaria 110w</v>
      </c>
      <c r="D1852">
        <v>1</v>
      </c>
      <c r="E1852" t="s">
        <v>42</v>
      </c>
      <c r="F1852" t="s">
        <v>62</v>
      </c>
      <c r="H1852" t="s">
        <v>64</v>
      </c>
      <c r="I1852" s="2" t="s">
        <v>398</v>
      </c>
      <c r="J1852" t="s">
        <v>289</v>
      </c>
      <c r="K1852">
        <v>9972</v>
      </c>
      <c r="M1852">
        <v>2304295</v>
      </c>
      <c r="N1852">
        <v>5</v>
      </c>
    </row>
    <row r="1853" spans="2:14" hidden="1" x14ac:dyDescent="0.25">
      <c r="B1853" t="s">
        <v>84</v>
      </c>
      <c r="C1853" t="str">
        <f>_xlfn.XLOOKUP(B1853,Tabla2[CODIGO],Tabla2[MATERIAL],"N/A",0)</f>
        <v>Luminaria 110w</v>
      </c>
      <c r="D1853">
        <v>1</v>
      </c>
      <c r="E1853" t="s">
        <v>42</v>
      </c>
      <c r="F1853" t="s">
        <v>62</v>
      </c>
      <c r="H1853" t="s">
        <v>64</v>
      </c>
      <c r="I1853" s="2" t="s">
        <v>399</v>
      </c>
      <c r="J1853" t="s">
        <v>289</v>
      </c>
      <c r="K1853">
        <v>9972</v>
      </c>
      <c r="M1853">
        <v>1902016</v>
      </c>
      <c r="N1853">
        <v>6</v>
      </c>
    </row>
    <row r="1854" spans="2:14" hidden="1" x14ac:dyDescent="0.25">
      <c r="B1854" t="s">
        <v>84</v>
      </c>
      <c r="C1854" t="str">
        <f>_xlfn.XLOOKUP(B1854,Tabla2[CODIGO],Tabla2[MATERIAL],"N/A",0)</f>
        <v>Luminaria 110w</v>
      </c>
      <c r="D1854">
        <v>1</v>
      </c>
      <c r="E1854" t="s">
        <v>42</v>
      </c>
      <c r="F1854" t="s">
        <v>62</v>
      </c>
      <c r="H1854" t="s">
        <v>64</v>
      </c>
      <c r="I1854" s="2" t="s">
        <v>393</v>
      </c>
      <c r="J1854" t="s">
        <v>289</v>
      </c>
      <c r="K1854">
        <v>9972</v>
      </c>
      <c r="M1854">
        <v>1902016</v>
      </c>
      <c r="N1854">
        <v>7</v>
      </c>
    </row>
    <row r="1855" spans="2:14" hidden="1" x14ac:dyDescent="0.25">
      <c r="B1855" t="s">
        <v>84</v>
      </c>
      <c r="C1855" t="str">
        <f>_xlfn.XLOOKUP(B1855,Tabla2[CODIGO],Tabla2[MATERIAL],"N/A",0)</f>
        <v>Luminaria 110w</v>
      </c>
      <c r="D1855">
        <v>1</v>
      </c>
      <c r="E1855" t="s">
        <v>42</v>
      </c>
      <c r="F1855" t="s">
        <v>62</v>
      </c>
      <c r="H1855" t="s">
        <v>64</v>
      </c>
      <c r="I1855" s="2" t="s">
        <v>395</v>
      </c>
      <c r="J1855" t="s">
        <v>289</v>
      </c>
      <c r="K1855">
        <v>9972</v>
      </c>
      <c r="M1855">
        <v>1901923</v>
      </c>
      <c r="N1855">
        <v>12</v>
      </c>
    </row>
    <row r="1856" spans="2:14" hidden="1" x14ac:dyDescent="0.25">
      <c r="B1856" t="s">
        <v>84</v>
      </c>
      <c r="C1856" t="str">
        <f>_xlfn.XLOOKUP(B1856,Tabla2[CODIGO],Tabla2[MATERIAL],"N/A",0)</f>
        <v>Luminaria 110w</v>
      </c>
      <c r="D1856">
        <v>1</v>
      </c>
      <c r="E1856" t="s">
        <v>42</v>
      </c>
      <c r="F1856" t="s">
        <v>62</v>
      </c>
      <c r="H1856" t="s">
        <v>64</v>
      </c>
      <c r="I1856" s="2" t="s">
        <v>397</v>
      </c>
      <c r="J1856" t="s">
        <v>289</v>
      </c>
      <c r="K1856">
        <v>9972</v>
      </c>
      <c r="M1856">
        <v>2304333</v>
      </c>
      <c r="N1856">
        <v>8</v>
      </c>
    </row>
    <row r="1857" spans="2:14" hidden="1" x14ac:dyDescent="0.25">
      <c r="B1857" t="s">
        <v>84</v>
      </c>
      <c r="C1857" t="str">
        <f>_xlfn.XLOOKUP(B1857,Tabla2[CODIGO],Tabla2[MATERIAL],"N/A",0)</f>
        <v>Luminaria 110w</v>
      </c>
      <c r="D1857">
        <v>1</v>
      </c>
      <c r="E1857" t="s">
        <v>42</v>
      </c>
      <c r="F1857" t="s">
        <v>62</v>
      </c>
      <c r="H1857" t="s">
        <v>64</v>
      </c>
      <c r="I1857" s="2" t="s">
        <v>392</v>
      </c>
      <c r="J1857" t="s">
        <v>289</v>
      </c>
      <c r="K1857">
        <v>9972</v>
      </c>
      <c r="M1857">
        <v>1901974</v>
      </c>
      <c r="N1857">
        <v>16</v>
      </c>
    </row>
    <row r="1858" spans="2:14" hidden="1" x14ac:dyDescent="0.25">
      <c r="B1858" t="s">
        <v>84</v>
      </c>
      <c r="C1858" t="str">
        <f>_xlfn.XLOOKUP(B1858,Tabla2[CODIGO],Tabla2[MATERIAL],"N/A",0)</f>
        <v>Luminaria 110w</v>
      </c>
      <c r="D1858">
        <v>1</v>
      </c>
      <c r="E1858" t="s">
        <v>42</v>
      </c>
      <c r="F1858" t="s">
        <v>62</v>
      </c>
      <c r="H1858" t="s">
        <v>64</v>
      </c>
      <c r="I1858" s="2" t="s">
        <v>391</v>
      </c>
      <c r="J1858" t="s">
        <v>289</v>
      </c>
      <c r="K1858">
        <v>9972</v>
      </c>
      <c r="M1858">
        <v>1901893</v>
      </c>
      <c r="N1858">
        <v>17</v>
      </c>
    </row>
    <row r="1859" spans="2:14" hidden="1" x14ac:dyDescent="0.25">
      <c r="B1859" t="s">
        <v>84</v>
      </c>
      <c r="C1859" t="str">
        <f>_xlfn.XLOOKUP(B1859,Tabla2[CODIGO],Tabla2[MATERIAL],"N/A",0)</f>
        <v>Luminaria 110w</v>
      </c>
      <c r="D1859">
        <v>1</v>
      </c>
      <c r="E1859" t="s">
        <v>42</v>
      </c>
      <c r="F1859" t="s">
        <v>62</v>
      </c>
      <c r="H1859" t="s">
        <v>64</v>
      </c>
      <c r="I1859" s="2" t="s">
        <v>405</v>
      </c>
      <c r="J1859" t="s">
        <v>289</v>
      </c>
      <c r="K1859">
        <v>9972</v>
      </c>
      <c r="M1859">
        <v>1901893</v>
      </c>
      <c r="N1859">
        <v>18</v>
      </c>
    </row>
    <row r="1860" spans="2:14" hidden="1" x14ac:dyDescent="0.25">
      <c r="B1860" t="s">
        <v>84</v>
      </c>
      <c r="C1860" t="str">
        <f>_xlfn.XLOOKUP(B1860,Tabla2[CODIGO],Tabla2[MATERIAL],"N/A",0)</f>
        <v>Luminaria 110w</v>
      </c>
      <c r="D1860">
        <v>1</v>
      </c>
      <c r="E1860" t="s">
        <v>42</v>
      </c>
      <c r="F1860" t="s">
        <v>62</v>
      </c>
      <c r="H1860" t="s">
        <v>64</v>
      </c>
      <c r="I1860" s="2" t="s">
        <v>404</v>
      </c>
      <c r="J1860" t="s">
        <v>289</v>
      </c>
      <c r="K1860">
        <v>9972</v>
      </c>
      <c r="M1860">
        <v>1888587</v>
      </c>
      <c r="N1860">
        <v>19</v>
      </c>
    </row>
    <row r="1861" spans="2:14" hidden="1" x14ac:dyDescent="0.25">
      <c r="B1861" t="s">
        <v>84</v>
      </c>
      <c r="C1861" t="str">
        <f>_xlfn.XLOOKUP(B1861,Tabla2[CODIGO],Tabla2[MATERIAL],"N/A",0)</f>
        <v>Luminaria 110w</v>
      </c>
      <c r="D1861">
        <v>1</v>
      </c>
      <c r="E1861" t="s">
        <v>42</v>
      </c>
      <c r="F1861" t="s">
        <v>62</v>
      </c>
      <c r="H1861" t="s">
        <v>64</v>
      </c>
      <c r="I1861" s="2" t="s">
        <v>403</v>
      </c>
      <c r="J1861" t="s">
        <v>289</v>
      </c>
      <c r="K1861">
        <v>9972</v>
      </c>
      <c r="M1861">
        <v>1901885</v>
      </c>
      <c r="N1861">
        <v>20</v>
      </c>
    </row>
    <row r="1862" spans="2:14" hidden="1" x14ac:dyDescent="0.25">
      <c r="B1862" t="s">
        <v>84</v>
      </c>
      <c r="C1862" t="str">
        <f>_xlfn.XLOOKUP(B1862,Tabla2[CODIGO],Tabla2[MATERIAL],"N/A",0)</f>
        <v>Luminaria 110w</v>
      </c>
      <c r="D1862">
        <v>1</v>
      </c>
      <c r="E1862" t="s">
        <v>42</v>
      </c>
      <c r="F1862" t="s">
        <v>62</v>
      </c>
      <c r="H1862" t="s">
        <v>64</v>
      </c>
      <c r="I1862" s="2" t="s">
        <v>400</v>
      </c>
      <c r="J1862" t="s">
        <v>289</v>
      </c>
      <c r="K1862">
        <v>9972</v>
      </c>
      <c r="M1862">
        <v>1901885</v>
      </c>
      <c r="N1862">
        <v>21</v>
      </c>
    </row>
    <row r="1863" spans="2:14" hidden="1" x14ac:dyDescent="0.25">
      <c r="B1863" t="s">
        <v>82</v>
      </c>
      <c r="C1863" t="str">
        <f>_xlfn.XLOOKUP(B1863,Tabla2[CODIGO],Tabla2[MATERIAL],"N/A",0)</f>
        <v>proyector 190w</v>
      </c>
      <c r="D1863">
        <v>1</v>
      </c>
      <c r="E1863" t="s">
        <v>42</v>
      </c>
      <c r="F1863" t="s">
        <v>16</v>
      </c>
      <c r="G1863" s="1">
        <v>46221</v>
      </c>
      <c r="H1863" t="s">
        <v>64</v>
      </c>
      <c r="I1863" s="2" t="s">
        <v>437</v>
      </c>
      <c r="J1863" t="s">
        <v>289</v>
      </c>
      <c r="K1863">
        <v>9974</v>
      </c>
    </row>
    <row r="1864" spans="2:14" hidden="1" x14ac:dyDescent="0.25">
      <c r="B1864" t="s">
        <v>82</v>
      </c>
      <c r="C1864" t="str">
        <f>_xlfn.XLOOKUP(B1864,Tabla2[CODIGO],Tabla2[MATERIAL],"N/A",0)</f>
        <v>proyector 190w</v>
      </c>
      <c r="D1864">
        <v>1</v>
      </c>
      <c r="E1864" t="s">
        <v>42</v>
      </c>
      <c r="F1864" t="s">
        <v>62</v>
      </c>
      <c r="H1864" t="s">
        <v>64</v>
      </c>
      <c r="I1864" s="2" t="s">
        <v>437</v>
      </c>
      <c r="J1864" t="s">
        <v>289</v>
      </c>
      <c r="K1864">
        <v>9974</v>
      </c>
      <c r="M1864">
        <v>1865323</v>
      </c>
      <c r="N1864">
        <v>21</v>
      </c>
    </row>
    <row r="1865" spans="2:14" hidden="1" x14ac:dyDescent="0.25">
      <c r="B1865" t="s">
        <v>82</v>
      </c>
      <c r="C1865" t="str">
        <f>_xlfn.XLOOKUP(B1865,Tabla2[CODIGO],Tabla2[MATERIAL],"N/A",0)</f>
        <v>proyector 190w</v>
      </c>
      <c r="D1865">
        <v>1</v>
      </c>
      <c r="E1865" t="s">
        <v>42</v>
      </c>
      <c r="F1865" t="s">
        <v>16</v>
      </c>
      <c r="G1865" s="1">
        <v>46221</v>
      </c>
      <c r="H1865" t="s">
        <v>64</v>
      </c>
      <c r="I1865" s="2" t="s">
        <v>440</v>
      </c>
      <c r="J1865" t="s">
        <v>289</v>
      </c>
      <c r="K1865">
        <v>9974</v>
      </c>
    </row>
    <row r="1866" spans="2:14" hidden="1" x14ac:dyDescent="0.25">
      <c r="B1866" t="s">
        <v>82</v>
      </c>
      <c r="C1866" t="str">
        <f>_xlfn.XLOOKUP(B1866,Tabla2[CODIGO],Tabla2[MATERIAL],"N/A",0)</f>
        <v>proyector 190w</v>
      </c>
      <c r="D1866">
        <v>1</v>
      </c>
      <c r="E1866" t="s">
        <v>42</v>
      </c>
      <c r="F1866" t="s">
        <v>62</v>
      </c>
      <c r="H1866" t="s">
        <v>64</v>
      </c>
      <c r="I1866" s="2" t="s">
        <v>440</v>
      </c>
      <c r="J1866" t="s">
        <v>289</v>
      </c>
      <c r="K1866">
        <v>9974</v>
      </c>
      <c r="M1866">
        <v>1865331</v>
      </c>
      <c r="N1866">
        <v>10</v>
      </c>
    </row>
    <row r="1867" spans="2:14" hidden="1" x14ac:dyDescent="0.25">
      <c r="B1867" t="s">
        <v>82</v>
      </c>
      <c r="C1867" t="str">
        <f>_xlfn.XLOOKUP(B1867,Tabla2[CODIGO],Tabla2[MATERIAL],"N/A",0)</f>
        <v>proyector 190w</v>
      </c>
      <c r="D1867">
        <v>1</v>
      </c>
      <c r="E1867" t="s">
        <v>42</v>
      </c>
      <c r="F1867" t="s">
        <v>16</v>
      </c>
      <c r="G1867" s="1">
        <v>46221</v>
      </c>
      <c r="H1867" t="s">
        <v>64</v>
      </c>
      <c r="I1867" s="2" t="s">
        <v>441</v>
      </c>
      <c r="J1867" t="s">
        <v>289</v>
      </c>
      <c r="K1867">
        <v>9974</v>
      </c>
    </row>
    <row r="1868" spans="2:14" hidden="1" x14ac:dyDescent="0.25">
      <c r="B1868" t="s">
        <v>82</v>
      </c>
      <c r="C1868" t="str">
        <f>_xlfn.XLOOKUP(B1868,Tabla2[CODIGO],Tabla2[MATERIAL],"N/A",0)</f>
        <v>proyector 190w</v>
      </c>
      <c r="D1868">
        <v>1</v>
      </c>
      <c r="E1868" t="s">
        <v>42</v>
      </c>
      <c r="F1868" t="s">
        <v>62</v>
      </c>
      <c r="H1868" t="s">
        <v>64</v>
      </c>
      <c r="I1868" s="2" t="s">
        <v>441</v>
      </c>
      <c r="J1868" t="s">
        <v>289</v>
      </c>
      <c r="K1868">
        <v>9974</v>
      </c>
      <c r="M1868">
        <v>1865331</v>
      </c>
      <c r="N1868">
        <v>8</v>
      </c>
    </row>
    <row r="1869" spans="2:14" hidden="1" x14ac:dyDescent="0.25">
      <c r="B1869" t="s">
        <v>248</v>
      </c>
      <c r="C1869" t="str">
        <f>_xlfn.XLOOKUP(B1869,Tabla2[CODIGO],Tabla2[MATERIAL],"N/A",0)</f>
        <v>Conector Varilla cooperw.</v>
      </c>
      <c r="D1869">
        <v>1</v>
      </c>
      <c r="E1869" t="s">
        <v>42</v>
      </c>
      <c r="F1869" t="s">
        <v>62</v>
      </c>
      <c r="I1869" s="2"/>
      <c r="J1869" t="s">
        <v>289</v>
      </c>
      <c r="K1869">
        <v>9972</v>
      </c>
      <c r="M1869">
        <v>6774521</v>
      </c>
      <c r="N1869">
        <v>1</v>
      </c>
    </row>
    <row r="1870" spans="2:14" hidden="1" x14ac:dyDescent="0.25">
      <c r="B1870" t="s">
        <v>137</v>
      </c>
      <c r="C1870" t="str">
        <f>_xlfn.XLOOKUP(B1870,Tabla2[CODIGO],Tabla2[MATERIAL],"N/A",0)</f>
        <v>Fotocelda</v>
      </c>
      <c r="D1870">
        <v>1</v>
      </c>
      <c r="E1870" t="s">
        <v>42</v>
      </c>
      <c r="F1870" t="s">
        <v>62</v>
      </c>
      <c r="I1870" s="2"/>
      <c r="J1870" t="s">
        <v>289</v>
      </c>
      <c r="K1870">
        <v>9972</v>
      </c>
      <c r="M1870">
        <v>6774521</v>
      </c>
      <c r="N1870">
        <v>1</v>
      </c>
    </row>
    <row r="1871" spans="2:14" hidden="1" x14ac:dyDescent="0.25">
      <c r="B1871" t="s">
        <v>137</v>
      </c>
      <c r="C1871" t="str">
        <f>_xlfn.XLOOKUP(B1871,Tabla2[CODIGO],Tabla2[MATERIAL],"N/A",0)</f>
        <v>Fotocelda</v>
      </c>
      <c r="D1871">
        <v>1</v>
      </c>
      <c r="E1871" t="s">
        <v>42</v>
      </c>
      <c r="F1871" t="s">
        <v>62</v>
      </c>
      <c r="I1871" s="2"/>
      <c r="J1871" t="s">
        <v>289</v>
      </c>
      <c r="K1871">
        <v>9972</v>
      </c>
      <c r="M1871">
        <v>1901834</v>
      </c>
      <c r="N1871">
        <v>2</v>
      </c>
    </row>
    <row r="1872" spans="2:14" hidden="1" x14ac:dyDescent="0.25">
      <c r="B1872" t="s">
        <v>212</v>
      </c>
      <c r="C1872" t="str">
        <f>_xlfn.XLOOKUP(B1872,Tabla2[CODIGO],Tabla2[MATERIAL],"N/A",0)</f>
        <v>Grillete galvanizado 1,1/2</v>
      </c>
      <c r="D1872">
        <v>2</v>
      </c>
      <c r="E1872" t="s">
        <v>42</v>
      </c>
      <c r="F1872" t="s">
        <v>62</v>
      </c>
      <c r="I1872" s="2"/>
      <c r="J1872" t="s">
        <v>289</v>
      </c>
      <c r="K1872">
        <v>9972</v>
      </c>
      <c r="M1872">
        <v>6774521</v>
      </c>
      <c r="N1872">
        <v>1</v>
      </c>
    </row>
    <row r="1873" spans="2:14" hidden="1" x14ac:dyDescent="0.25">
      <c r="B1873" t="s">
        <v>137</v>
      </c>
      <c r="C1873" t="str">
        <f>_xlfn.XLOOKUP(B1873,Tabla2[CODIGO],Tabla2[MATERIAL],"N/A",0)</f>
        <v>Fotocelda</v>
      </c>
      <c r="D1873">
        <v>1</v>
      </c>
      <c r="E1873" t="s">
        <v>42</v>
      </c>
      <c r="F1873" t="s">
        <v>62</v>
      </c>
      <c r="I1873" s="2"/>
      <c r="J1873" t="s">
        <v>289</v>
      </c>
      <c r="K1873">
        <v>9972</v>
      </c>
      <c r="M1873">
        <v>1901834</v>
      </c>
      <c r="N1873">
        <v>3</v>
      </c>
    </row>
    <row r="1874" spans="2:14" hidden="1" x14ac:dyDescent="0.25">
      <c r="B1874" t="s">
        <v>137</v>
      </c>
      <c r="C1874" t="str">
        <f>_xlfn.XLOOKUP(B1874,Tabla2[CODIGO],Tabla2[MATERIAL],"N/A",0)</f>
        <v>Fotocelda</v>
      </c>
      <c r="D1874">
        <v>1</v>
      </c>
      <c r="E1874" t="s">
        <v>42</v>
      </c>
      <c r="F1874" t="s">
        <v>62</v>
      </c>
      <c r="I1874" s="2"/>
      <c r="J1874" t="s">
        <v>289</v>
      </c>
      <c r="K1874">
        <v>9972</v>
      </c>
      <c r="M1874">
        <v>2304295</v>
      </c>
      <c r="N1874">
        <v>4</v>
      </c>
    </row>
    <row r="1875" spans="2:14" hidden="1" x14ac:dyDescent="0.25">
      <c r="B1875" t="s">
        <v>137</v>
      </c>
      <c r="C1875" t="str">
        <f>_xlfn.XLOOKUP(B1875,Tabla2[CODIGO],Tabla2[MATERIAL],"N/A",0)</f>
        <v>Fotocelda</v>
      </c>
      <c r="D1875">
        <v>1</v>
      </c>
      <c r="E1875" t="s">
        <v>42</v>
      </c>
      <c r="F1875" t="s">
        <v>62</v>
      </c>
      <c r="I1875" s="2"/>
      <c r="J1875" t="s">
        <v>289</v>
      </c>
      <c r="K1875">
        <v>9972</v>
      </c>
      <c r="M1875">
        <v>2304295</v>
      </c>
      <c r="N1875">
        <v>5</v>
      </c>
    </row>
    <row r="1876" spans="2:14" hidden="1" x14ac:dyDescent="0.25">
      <c r="B1876" t="s">
        <v>137</v>
      </c>
      <c r="C1876" t="str">
        <f>_xlfn.XLOOKUP(B1876,Tabla2[CODIGO],Tabla2[MATERIAL],"N/A",0)</f>
        <v>Fotocelda</v>
      </c>
      <c r="D1876">
        <v>1</v>
      </c>
      <c r="E1876" t="s">
        <v>42</v>
      </c>
      <c r="F1876" t="s">
        <v>62</v>
      </c>
      <c r="I1876" s="2"/>
      <c r="J1876" t="s">
        <v>289</v>
      </c>
      <c r="K1876">
        <v>9972</v>
      </c>
      <c r="M1876">
        <v>1902016</v>
      </c>
      <c r="N1876">
        <v>6</v>
      </c>
    </row>
    <row r="1877" spans="2:14" hidden="1" x14ac:dyDescent="0.25">
      <c r="B1877" t="s">
        <v>137</v>
      </c>
      <c r="C1877" t="str">
        <f>_xlfn.XLOOKUP(B1877,Tabla2[CODIGO],Tabla2[MATERIAL],"N/A",0)</f>
        <v>Fotocelda</v>
      </c>
      <c r="D1877">
        <v>1</v>
      </c>
      <c r="E1877" t="s">
        <v>42</v>
      </c>
      <c r="F1877" t="s">
        <v>62</v>
      </c>
      <c r="I1877" s="2"/>
      <c r="J1877" t="s">
        <v>289</v>
      </c>
      <c r="K1877">
        <v>9972</v>
      </c>
      <c r="M1877">
        <v>1902016</v>
      </c>
      <c r="N1877">
        <v>7</v>
      </c>
    </row>
    <row r="1878" spans="2:14" hidden="1" x14ac:dyDescent="0.25">
      <c r="B1878" t="s">
        <v>137</v>
      </c>
      <c r="C1878" t="str">
        <f>_xlfn.XLOOKUP(B1878,Tabla2[CODIGO],Tabla2[MATERIAL],"N/A",0)</f>
        <v>Fotocelda</v>
      </c>
      <c r="D1878">
        <v>1</v>
      </c>
      <c r="E1878" t="s">
        <v>42</v>
      </c>
      <c r="F1878" t="s">
        <v>62</v>
      </c>
      <c r="I1878" s="2"/>
      <c r="J1878" t="s">
        <v>289</v>
      </c>
      <c r="K1878">
        <v>9972</v>
      </c>
      <c r="M1878">
        <v>2304333</v>
      </c>
      <c r="N1878">
        <v>8</v>
      </c>
    </row>
    <row r="1879" spans="2:14" hidden="1" x14ac:dyDescent="0.25">
      <c r="B1879" t="s">
        <v>137</v>
      </c>
      <c r="C1879" t="str">
        <f>_xlfn.XLOOKUP(B1879,Tabla2[CODIGO],Tabla2[MATERIAL],"N/A",0)</f>
        <v>Fotocelda</v>
      </c>
      <c r="D1879">
        <v>1</v>
      </c>
      <c r="E1879" t="s">
        <v>42</v>
      </c>
      <c r="F1879" t="s">
        <v>62</v>
      </c>
      <c r="I1879" s="2"/>
      <c r="J1879" t="s">
        <v>289</v>
      </c>
      <c r="K1879">
        <v>9972</v>
      </c>
      <c r="M1879">
        <v>2304333</v>
      </c>
      <c r="N1879">
        <v>9</v>
      </c>
    </row>
    <row r="1880" spans="2:14" hidden="1" x14ac:dyDescent="0.25">
      <c r="B1880" t="s">
        <v>137</v>
      </c>
      <c r="C1880" t="str">
        <f>_xlfn.XLOOKUP(B1880,Tabla2[CODIGO],Tabla2[MATERIAL],"N/A",0)</f>
        <v>Fotocelda</v>
      </c>
      <c r="D1880">
        <v>1</v>
      </c>
      <c r="E1880" t="s">
        <v>42</v>
      </c>
      <c r="F1880" t="s">
        <v>62</v>
      </c>
      <c r="I1880" s="2"/>
      <c r="J1880" t="s">
        <v>289</v>
      </c>
      <c r="K1880">
        <v>9972</v>
      </c>
      <c r="M1880">
        <v>2304333</v>
      </c>
      <c r="N1880">
        <v>10</v>
      </c>
    </row>
    <row r="1881" spans="2:14" hidden="1" x14ac:dyDescent="0.25">
      <c r="B1881" t="s">
        <v>137</v>
      </c>
      <c r="C1881" t="str">
        <f>_xlfn.XLOOKUP(B1881,Tabla2[CODIGO],Tabla2[MATERIAL],"N/A",0)</f>
        <v>Fotocelda</v>
      </c>
      <c r="D1881">
        <v>1</v>
      </c>
      <c r="E1881" t="s">
        <v>42</v>
      </c>
      <c r="F1881" t="s">
        <v>62</v>
      </c>
      <c r="I1881" s="2"/>
      <c r="J1881" t="s">
        <v>289</v>
      </c>
      <c r="K1881">
        <v>9972</v>
      </c>
      <c r="M1881">
        <v>2304333</v>
      </c>
      <c r="N1881">
        <v>11</v>
      </c>
    </row>
    <row r="1882" spans="2:14" hidden="1" x14ac:dyDescent="0.25">
      <c r="B1882" t="s">
        <v>137</v>
      </c>
      <c r="C1882" t="str">
        <f>_xlfn.XLOOKUP(B1882,Tabla2[CODIGO],Tabla2[MATERIAL],"N/A",0)</f>
        <v>Fotocelda</v>
      </c>
      <c r="D1882">
        <v>1</v>
      </c>
      <c r="E1882" t="s">
        <v>42</v>
      </c>
      <c r="F1882" t="s">
        <v>62</v>
      </c>
      <c r="I1882" s="2"/>
      <c r="J1882" t="s">
        <v>289</v>
      </c>
      <c r="K1882">
        <v>9972</v>
      </c>
      <c r="M1882">
        <v>1901923</v>
      </c>
      <c r="N1882">
        <v>12</v>
      </c>
    </row>
    <row r="1883" spans="2:14" hidden="1" x14ac:dyDescent="0.25">
      <c r="B1883" t="s">
        <v>137</v>
      </c>
      <c r="C1883" t="str">
        <f>_xlfn.XLOOKUP(B1883,Tabla2[CODIGO],Tabla2[MATERIAL],"N/A",0)</f>
        <v>Fotocelda</v>
      </c>
      <c r="D1883">
        <v>1</v>
      </c>
      <c r="E1883" t="s">
        <v>42</v>
      </c>
      <c r="F1883" t="s">
        <v>62</v>
      </c>
      <c r="I1883" s="2"/>
      <c r="J1883" t="s">
        <v>289</v>
      </c>
      <c r="K1883">
        <v>9972</v>
      </c>
      <c r="M1883">
        <v>1901974</v>
      </c>
      <c r="N1883">
        <v>13</v>
      </c>
    </row>
    <row r="1884" spans="2:14" hidden="1" x14ac:dyDescent="0.25">
      <c r="B1884" t="s">
        <v>137</v>
      </c>
      <c r="C1884" t="str">
        <f>_xlfn.XLOOKUP(B1884,Tabla2[CODIGO],Tabla2[MATERIAL],"N/A",0)</f>
        <v>Fotocelda</v>
      </c>
      <c r="D1884">
        <v>1</v>
      </c>
      <c r="E1884" t="s">
        <v>42</v>
      </c>
      <c r="F1884" t="s">
        <v>62</v>
      </c>
      <c r="I1884" s="2"/>
      <c r="J1884" t="s">
        <v>289</v>
      </c>
      <c r="K1884">
        <v>9972</v>
      </c>
      <c r="M1884">
        <v>1901974</v>
      </c>
      <c r="N1884">
        <v>14</v>
      </c>
    </row>
    <row r="1885" spans="2:14" hidden="1" x14ac:dyDescent="0.25">
      <c r="B1885" t="s">
        <v>137</v>
      </c>
      <c r="C1885" t="str">
        <f>_xlfn.XLOOKUP(B1885,Tabla2[CODIGO],Tabla2[MATERIAL],"N/A",0)</f>
        <v>Fotocelda</v>
      </c>
      <c r="D1885">
        <v>1</v>
      </c>
      <c r="E1885" t="s">
        <v>42</v>
      </c>
      <c r="F1885" t="s">
        <v>62</v>
      </c>
      <c r="I1885" s="2"/>
      <c r="J1885" t="s">
        <v>289</v>
      </c>
      <c r="K1885">
        <v>9972</v>
      </c>
      <c r="M1885">
        <v>1901974</v>
      </c>
      <c r="N1885">
        <v>15</v>
      </c>
    </row>
    <row r="1886" spans="2:14" hidden="1" x14ac:dyDescent="0.25">
      <c r="B1886" t="s">
        <v>137</v>
      </c>
      <c r="C1886" t="str">
        <f>_xlfn.XLOOKUP(B1886,Tabla2[CODIGO],Tabla2[MATERIAL],"N/A",0)</f>
        <v>Fotocelda</v>
      </c>
      <c r="D1886">
        <v>1</v>
      </c>
      <c r="E1886" t="s">
        <v>42</v>
      </c>
      <c r="F1886" t="s">
        <v>62</v>
      </c>
      <c r="I1886" s="2"/>
      <c r="J1886" t="s">
        <v>289</v>
      </c>
      <c r="K1886">
        <v>9972</v>
      </c>
      <c r="M1886">
        <v>1901974</v>
      </c>
      <c r="N1886">
        <v>16</v>
      </c>
    </row>
    <row r="1887" spans="2:14" hidden="1" x14ac:dyDescent="0.25">
      <c r="B1887" t="s">
        <v>137</v>
      </c>
      <c r="C1887" t="str">
        <f>_xlfn.XLOOKUP(B1887,Tabla2[CODIGO],Tabla2[MATERIAL],"N/A",0)</f>
        <v>Fotocelda</v>
      </c>
      <c r="D1887">
        <v>1</v>
      </c>
      <c r="E1887" t="s">
        <v>42</v>
      </c>
      <c r="F1887" t="s">
        <v>62</v>
      </c>
      <c r="I1887" s="2"/>
      <c r="J1887" t="s">
        <v>289</v>
      </c>
      <c r="K1887">
        <v>9972</v>
      </c>
      <c r="M1887">
        <v>1901893</v>
      </c>
      <c r="N1887">
        <v>17</v>
      </c>
    </row>
    <row r="1888" spans="2:14" hidden="1" x14ac:dyDescent="0.25">
      <c r="B1888" t="s">
        <v>137</v>
      </c>
      <c r="C1888" t="str">
        <f>_xlfn.XLOOKUP(B1888,Tabla2[CODIGO],Tabla2[MATERIAL],"N/A",0)</f>
        <v>Fotocelda</v>
      </c>
      <c r="D1888">
        <v>1</v>
      </c>
      <c r="E1888" t="s">
        <v>42</v>
      </c>
      <c r="F1888" t="s">
        <v>62</v>
      </c>
      <c r="I1888" s="2"/>
      <c r="J1888" t="s">
        <v>289</v>
      </c>
      <c r="K1888">
        <v>9972</v>
      </c>
      <c r="M1888">
        <v>1901893</v>
      </c>
      <c r="N1888">
        <v>18</v>
      </c>
    </row>
    <row r="1889" spans="2:14" hidden="1" x14ac:dyDescent="0.25">
      <c r="B1889" t="s">
        <v>137</v>
      </c>
      <c r="C1889" t="str">
        <f>_xlfn.XLOOKUP(B1889,Tabla2[CODIGO],Tabla2[MATERIAL],"N/A",0)</f>
        <v>Fotocelda</v>
      </c>
      <c r="D1889">
        <v>1</v>
      </c>
      <c r="E1889" t="s">
        <v>42</v>
      </c>
      <c r="F1889" t="s">
        <v>62</v>
      </c>
      <c r="I1889" s="2"/>
      <c r="J1889" t="s">
        <v>289</v>
      </c>
      <c r="K1889">
        <v>9972</v>
      </c>
      <c r="M1889">
        <v>1888587</v>
      </c>
      <c r="N1889">
        <v>19</v>
      </c>
    </row>
    <row r="1890" spans="2:14" hidden="1" x14ac:dyDescent="0.25">
      <c r="B1890" t="s">
        <v>137</v>
      </c>
      <c r="C1890" t="str">
        <f>_xlfn.XLOOKUP(B1890,Tabla2[CODIGO],Tabla2[MATERIAL],"N/A",0)</f>
        <v>Fotocelda</v>
      </c>
      <c r="D1890">
        <v>1</v>
      </c>
      <c r="E1890" t="s">
        <v>42</v>
      </c>
      <c r="F1890" t="s">
        <v>62</v>
      </c>
      <c r="I1890" s="2"/>
      <c r="J1890" t="s">
        <v>289</v>
      </c>
      <c r="K1890">
        <v>9972</v>
      </c>
      <c r="M1890">
        <v>1901885</v>
      </c>
      <c r="N1890">
        <v>20</v>
      </c>
    </row>
    <row r="1891" spans="2:14" hidden="1" x14ac:dyDescent="0.25">
      <c r="B1891" t="s">
        <v>137</v>
      </c>
      <c r="C1891" t="str">
        <f>_xlfn.XLOOKUP(B1891,Tabla2[CODIGO],Tabla2[MATERIAL],"N/A",0)</f>
        <v>Fotocelda</v>
      </c>
      <c r="D1891">
        <v>1</v>
      </c>
      <c r="E1891" t="s">
        <v>42</v>
      </c>
      <c r="F1891" t="s">
        <v>62</v>
      </c>
      <c r="I1891" s="2"/>
      <c r="J1891" t="s">
        <v>289</v>
      </c>
      <c r="K1891">
        <v>9972</v>
      </c>
      <c r="M1891">
        <v>1901885</v>
      </c>
      <c r="N1891">
        <v>21</v>
      </c>
    </row>
    <row r="1892" spans="2:14" hidden="1" x14ac:dyDescent="0.25">
      <c r="B1892" t="s">
        <v>222</v>
      </c>
      <c r="C1892" t="str">
        <f>_xlfn.XLOOKUP(B1892,Tabla2[CODIGO],Tabla2[MATERIAL],"N/A",0)</f>
        <v>Conector de Perforacion ais kz-ep (EP95) pequeño</v>
      </c>
      <c r="D1892">
        <v>3</v>
      </c>
      <c r="E1892" t="s">
        <v>42</v>
      </c>
      <c r="F1892" t="s">
        <v>62</v>
      </c>
      <c r="I1892" s="2"/>
      <c r="J1892" t="s">
        <v>289</v>
      </c>
      <c r="K1892">
        <v>9973</v>
      </c>
      <c r="M1892">
        <v>1449451</v>
      </c>
      <c r="N1892">
        <v>1</v>
      </c>
    </row>
    <row r="1893" spans="2:14" hidden="1" x14ac:dyDescent="0.25">
      <c r="B1893" t="s">
        <v>222</v>
      </c>
      <c r="C1893" t="str">
        <f>_xlfn.XLOOKUP(B1893,Tabla2[CODIGO],Tabla2[MATERIAL],"N/A",0)</f>
        <v>Conector de Perforacion ais kz-ep (EP95) pequeño</v>
      </c>
      <c r="D1893">
        <v>3</v>
      </c>
      <c r="E1893" t="s">
        <v>42</v>
      </c>
      <c r="F1893" t="s">
        <v>62</v>
      </c>
      <c r="I1893" s="2"/>
      <c r="J1893" t="s">
        <v>289</v>
      </c>
      <c r="K1893">
        <v>9973</v>
      </c>
      <c r="M1893">
        <v>1449486</v>
      </c>
      <c r="N1893">
        <v>2</v>
      </c>
    </row>
    <row r="1894" spans="2:14" hidden="1" x14ac:dyDescent="0.25">
      <c r="B1894" t="s">
        <v>222</v>
      </c>
      <c r="C1894" t="str">
        <f>_xlfn.XLOOKUP(B1894,Tabla2[CODIGO],Tabla2[MATERIAL],"N/A",0)</f>
        <v>Conector de Perforacion ais kz-ep (EP95) pequeño</v>
      </c>
      <c r="D1894">
        <v>3</v>
      </c>
      <c r="E1894" t="s">
        <v>42</v>
      </c>
      <c r="F1894" t="s">
        <v>62</v>
      </c>
      <c r="I1894" s="2"/>
      <c r="J1894" t="s">
        <v>289</v>
      </c>
      <c r="K1894">
        <v>9973</v>
      </c>
      <c r="M1894">
        <v>1449494</v>
      </c>
      <c r="N1894">
        <v>3</v>
      </c>
    </row>
    <row r="1895" spans="2:14" hidden="1" x14ac:dyDescent="0.25">
      <c r="B1895" t="s">
        <v>222</v>
      </c>
      <c r="C1895" t="str">
        <f>_xlfn.XLOOKUP(B1895,Tabla2[CODIGO],Tabla2[MATERIAL],"N/A",0)</f>
        <v>Conector de Perforacion ais kz-ep (EP95) pequeño</v>
      </c>
      <c r="D1895">
        <v>3</v>
      </c>
      <c r="E1895" t="s">
        <v>42</v>
      </c>
      <c r="F1895" t="s">
        <v>62</v>
      </c>
      <c r="I1895" s="2"/>
      <c r="J1895" t="s">
        <v>289</v>
      </c>
      <c r="K1895">
        <v>9973</v>
      </c>
      <c r="M1895">
        <v>1449508</v>
      </c>
      <c r="N1895">
        <v>4</v>
      </c>
    </row>
    <row r="1896" spans="2:14" hidden="1" x14ac:dyDescent="0.25">
      <c r="B1896" t="s">
        <v>222</v>
      </c>
      <c r="C1896" t="str">
        <f>_xlfn.XLOOKUP(B1896,Tabla2[CODIGO],Tabla2[MATERIAL],"N/A",0)</f>
        <v>Conector de Perforacion ais kz-ep (EP95) pequeño</v>
      </c>
      <c r="D1896">
        <v>3</v>
      </c>
      <c r="E1896" t="s">
        <v>42</v>
      </c>
      <c r="F1896" t="s">
        <v>62</v>
      </c>
      <c r="I1896" s="2"/>
      <c r="J1896" t="s">
        <v>289</v>
      </c>
      <c r="K1896">
        <v>9973</v>
      </c>
      <c r="M1896">
        <v>1449516</v>
      </c>
      <c r="N1896">
        <v>5</v>
      </c>
    </row>
    <row r="1897" spans="2:14" hidden="1" x14ac:dyDescent="0.25">
      <c r="B1897" t="s">
        <v>222</v>
      </c>
      <c r="C1897" t="str">
        <f>_xlfn.XLOOKUP(B1897,Tabla2[CODIGO],Tabla2[MATERIAL],"N/A",0)</f>
        <v>Conector de Perforacion ais kz-ep (EP95) pequeño</v>
      </c>
      <c r="D1897">
        <v>3</v>
      </c>
      <c r="E1897" t="s">
        <v>42</v>
      </c>
      <c r="F1897" t="s">
        <v>62</v>
      </c>
      <c r="I1897" s="2"/>
      <c r="J1897" t="s">
        <v>289</v>
      </c>
      <c r="K1897">
        <v>9973</v>
      </c>
      <c r="M1897">
        <v>1449524</v>
      </c>
      <c r="N1897">
        <v>6</v>
      </c>
    </row>
    <row r="1898" spans="2:14" hidden="1" x14ac:dyDescent="0.25">
      <c r="B1898" t="s">
        <v>222</v>
      </c>
      <c r="C1898" t="str">
        <f>_xlfn.XLOOKUP(B1898,Tabla2[CODIGO],Tabla2[MATERIAL],"N/A",0)</f>
        <v>Conector de Perforacion ais kz-ep (EP95) pequeño</v>
      </c>
      <c r="D1898">
        <v>3</v>
      </c>
      <c r="E1898" t="s">
        <v>42</v>
      </c>
      <c r="F1898" t="s">
        <v>62</v>
      </c>
      <c r="I1898" s="2"/>
      <c r="J1898" t="s">
        <v>289</v>
      </c>
      <c r="K1898">
        <v>9973</v>
      </c>
      <c r="M1898">
        <v>1449532</v>
      </c>
      <c r="N1898">
        <v>7</v>
      </c>
    </row>
    <row r="1899" spans="2:14" hidden="1" x14ac:dyDescent="0.25">
      <c r="B1899" t="s">
        <v>222</v>
      </c>
      <c r="C1899" t="str">
        <f>_xlfn.XLOOKUP(B1899,Tabla2[CODIGO],Tabla2[MATERIAL],"N/A",0)</f>
        <v>Conector de Perforacion ais kz-ep (EP95) pequeño</v>
      </c>
      <c r="D1899">
        <v>3</v>
      </c>
      <c r="E1899" t="s">
        <v>42</v>
      </c>
      <c r="F1899" t="s">
        <v>62</v>
      </c>
      <c r="I1899" s="2"/>
      <c r="J1899" t="s">
        <v>289</v>
      </c>
      <c r="K1899">
        <v>9973</v>
      </c>
      <c r="M1899">
        <v>1449541</v>
      </c>
      <c r="N1899">
        <v>8</v>
      </c>
    </row>
    <row r="1900" spans="2:14" hidden="1" x14ac:dyDescent="0.25">
      <c r="B1900" t="s">
        <v>222</v>
      </c>
      <c r="C1900" t="str">
        <f>_xlfn.XLOOKUP(B1900,Tabla2[CODIGO],Tabla2[MATERIAL],"N/A",0)</f>
        <v>Conector de Perforacion ais kz-ep (EP95) pequeño</v>
      </c>
      <c r="D1900">
        <v>8</v>
      </c>
      <c r="E1900" t="s">
        <v>42</v>
      </c>
      <c r="F1900" t="s">
        <v>62</v>
      </c>
      <c r="I1900" s="2"/>
      <c r="J1900" t="s">
        <v>289</v>
      </c>
      <c r="K1900">
        <v>9973</v>
      </c>
      <c r="M1900">
        <v>1865315</v>
      </c>
      <c r="N1900">
        <v>14</v>
      </c>
    </row>
    <row r="1901" spans="2:14" hidden="1" x14ac:dyDescent="0.25">
      <c r="B1901" t="s">
        <v>137</v>
      </c>
      <c r="C1901" t="str">
        <f>_xlfn.XLOOKUP(B1901,Tabla2[CODIGO],Tabla2[MATERIAL],"N/A",0)</f>
        <v>Fotocelda</v>
      </c>
      <c r="D1901">
        <v>1</v>
      </c>
      <c r="E1901" t="s">
        <v>42</v>
      </c>
      <c r="F1901" t="s">
        <v>62</v>
      </c>
      <c r="I1901" s="2"/>
      <c r="J1901" t="s">
        <v>289</v>
      </c>
      <c r="K1901">
        <v>9973</v>
      </c>
      <c r="M1901">
        <v>1449451</v>
      </c>
      <c r="N1901">
        <v>1</v>
      </c>
    </row>
    <row r="1902" spans="2:14" hidden="1" x14ac:dyDescent="0.25">
      <c r="B1902" t="s">
        <v>137</v>
      </c>
      <c r="C1902" t="str">
        <f>_xlfn.XLOOKUP(B1902,Tabla2[CODIGO],Tabla2[MATERIAL],"N/A",0)</f>
        <v>Fotocelda</v>
      </c>
      <c r="D1902">
        <v>1</v>
      </c>
      <c r="E1902" t="s">
        <v>42</v>
      </c>
      <c r="F1902" t="s">
        <v>62</v>
      </c>
      <c r="I1902" s="2"/>
      <c r="J1902" t="s">
        <v>289</v>
      </c>
      <c r="K1902">
        <v>9973</v>
      </c>
      <c r="M1902">
        <v>1449486</v>
      </c>
      <c r="N1902">
        <v>2</v>
      </c>
    </row>
    <row r="1903" spans="2:14" hidden="1" x14ac:dyDescent="0.25">
      <c r="B1903" t="s">
        <v>137</v>
      </c>
      <c r="C1903" t="str">
        <f>_xlfn.XLOOKUP(B1903,Tabla2[CODIGO],Tabla2[MATERIAL],"N/A",0)</f>
        <v>Fotocelda</v>
      </c>
      <c r="D1903">
        <v>1</v>
      </c>
      <c r="E1903" t="s">
        <v>42</v>
      </c>
      <c r="F1903" t="s">
        <v>62</v>
      </c>
      <c r="I1903" s="2"/>
      <c r="J1903" t="s">
        <v>289</v>
      </c>
      <c r="K1903">
        <v>9973</v>
      </c>
      <c r="M1903">
        <v>1449494</v>
      </c>
      <c r="N1903">
        <v>3</v>
      </c>
    </row>
    <row r="1904" spans="2:14" hidden="1" x14ac:dyDescent="0.25">
      <c r="B1904" t="s">
        <v>137</v>
      </c>
      <c r="C1904" t="str">
        <f>_xlfn.XLOOKUP(B1904,Tabla2[CODIGO],Tabla2[MATERIAL],"N/A",0)</f>
        <v>Fotocelda</v>
      </c>
      <c r="D1904">
        <v>1</v>
      </c>
      <c r="E1904" t="s">
        <v>42</v>
      </c>
      <c r="F1904" t="s">
        <v>62</v>
      </c>
      <c r="I1904" s="2"/>
      <c r="J1904" t="s">
        <v>289</v>
      </c>
      <c r="K1904">
        <v>9973</v>
      </c>
      <c r="M1904">
        <v>1449508</v>
      </c>
      <c r="N1904">
        <v>4</v>
      </c>
    </row>
    <row r="1905" spans="2:14" hidden="1" x14ac:dyDescent="0.25">
      <c r="B1905" t="s">
        <v>137</v>
      </c>
      <c r="C1905" t="str">
        <f>_xlfn.XLOOKUP(B1905,Tabla2[CODIGO],Tabla2[MATERIAL],"N/A",0)</f>
        <v>Fotocelda</v>
      </c>
      <c r="D1905">
        <v>1</v>
      </c>
      <c r="E1905" t="s">
        <v>42</v>
      </c>
      <c r="F1905" t="s">
        <v>62</v>
      </c>
      <c r="I1905" s="2"/>
      <c r="J1905" t="s">
        <v>289</v>
      </c>
      <c r="K1905">
        <v>9973</v>
      </c>
      <c r="M1905">
        <v>1449516</v>
      </c>
      <c r="N1905">
        <v>5</v>
      </c>
    </row>
    <row r="1906" spans="2:14" hidden="1" x14ac:dyDescent="0.25">
      <c r="B1906" t="s">
        <v>137</v>
      </c>
      <c r="C1906" t="str">
        <f>_xlfn.XLOOKUP(B1906,Tabla2[CODIGO],Tabla2[MATERIAL],"N/A",0)</f>
        <v>Fotocelda</v>
      </c>
      <c r="D1906">
        <v>1</v>
      </c>
      <c r="E1906" t="s">
        <v>42</v>
      </c>
      <c r="F1906" t="s">
        <v>62</v>
      </c>
      <c r="I1906" s="2"/>
      <c r="J1906" t="s">
        <v>289</v>
      </c>
      <c r="K1906">
        <v>9973</v>
      </c>
      <c r="M1906">
        <v>1449524</v>
      </c>
      <c r="N1906">
        <v>6</v>
      </c>
    </row>
    <row r="1907" spans="2:14" hidden="1" x14ac:dyDescent="0.25">
      <c r="B1907" t="s">
        <v>137</v>
      </c>
      <c r="C1907" t="str">
        <f>_xlfn.XLOOKUP(B1907,Tabla2[CODIGO],Tabla2[MATERIAL],"N/A",0)</f>
        <v>Fotocelda</v>
      </c>
      <c r="D1907">
        <v>1</v>
      </c>
      <c r="E1907" t="s">
        <v>42</v>
      </c>
      <c r="F1907" t="s">
        <v>62</v>
      </c>
      <c r="I1907" s="2"/>
      <c r="J1907" t="s">
        <v>289</v>
      </c>
      <c r="K1907">
        <v>9973</v>
      </c>
      <c r="M1907">
        <v>1449532</v>
      </c>
      <c r="N1907">
        <v>7</v>
      </c>
    </row>
    <row r="1908" spans="2:14" hidden="1" x14ac:dyDescent="0.25">
      <c r="B1908" t="s">
        <v>137</v>
      </c>
      <c r="C1908" t="str">
        <f>_xlfn.XLOOKUP(B1908,Tabla2[CODIGO],Tabla2[MATERIAL],"N/A",0)</f>
        <v>Fotocelda</v>
      </c>
      <c r="D1908">
        <v>1</v>
      </c>
      <c r="E1908" t="s">
        <v>42</v>
      </c>
      <c r="F1908" t="s">
        <v>62</v>
      </c>
      <c r="I1908" s="2"/>
      <c r="J1908" t="s">
        <v>289</v>
      </c>
      <c r="K1908">
        <v>9973</v>
      </c>
      <c r="M1908">
        <v>1449541</v>
      </c>
      <c r="N1908">
        <v>8</v>
      </c>
    </row>
    <row r="1909" spans="2:14" hidden="1" x14ac:dyDescent="0.25">
      <c r="B1909" t="s">
        <v>137</v>
      </c>
      <c r="C1909" t="str">
        <f>_xlfn.XLOOKUP(B1909,Tabla2[CODIGO],Tabla2[MATERIAL],"N/A",0)</f>
        <v>Fotocelda</v>
      </c>
      <c r="D1909">
        <v>1</v>
      </c>
      <c r="E1909" t="s">
        <v>42</v>
      </c>
      <c r="F1909" t="s">
        <v>62</v>
      </c>
      <c r="I1909" s="2"/>
      <c r="J1909" t="s">
        <v>289</v>
      </c>
      <c r="K1909">
        <v>9973</v>
      </c>
      <c r="M1909">
        <v>9215255</v>
      </c>
      <c r="N1909">
        <v>9</v>
      </c>
    </row>
    <row r="1910" spans="2:14" hidden="1" x14ac:dyDescent="0.25">
      <c r="B1910" t="s">
        <v>137</v>
      </c>
      <c r="C1910" t="str">
        <f>_xlfn.XLOOKUP(B1910,Tabla2[CODIGO],Tabla2[MATERIAL],"N/A",0)</f>
        <v>Fotocelda</v>
      </c>
      <c r="D1910">
        <v>1</v>
      </c>
      <c r="E1910" t="s">
        <v>42</v>
      </c>
      <c r="F1910" t="s">
        <v>62</v>
      </c>
      <c r="I1910" s="2"/>
      <c r="J1910" t="s">
        <v>289</v>
      </c>
      <c r="K1910">
        <v>9973</v>
      </c>
      <c r="M1910">
        <v>1865315</v>
      </c>
      <c r="N1910">
        <v>10</v>
      </c>
    </row>
    <row r="1911" spans="2:14" hidden="1" x14ac:dyDescent="0.25">
      <c r="B1911" t="s">
        <v>137</v>
      </c>
      <c r="C1911" t="str">
        <f>_xlfn.XLOOKUP(B1911,Tabla2[CODIGO],Tabla2[MATERIAL],"N/A",0)</f>
        <v>Fotocelda</v>
      </c>
      <c r="D1911">
        <v>1</v>
      </c>
      <c r="E1911" t="s">
        <v>42</v>
      </c>
      <c r="F1911" t="s">
        <v>62</v>
      </c>
      <c r="I1911" s="2"/>
      <c r="J1911" t="s">
        <v>289</v>
      </c>
      <c r="K1911">
        <v>9973</v>
      </c>
      <c r="M1911">
        <v>1865315</v>
      </c>
      <c r="N1911">
        <v>11</v>
      </c>
    </row>
    <row r="1912" spans="2:14" hidden="1" x14ac:dyDescent="0.25">
      <c r="B1912" t="s">
        <v>137</v>
      </c>
      <c r="C1912" t="str">
        <f>_xlfn.XLOOKUP(B1912,Tabla2[CODIGO],Tabla2[MATERIAL],"N/A",0)</f>
        <v>Fotocelda</v>
      </c>
      <c r="D1912">
        <v>1</v>
      </c>
      <c r="E1912" t="s">
        <v>42</v>
      </c>
      <c r="F1912" t="s">
        <v>62</v>
      </c>
      <c r="I1912" s="2"/>
      <c r="J1912" t="s">
        <v>289</v>
      </c>
      <c r="K1912">
        <v>9973</v>
      </c>
      <c r="M1912">
        <v>1865315</v>
      </c>
      <c r="N1912">
        <v>12</v>
      </c>
    </row>
    <row r="1913" spans="2:14" hidden="1" x14ac:dyDescent="0.25">
      <c r="B1913" t="s">
        <v>137</v>
      </c>
      <c r="C1913" t="str">
        <f>_xlfn.XLOOKUP(B1913,Tabla2[CODIGO],Tabla2[MATERIAL],"N/A",0)</f>
        <v>Fotocelda</v>
      </c>
      <c r="D1913">
        <v>1</v>
      </c>
      <c r="E1913" t="s">
        <v>42</v>
      </c>
      <c r="F1913" t="s">
        <v>62</v>
      </c>
      <c r="I1913" s="2"/>
      <c r="J1913" t="s">
        <v>289</v>
      </c>
      <c r="K1913">
        <v>9973</v>
      </c>
      <c r="M1913">
        <v>1865315</v>
      </c>
      <c r="N1913">
        <v>13</v>
      </c>
    </row>
    <row r="1914" spans="2:14" hidden="1" x14ac:dyDescent="0.25">
      <c r="B1914" t="s">
        <v>137</v>
      </c>
      <c r="C1914" t="str">
        <f>_xlfn.XLOOKUP(B1914,Tabla2[CODIGO],Tabla2[MATERIAL],"N/A",0)</f>
        <v>Fotocelda</v>
      </c>
      <c r="D1914">
        <v>1</v>
      </c>
      <c r="E1914" t="s">
        <v>42</v>
      </c>
      <c r="F1914" t="s">
        <v>62</v>
      </c>
      <c r="I1914" s="2"/>
      <c r="J1914" t="s">
        <v>289</v>
      </c>
      <c r="K1914">
        <v>9973</v>
      </c>
      <c r="M1914">
        <v>1865315</v>
      </c>
      <c r="N1914">
        <v>14</v>
      </c>
    </row>
    <row r="1915" spans="2:14" hidden="1" x14ac:dyDescent="0.25">
      <c r="B1915" t="s">
        <v>137</v>
      </c>
      <c r="C1915" t="str">
        <f>_xlfn.XLOOKUP(B1915,Tabla2[CODIGO],Tabla2[MATERIAL],"N/A",0)</f>
        <v>Fotocelda</v>
      </c>
      <c r="D1915">
        <v>1</v>
      </c>
      <c r="E1915" t="s">
        <v>42</v>
      </c>
      <c r="F1915" t="s">
        <v>62</v>
      </c>
      <c r="I1915" s="2"/>
      <c r="J1915" t="s">
        <v>289</v>
      </c>
      <c r="K1915">
        <v>9973</v>
      </c>
      <c r="M1915">
        <v>1865315</v>
      </c>
      <c r="N1915">
        <v>15</v>
      </c>
    </row>
    <row r="1916" spans="2:14" hidden="1" x14ac:dyDescent="0.25">
      <c r="B1916" t="s">
        <v>137</v>
      </c>
      <c r="C1916" t="str">
        <f>_xlfn.XLOOKUP(B1916,Tabla2[CODIGO],Tabla2[MATERIAL],"N/A",0)</f>
        <v>Fotocelda</v>
      </c>
      <c r="D1916">
        <v>1</v>
      </c>
      <c r="E1916" t="s">
        <v>42</v>
      </c>
      <c r="F1916" t="s">
        <v>62</v>
      </c>
      <c r="I1916" s="2"/>
      <c r="J1916" t="s">
        <v>289</v>
      </c>
      <c r="K1916">
        <v>9973</v>
      </c>
      <c r="M1916">
        <v>1865315</v>
      </c>
      <c r="N1916">
        <v>16</v>
      </c>
    </row>
    <row r="1917" spans="2:14" hidden="1" x14ac:dyDescent="0.25">
      <c r="B1917" t="s">
        <v>137</v>
      </c>
      <c r="C1917" t="str">
        <f>_xlfn.XLOOKUP(B1917,Tabla2[CODIGO],Tabla2[MATERIAL],"N/A",0)</f>
        <v>Fotocelda</v>
      </c>
      <c r="D1917">
        <v>1</v>
      </c>
      <c r="E1917" t="s">
        <v>42</v>
      </c>
      <c r="F1917" t="s">
        <v>62</v>
      </c>
      <c r="I1917" s="2"/>
      <c r="J1917" t="s">
        <v>289</v>
      </c>
      <c r="K1917">
        <v>9973</v>
      </c>
      <c r="M1917">
        <v>1865315</v>
      </c>
      <c r="N1917">
        <v>17</v>
      </c>
    </row>
    <row r="1918" spans="2:14" hidden="1" x14ac:dyDescent="0.25">
      <c r="B1918" t="s">
        <v>304</v>
      </c>
      <c r="C1918" t="str">
        <f>_xlfn.XLOOKUP(B1918,Tabla2[CODIGO],Tabla2[MATERIAL],"N/A",0)</f>
        <v>Luminaria 75w</v>
      </c>
      <c r="D1918">
        <v>1</v>
      </c>
      <c r="E1918" t="s">
        <v>42</v>
      </c>
      <c r="F1918" t="s">
        <v>62</v>
      </c>
      <c r="H1918" t="s">
        <v>64</v>
      </c>
      <c r="I1918" s="2" t="s">
        <v>418</v>
      </c>
      <c r="J1918" t="s">
        <v>289</v>
      </c>
      <c r="K1918">
        <v>9973</v>
      </c>
      <c r="M1918">
        <v>1449451</v>
      </c>
      <c r="N1918">
        <v>1</v>
      </c>
    </row>
    <row r="1919" spans="2:14" hidden="1" x14ac:dyDescent="0.25">
      <c r="B1919" t="s">
        <v>304</v>
      </c>
      <c r="C1919" t="str">
        <f>_xlfn.XLOOKUP(B1919,Tabla2[CODIGO],Tabla2[MATERIAL],"N/A",0)</f>
        <v>Luminaria 75w</v>
      </c>
      <c r="D1919">
        <v>1</v>
      </c>
      <c r="E1919" t="s">
        <v>42</v>
      </c>
      <c r="F1919" t="s">
        <v>62</v>
      </c>
      <c r="H1919" t="s">
        <v>64</v>
      </c>
      <c r="I1919" s="2" t="s">
        <v>416</v>
      </c>
      <c r="J1919" t="s">
        <v>289</v>
      </c>
      <c r="K1919">
        <v>9973</v>
      </c>
      <c r="M1919">
        <v>1449486</v>
      </c>
      <c r="N1919">
        <v>2</v>
      </c>
    </row>
    <row r="1920" spans="2:14" hidden="1" x14ac:dyDescent="0.25">
      <c r="B1920" t="s">
        <v>304</v>
      </c>
      <c r="C1920" t="str">
        <f>_xlfn.XLOOKUP(B1920,Tabla2[CODIGO],Tabla2[MATERIAL],"N/A",0)</f>
        <v>Luminaria 75w</v>
      </c>
      <c r="D1920">
        <v>1</v>
      </c>
      <c r="E1920" t="s">
        <v>42</v>
      </c>
      <c r="F1920" t="s">
        <v>62</v>
      </c>
      <c r="H1920" t="s">
        <v>64</v>
      </c>
      <c r="I1920" s="2" t="s">
        <v>415</v>
      </c>
      <c r="J1920" t="s">
        <v>289</v>
      </c>
      <c r="K1920">
        <v>9973</v>
      </c>
      <c r="M1920">
        <v>1449494</v>
      </c>
      <c r="N1920">
        <v>3</v>
      </c>
    </row>
    <row r="1921" spans="2:14" hidden="1" x14ac:dyDescent="0.25">
      <c r="B1921" t="s">
        <v>304</v>
      </c>
      <c r="C1921" t="str">
        <f>_xlfn.XLOOKUP(B1921,Tabla2[CODIGO],Tabla2[MATERIAL],"N/A",0)</f>
        <v>Luminaria 75w</v>
      </c>
      <c r="D1921">
        <v>1</v>
      </c>
      <c r="E1921" t="s">
        <v>42</v>
      </c>
      <c r="F1921" t="s">
        <v>62</v>
      </c>
      <c r="H1921" t="s">
        <v>64</v>
      </c>
      <c r="I1921" s="2" t="s">
        <v>419</v>
      </c>
      <c r="J1921" t="s">
        <v>289</v>
      </c>
      <c r="K1921">
        <v>9973</v>
      </c>
      <c r="M1921">
        <v>1449508</v>
      </c>
      <c r="N1921">
        <v>4</v>
      </c>
    </row>
    <row r="1922" spans="2:14" hidden="1" x14ac:dyDescent="0.25">
      <c r="B1922" t="s">
        <v>304</v>
      </c>
      <c r="C1922" t="str">
        <f>_xlfn.XLOOKUP(B1922,Tabla2[CODIGO],Tabla2[MATERIAL],"N/A",0)</f>
        <v>Luminaria 75w</v>
      </c>
      <c r="D1922">
        <v>1</v>
      </c>
      <c r="E1922" t="s">
        <v>42</v>
      </c>
      <c r="F1922" t="s">
        <v>62</v>
      </c>
      <c r="H1922" t="s">
        <v>64</v>
      </c>
      <c r="I1922" s="2" t="s">
        <v>413</v>
      </c>
      <c r="J1922" t="s">
        <v>289</v>
      </c>
      <c r="K1922">
        <v>9973</v>
      </c>
      <c r="M1922">
        <v>1449516</v>
      </c>
      <c r="N1922">
        <v>5</v>
      </c>
    </row>
    <row r="1923" spans="2:14" hidden="1" x14ac:dyDescent="0.25">
      <c r="B1923" t="s">
        <v>304</v>
      </c>
      <c r="C1923" t="str">
        <f>_xlfn.XLOOKUP(B1923,Tabla2[CODIGO],Tabla2[MATERIAL],"N/A",0)</f>
        <v>Luminaria 75w</v>
      </c>
      <c r="D1923">
        <v>1</v>
      </c>
      <c r="E1923" t="s">
        <v>42</v>
      </c>
      <c r="F1923" t="s">
        <v>62</v>
      </c>
      <c r="H1923" t="s">
        <v>64</v>
      </c>
      <c r="I1923" s="2" t="s">
        <v>414</v>
      </c>
      <c r="J1923" t="s">
        <v>289</v>
      </c>
      <c r="K1923">
        <v>9973</v>
      </c>
      <c r="M1923">
        <v>1449524</v>
      </c>
      <c r="N1923">
        <v>6</v>
      </c>
    </row>
    <row r="1924" spans="2:14" hidden="1" x14ac:dyDescent="0.25">
      <c r="B1924" t="s">
        <v>304</v>
      </c>
      <c r="C1924" t="str">
        <f>_xlfn.XLOOKUP(B1924,Tabla2[CODIGO],Tabla2[MATERIAL],"N/A",0)</f>
        <v>Luminaria 75w</v>
      </c>
      <c r="D1924">
        <v>1</v>
      </c>
      <c r="E1924" t="s">
        <v>42</v>
      </c>
      <c r="F1924" t="s">
        <v>62</v>
      </c>
      <c r="H1924" t="s">
        <v>64</v>
      </c>
      <c r="I1924" s="2" t="s">
        <v>417</v>
      </c>
      <c r="J1924" t="s">
        <v>289</v>
      </c>
      <c r="K1924">
        <v>9973</v>
      </c>
      <c r="M1924">
        <v>1449532</v>
      </c>
      <c r="N1924">
        <v>7</v>
      </c>
    </row>
    <row r="1925" spans="2:14" hidden="1" x14ac:dyDescent="0.25">
      <c r="B1925" t="s">
        <v>304</v>
      </c>
      <c r="C1925" t="str">
        <f>_xlfn.XLOOKUP(B1925,Tabla2[CODIGO],Tabla2[MATERIAL],"N/A",0)</f>
        <v>Luminaria 75w</v>
      </c>
      <c r="D1925">
        <v>1</v>
      </c>
      <c r="E1925" t="s">
        <v>42</v>
      </c>
      <c r="F1925" t="s">
        <v>62</v>
      </c>
      <c r="H1925" t="s">
        <v>64</v>
      </c>
      <c r="I1925" s="2" t="s">
        <v>471</v>
      </c>
      <c r="J1925" t="s">
        <v>289</v>
      </c>
      <c r="K1925">
        <v>9973</v>
      </c>
      <c r="M1925">
        <v>1449541</v>
      </c>
      <c r="N1925">
        <v>8</v>
      </c>
    </row>
    <row r="1926" spans="2:14" hidden="1" x14ac:dyDescent="0.25">
      <c r="B1926" t="s">
        <v>304</v>
      </c>
      <c r="C1926" t="str">
        <f>_xlfn.XLOOKUP(B1926,Tabla2[CODIGO],Tabla2[MATERIAL],"N/A",0)</f>
        <v>Luminaria 75w</v>
      </c>
      <c r="D1926">
        <v>1</v>
      </c>
      <c r="E1926" t="s">
        <v>42</v>
      </c>
      <c r="F1926" t="s">
        <v>62</v>
      </c>
      <c r="H1926" t="s">
        <v>64</v>
      </c>
      <c r="I1926" s="2" t="s">
        <v>412</v>
      </c>
      <c r="J1926" t="s">
        <v>289</v>
      </c>
      <c r="K1926">
        <v>9973</v>
      </c>
      <c r="M1926">
        <v>9215255</v>
      </c>
      <c r="N1926">
        <v>9</v>
      </c>
    </row>
    <row r="1927" spans="2:14" hidden="1" x14ac:dyDescent="0.25">
      <c r="B1927" t="s">
        <v>225</v>
      </c>
      <c r="C1927" t="str">
        <f>_xlfn.XLOOKUP(B1927,Tabla2[CODIGO],Tabla2[MATERIAL],"N/A",0)</f>
        <v>Abrazadera una salida 6"</v>
      </c>
      <c r="D1927">
        <v>1</v>
      </c>
      <c r="E1927" t="s">
        <v>42</v>
      </c>
      <c r="F1927" t="s">
        <v>62</v>
      </c>
      <c r="I1927" s="2"/>
      <c r="J1927" t="s">
        <v>289</v>
      </c>
      <c r="K1927">
        <v>9973</v>
      </c>
      <c r="M1927">
        <v>9215255</v>
      </c>
      <c r="N1927">
        <v>9</v>
      </c>
    </row>
    <row r="1928" spans="2:14" hidden="1" x14ac:dyDescent="0.25">
      <c r="B1928" t="s">
        <v>225</v>
      </c>
      <c r="C1928" t="str">
        <f>_xlfn.XLOOKUP(B1928,Tabla2[CODIGO],Tabla2[MATERIAL],"N/A",0)</f>
        <v>Abrazadera una salida 6"</v>
      </c>
      <c r="D1928">
        <v>2</v>
      </c>
      <c r="E1928" t="s">
        <v>42</v>
      </c>
      <c r="F1928" t="s">
        <v>62</v>
      </c>
      <c r="I1928" s="2"/>
      <c r="J1928" t="s">
        <v>289</v>
      </c>
      <c r="K1928">
        <v>9973</v>
      </c>
      <c r="M1928">
        <v>1865315</v>
      </c>
      <c r="N1928">
        <v>14</v>
      </c>
    </row>
    <row r="1929" spans="2:14" hidden="1" x14ac:dyDescent="0.25">
      <c r="B1929" t="s">
        <v>56</v>
      </c>
      <c r="C1929" t="str">
        <f>_xlfn.XLOOKUP(B1929,Tabla2[CODIGO],Tabla2[MATERIAL],"N/A",0)</f>
        <v>Aislador Carrreto</v>
      </c>
      <c r="D1929">
        <v>1</v>
      </c>
      <c r="E1929" t="s">
        <v>42</v>
      </c>
      <c r="F1929" t="s">
        <v>62</v>
      </c>
      <c r="I1929" s="2"/>
      <c r="J1929" t="s">
        <v>289</v>
      </c>
      <c r="K1929">
        <v>9973</v>
      </c>
      <c r="M1929">
        <v>9215255</v>
      </c>
      <c r="N1929">
        <v>9</v>
      </c>
    </row>
    <row r="1930" spans="2:14" hidden="1" x14ac:dyDescent="0.25">
      <c r="B1930" t="s">
        <v>319</v>
      </c>
      <c r="C1930" t="str">
        <f>_xlfn.XLOOKUP(B1930,Tabla2[CODIGO],Tabla2[MATERIAL],"N/A",0)</f>
        <v>alambre Cu thhn 14 verde</v>
      </c>
      <c r="D1930">
        <v>16</v>
      </c>
      <c r="E1930" t="s">
        <v>43</v>
      </c>
      <c r="F1930" t="s">
        <v>62</v>
      </c>
      <c r="I1930" s="2"/>
      <c r="J1930" t="s">
        <v>289</v>
      </c>
      <c r="K1930">
        <v>9973</v>
      </c>
      <c r="M1930">
        <v>1865315</v>
      </c>
      <c r="N1930">
        <v>14</v>
      </c>
    </row>
    <row r="1931" spans="2:14" hidden="1" x14ac:dyDescent="0.25">
      <c r="B1931" t="s">
        <v>349</v>
      </c>
      <c r="C1931" t="str">
        <f>_xlfn.XLOOKUP(B1931,Tabla2[CODIGO],Tabla2[MATERIAL],"N/A",0)</f>
        <v>Cinta Bandit 1/2"</v>
      </c>
      <c r="D1931">
        <v>3</v>
      </c>
      <c r="E1931" t="s">
        <v>42</v>
      </c>
      <c r="F1931" t="s">
        <v>62</v>
      </c>
      <c r="I1931" s="2"/>
      <c r="J1931" t="s">
        <v>289</v>
      </c>
      <c r="K1931">
        <v>9973</v>
      </c>
      <c r="M1931">
        <v>9215255</v>
      </c>
      <c r="N1931">
        <v>9</v>
      </c>
    </row>
    <row r="1932" spans="2:14" hidden="1" x14ac:dyDescent="0.25">
      <c r="B1932" t="s">
        <v>470</v>
      </c>
      <c r="C1932" t="str">
        <f>_xlfn.XLOOKUP(B1932,Tabla2[CODIGO],Tabla2[MATERIAL],"N/A",0)</f>
        <v>Hebilla para cinta bandit 1/2"</v>
      </c>
      <c r="D1932">
        <v>3</v>
      </c>
      <c r="E1932" t="s">
        <v>42</v>
      </c>
      <c r="F1932" t="s">
        <v>62</v>
      </c>
      <c r="I1932" s="2"/>
      <c r="J1932" t="s">
        <v>289</v>
      </c>
      <c r="K1932">
        <v>9973</v>
      </c>
      <c r="M1932">
        <v>9215255</v>
      </c>
      <c r="N1932">
        <v>9</v>
      </c>
    </row>
    <row r="1933" spans="2:14" hidden="1" x14ac:dyDescent="0.25">
      <c r="B1933" t="s">
        <v>288</v>
      </c>
      <c r="C1933" t="str">
        <f>_xlfn.XLOOKUP(B1933,Tabla2[CODIGO],Tabla2[MATERIAL],"N/A",0)</f>
        <v>Kit puesta tierra acero inoxidable</v>
      </c>
      <c r="D1933">
        <v>1</v>
      </c>
      <c r="E1933" t="s">
        <v>42</v>
      </c>
      <c r="F1933" t="s">
        <v>62</v>
      </c>
      <c r="I1933" s="2"/>
      <c r="J1933" t="s">
        <v>289</v>
      </c>
      <c r="K1933">
        <v>9973</v>
      </c>
      <c r="M1933">
        <v>9215255</v>
      </c>
      <c r="N1933">
        <v>9</v>
      </c>
    </row>
    <row r="1934" spans="2:14" hidden="1" x14ac:dyDescent="0.25">
      <c r="B1934" t="s">
        <v>50</v>
      </c>
      <c r="C1934" t="str">
        <f>_xlfn.XLOOKUP(B1934,Tabla2[CODIGO],Tabla2[MATERIAL],"N/A",0)</f>
        <v>Percha galv 1 puesto</v>
      </c>
      <c r="D1934">
        <v>1</v>
      </c>
      <c r="E1934" t="s">
        <v>42</v>
      </c>
      <c r="F1934" t="s">
        <v>62</v>
      </c>
      <c r="I1934" s="2"/>
      <c r="J1934" t="s">
        <v>289</v>
      </c>
      <c r="K1934">
        <v>9973</v>
      </c>
      <c r="M1934">
        <v>9215255</v>
      </c>
      <c r="N1934">
        <v>9</v>
      </c>
    </row>
    <row r="1935" spans="2:14" hidden="1" x14ac:dyDescent="0.25">
      <c r="B1935" t="s">
        <v>466</v>
      </c>
      <c r="C1935" t="str">
        <f>_xlfn.XLOOKUP(B1935,Tabla2[CODIGO],Tabla2[MATERIAL],"N/A",0)</f>
        <v xml:space="preserve">Perno carruaje 5-8*2 </v>
      </c>
      <c r="D1935">
        <v>1</v>
      </c>
      <c r="E1935" t="s">
        <v>42</v>
      </c>
      <c r="F1935" t="s">
        <v>62</v>
      </c>
      <c r="I1935" s="2"/>
      <c r="J1935" t="s">
        <v>289</v>
      </c>
      <c r="K1935">
        <v>9973</v>
      </c>
      <c r="M1935">
        <v>9215255</v>
      </c>
      <c r="N1935">
        <v>9</v>
      </c>
    </row>
    <row r="1936" spans="2:14" hidden="1" x14ac:dyDescent="0.25">
      <c r="B1936" t="s">
        <v>213</v>
      </c>
      <c r="C1936" t="str">
        <f>_xlfn.XLOOKUP(B1936,Tabla2[CODIGO],Tabla2[MATERIAL],"N/A",0)</f>
        <v>Tuerca Hexagona 5/8</v>
      </c>
      <c r="D1936">
        <v>1</v>
      </c>
      <c r="E1936" t="s">
        <v>42</v>
      </c>
      <c r="F1936" t="s">
        <v>62</v>
      </c>
      <c r="I1936" s="2"/>
      <c r="J1936" t="s">
        <v>289</v>
      </c>
      <c r="K1936">
        <v>9973</v>
      </c>
      <c r="M1936">
        <v>9215255</v>
      </c>
      <c r="N1936">
        <v>9</v>
      </c>
    </row>
    <row r="1937" spans="2:14" hidden="1" x14ac:dyDescent="0.25">
      <c r="B1937" t="s">
        <v>192</v>
      </c>
      <c r="C1937" t="str">
        <f>_xlfn.XLOOKUP(B1937,Tabla2[CODIGO],Tabla2[MATERIAL],"N/A",0)</f>
        <v>angular V</v>
      </c>
      <c r="D1937">
        <v>2</v>
      </c>
      <c r="E1937" t="s">
        <v>42</v>
      </c>
      <c r="F1937" t="s">
        <v>62</v>
      </c>
      <c r="I1937" s="2"/>
      <c r="J1937" t="s">
        <v>289</v>
      </c>
      <c r="K1937">
        <v>9973</v>
      </c>
      <c r="M1937">
        <v>1865315</v>
      </c>
      <c r="N1937">
        <v>10</v>
      </c>
    </row>
    <row r="1938" spans="2:14" hidden="1" x14ac:dyDescent="0.25">
      <c r="B1938" t="s">
        <v>214</v>
      </c>
      <c r="C1938" t="str">
        <f>_xlfn.XLOOKUP(B1938,Tabla2[CODIGO],Tabla2[MATERIAL],"N/A",0)</f>
        <v>Marco para caja ap</v>
      </c>
      <c r="D1938">
        <v>1</v>
      </c>
      <c r="E1938" t="s">
        <v>42</v>
      </c>
      <c r="F1938" t="s">
        <v>62</v>
      </c>
      <c r="I1938" s="2"/>
      <c r="J1938" t="s">
        <v>289</v>
      </c>
      <c r="K1938">
        <v>9973</v>
      </c>
      <c r="M1938">
        <v>1865315</v>
      </c>
      <c r="N1938">
        <v>10</v>
      </c>
    </row>
    <row r="1939" spans="2:14" hidden="1" x14ac:dyDescent="0.25">
      <c r="B1939" t="s">
        <v>250</v>
      </c>
      <c r="C1939" t="str">
        <f>_xlfn.XLOOKUP(B1939,Tabla2[CODIGO],Tabla2[MATERIAL],"N/A",0)</f>
        <v>Cruceta Metalica 3*3x 1/4</v>
      </c>
      <c r="D1939">
        <v>2</v>
      </c>
      <c r="E1939" t="s">
        <v>42</v>
      </c>
      <c r="F1939" t="s">
        <v>62</v>
      </c>
      <c r="I1939" s="2"/>
      <c r="J1939" t="s">
        <v>289</v>
      </c>
      <c r="K1939">
        <v>9973</v>
      </c>
      <c r="M1939">
        <v>1865315</v>
      </c>
      <c r="N1939">
        <v>10</v>
      </c>
    </row>
    <row r="1940" spans="2:14" hidden="1" x14ac:dyDescent="0.25">
      <c r="B1940" t="s">
        <v>78</v>
      </c>
      <c r="C1940" t="str">
        <f>_xlfn.XLOOKUP(B1940,Tabla2[CODIGO],Tabla2[MATERIAL],"N/A",0)</f>
        <v>Tapa Concreto</v>
      </c>
      <c r="D1940">
        <v>1</v>
      </c>
      <c r="E1940" t="s">
        <v>42</v>
      </c>
      <c r="F1940" t="s">
        <v>62</v>
      </c>
      <c r="I1940" s="2"/>
      <c r="J1940" t="s">
        <v>289</v>
      </c>
      <c r="K1940">
        <v>9973</v>
      </c>
      <c r="M1940">
        <v>1865315</v>
      </c>
      <c r="N1940">
        <v>10</v>
      </c>
    </row>
    <row r="1941" spans="2:14" hidden="1" x14ac:dyDescent="0.25">
      <c r="B1941" t="s">
        <v>464</v>
      </c>
      <c r="C1941" t="str">
        <f>_xlfn.XLOOKUP(B1941,Tabla2[CODIGO],Tabla2[MATERIAL],"N/A",0)</f>
        <v>Tuberia Conduflex 3/4"</v>
      </c>
      <c r="D1941">
        <v>0.3</v>
      </c>
      <c r="E1941" t="s">
        <v>43</v>
      </c>
      <c r="F1941" t="s">
        <v>62</v>
      </c>
      <c r="I1941" s="2"/>
      <c r="J1941" t="s">
        <v>289</v>
      </c>
      <c r="K1941">
        <v>9973</v>
      </c>
      <c r="M1941">
        <v>1865315</v>
      </c>
      <c r="N1941">
        <v>10</v>
      </c>
    </row>
    <row r="1942" spans="2:14" hidden="1" x14ac:dyDescent="0.25">
      <c r="B1942" t="s">
        <v>484</v>
      </c>
      <c r="C1942" t="str">
        <f>_xlfn.XLOOKUP(B1942,Tabla2[CODIGO],Tabla2[MATERIAL],"N/A",0)</f>
        <v>cable al pvc thhn 4 awg</v>
      </c>
      <c r="D1942">
        <v>32</v>
      </c>
      <c r="E1942" t="s">
        <v>43</v>
      </c>
      <c r="F1942" t="s">
        <v>62</v>
      </c>
      <c r="I1942" s="2"/>
      <c r="J1942" t="s">
        <v>289</v>
      </c>
      <c r="K1942">
        <v>9973</v>
      </c>
      <c r="M1942">
        <v>1865315</v>
      </c>
      <c r="N1942">
        <v>14</v>
      </c>
    </row>
    <row r="1943" spans="2:14" hidden="1" x14ac:dyDescent="0.25">
      <c r="B1943" t="s">
        <v>248</v>
      </c>
      <c r="C1943" t="str">
        <f>_xlfn.XLOOKUP(B1943,Tabla2[CODIGO],Tabla2[MATERIAL],"N/A",0)</f>
        <v>Conector Varilla cooperw.</v>
      </c>
      <c r="D1943">
        <v>1</v>
      </c>
      <c r="E1943" t="s">
        <v>42</v>
      </c>
      <c r="F1943" t="s">
        <v>62</v>
      </c>
      <c r="I1943" s="2"/>
      <c r="J1943" t="s">
        <v>289</v>
      </c>
      <c r="K1943">
        <v>9973</v>
      </c>
      <c r="M1943">
        <v>1865315</v>
      </c>
      <c r="N1943">
        <v>14</v>
      </c>
    </row>
    <row r="1944" spans="2:14" hidden="1" x14ac:dyDescent="0.25">
      <c r="B1944" t="s">
        <v>76</v>
      </c>
      <c r="C1944" t="str">
        <f>_xlfn.XLOOKUP(B1944,Tabla2[CODIGO],Tabla2[MATERIAL],"N/A",0)</f>
        <v>Empalme gel ppal 8-4/0 a der 14-2/0 awg (grande)</v>
      </c>
      <c r="D1944">
        <v>2</v>
      </c>
      <c r="E1944" t="s">
        <v>42</v>
      </c>
      <c r="F1944" t="s">
        <v>62</v>
      </c>
      <c r="I1944" s="2"/>
      <c r="J1944" t="s">
        <v>289</v>
      </c>
      <c r="K1944">
        <v>9973</v>
      </c>
      <c r="M1944">
        <v>1865315</v>
      </c>
      <c r="N1944">
        <v>14</v>
      </c>
    </row>
    <row r="1945" spans="2:14" hidden="1" x14ac:dyDescent="0.25">
      <c r="B1945" t="s">
        <v>464</v>
      </c>
      <c r="C1945" t="str">
        <f>_xlfn.XLOOKUP(B1945,Tabla2[CODIGO],Tabla2[MATERIAL],"N/A",0)</f>
        <v>Tuberia Conduflex 3/4"</v>
      </c>
      <c r="D1945">
        <v>0.3</v>
      </c>
      <c r="E1945" t="s">
        <v>43</v>
      </c>
      <c r="F1945" t="s">
        <v>62</v>
      </c>
      <c r="I1945" s="2"/>
      <c r="J1945" t="s">
        <v>289</v>
      </c>
      <c r="K1945">
        <v>9973</v>
      </c>
      <c r="M1945">
        <v>1865315</v>
      </c>
      <c r="N1945">
        <v>14</v>
      </c>
    </row>
    <row r="1946" spans="2:14" hidden="1" x14ac:dyDescent="0.25">
      <c r="B1946" t="s">
        <v>198</v>
      </c>
      <c r="C1946" t="str">
        <f>_xlfn.XLOOKUP(B1946,Tabla2[CODIGO],Tabla2[MATERIAL],"N/A",0)</f>
        <v>Varilla cooperweld 2,4m</v>
      </c>
      <c r="D1946">
        <v>1</v>
      </c>
      <c r="E1946" t="s">
        <v>42</v>
      </c>
      <c r="F1946" t="s">
        <v>62</v>
      </c>
      <c r="I1946" s="2"/>
      <c r="J1946" t="s">
        <v>289</v>
      </c>
      <c r="K1946">
        <v>9973</v>
      </c>
      <c r="M1946">
        <v>1865315</v>
      </c>
      <c r="N1946">
        <v>14</v>
      </c>
    </row>
    <row r="1947" spans="2:14" hidden="1" x14ac:dyDescent="0.25">
      <c r="B1947" t="s">
        <v>82</v>
      </c>
      <c r="C1947" t="str">
        <f>_xlfn.XLOOKUP(B1947,Tabla2[CODIGO],Tabla2[MATERIAL],"N/A",0)</f>
        <v>proyector 190w</v>
      </c>
      <c r="D1947">
        <v>1</v>
      </c>
      <c r="E1947" t="s">
        <v>42</v>
      </c>
      <c r="F1947" t="s">
        <v>16</v>
      </c>
      <c r="G1947" s="1">
        <v>46221</v>
      </c>
      <c r="H1947" t="s">
        <v>64</v>
      </c>
      <c r="I1947" s="2" t="s">
        <v>422</v>
      </c>
      <c r="J1947" t="s">
        <v>289</v>
      </c>
      <c r="K1947">
        <v>9973</v>
      </c>
    </row>
    <row r="1948" spans="2:14" hidden="1" x14ac:dyDescent="0.25">
      <c r="B1948" t="s">
        <v>472</v>
      </c>
      <c r="C1948" t="str">
        <f>_xlfn.XLOOKUP(B1948,Tabla2[CODIGO],Tabla2[MATERIAL],"N/A",0)</f>
        <v>proyector 190w</v>
      </c>
      <c r="D1948">
        <v>1</v>
      </c>
      <c r="E1948" t="s">
        <v>42</v>
      </c>
      <c r="F1948" t="s">
        <v>62</v>
      </c>
      <c r="H1948" t="s">
        <v>64</v>
      </c>
      <c r="I1948" s="2" t="s">
        <v>422</v>
      </c>
      <c r="J1948" t="s">
        <v>289</v>
      </c>
      <c r="K1948">
        <v>9973</v>
      </c>
      <c r="M1948">
        <v>1865315</v>
      </c>
      <c r="N1948">
        <v>10</v>
      </c>
    </row>
    <row r="1949" spans="2:14" hidden="1" x14ac:dyDescent="0.25">
      <c r="B1949" t="s">
        <v>82</v>
      </c>
      <c r="C1949" t="str">
        <f>_xlfn.XLOOKUP(B1949,Tabla2[CODIGO],Tabla2[MATERIAL],"N/A",0)</f>
        <v>proyector 190w</v>
      </c>
      <c r="D1949">
        <v>1</v>
      </c>
      <c r="E1949" t="s">
        <v>42</v>
      </c>
      <c r="F1949" t="s">
        <v>16</v>
      </c>
      <c r="G1949" s="1">
        <v>46221</v>
      </c>
      <c r="H1949" t="s">
        <v>64</v>
      </c>
      <c r="I1949" s="2" t="s">
        <v>427</v>
      </c>
      <c r="J1949" t="s">
        <v>289</v>
      </c>
      <c r="K1949">
        <v>9973</v>
      </c>
    </row>
    <row r="1950" spans="2:14" hidden="1" x14ac:dyDescent="0.25">
      <c r="B1950" t="s">
        <v>472</v>
      </c>
      <c r="C1950" t="str">
        <f>_xlfn.XLOOKUP(B1950,Tabla2[CODIGO],Tabla2[MATERIAL],"N/A",0)</f>
        <v>proyector 190w</v>
      </c>
      <c r="D1950">
        <v>1</v>
      </c>
      <c r="E1950" t="s">
        <v>42</v>
      </c>
      <c r="F1950" t="s">
        <v>62</v>
      </c>
      <c r="H1950" t="s">
        <v>64</v>
      </c>
      <c r="I1950" s="2" t="s">
        <v>427</v>
      </c>
      <c r="J1950" t="s">
        <v>289</v>
      </c>
      <c r="K1950">
        <v>9973</v>
      </c>
      <c r="M1950">
        <v>1865315</v>
      </c>
      <c r="N1950">
        <v>16</v>
      </c>
    </row>
    <row r="1951" spans="2:14" hidden="1" x14ac:dyDescent="0.25">
      <c r="B1951" t="s">
        <v>82</v>
      </c>
      <c r="C1951" t="str">
        <f>_xlfn.XLOOKUP(B1951,Tabla2[CODIGO],Tabla2[MATERIAL],"N/A",0)</f>
        <v>proyector 190w</v>
      </c>
      <c r="D1951">
        <v>1</v>
      </c>
      <c r="E1951" t="s">
        <v>42</v>
      </c>
      <c r="F1951" t="s">
        <v>16</v>
      </c>
      <c r="G1951" s="1">
        <v>46221</v>
      </c>
      <c r="H1951" t="s">
        <v>64</v>
      </c>
      <c r="I1951" s="2" t="s">
        <v>425</v>
      </c>
      <c r="J1951" t="s">
        <v>289</v>
      </c>
      <c r="K1951">
        <v>9973</v>
      </c>
    </row>
    <row r="1952" spans="2:14" hidden="1" x14ac:dyDescent="0.25">
      <c r="B1952" t="s">
        <v>472</v>
      </c>
      <c r="C1952" t="str">
        <f>_xlfn.XLOOKUP(B1952,Tabla2[CODIGO],Tabla2[MATERIAL],"N/A",0)</f>
        <v>proyector 190w</v>
      </c>
      <c r="D1952">
        <v>1</v>
      </c>
      <c r="E1952" t="s">
        <v>42</v>
      </c>
      <c r="F1952" t="s">
        <v>62</v>
      </c>
      <c r="H1952" t="s">
        <v>64</v>
      </c>
      <c r="I1952" s="2" t="s">
        <v>425</v>
      </c>
      <c r="J1952" t="s">
        <v>289</v>
      </c>
      <c r="K1952">
        <v>9973</v>
      </c>
      <c r="M1952">
        <v>1865315</v>
      </c>
      <c r="N1952">
        <v>14</v>
      </c>
    </row>
    <row r="1953" spans="2:14" hidden="1" x14ac:dyDescent="0.25">
      <c r="B1953" t="s">
        <v>82</v>
      </c>
      <c r="C1953" t="str">
        <f>_xlfn.XLOOKUP(B1953,Tabla2[CODIGO],Tabla2[MATERIAL],"N/A",0)</f>
        <v>proyector 190w</v>
      </c>
      <c r="D1953">
        <v>1</v>
      </c>
      <c r="E1953" t="s">
        <v>42</v>
      </c>
      <c r="F1953" t="s">
        <v>16</v>
      </c>
      <c r="G1953" s="1">
        <v>46221</v>
      </c>
      <c r="H1953" t="s">
        <v>64</v>
      </c>
      <c r="I1953" s="2" t="s">
        <v>421</v>
      </c>
      <c r="J1953" t="s">
        <v>289</v>
      </c>
      <c r="K1953">
        <v>9973</v>
      </c>
    </row>
    <row r="1954" spans="2:14" hidden="1" x14ac:dyDescent="0.25">
      <c r="B1954" t="s">
        <v>472</v>
      </c>
      <c r="C1954" t="str">
        <f>_xlfn.XLOOKUP(B1954,Tabla2[CODIGO],Tabla2[MATERIAL],"N/A",0)</f>
        <v>proyector 190w</v>
      </c>
      <c r="D1954">
        <v>1</v>
      </c>
      <c r="E1954" t="s">
        <v>42</v>
      </c>
      <c r="F1954" t="s">
        <v>62</v>
      </c>
      <c r="H1954" t="s">
        <v>64</v>
      </c>
      <c r="I1954" s="2" t="s">
        <v>421</v>
      </c>
      <c r="J1954" t="s">
        <v>289</v>
      </c>
      <c r="K1954">
        <v>9973</v>
      </c>
      <c r="M1954">
        <v>1865315</v>
      </c>
      <c r="N1954">
        <v>11</v>
      </c>
    </row>
    <row r="1955" spans="2:14" hidden="1" x14ac:dyDescent="0.25">
      <c r="B1955" t="s">
        <v>261</v>
      </c>
      <c r="C1955" t="str">
        <f>_xlfn.XLOOKUP(B1955,Tabla2[CODIGO],Tabla2[MATERIAL],"N/A",0)</f>
        <v>Abrazadera sin salida 6"</v>
      </c>
      <c r="D1955">
        <v>2</v>
      </c>
      <c r="E1955" t="s">
        <v>42</v>
      </c>
      <c r="F1955" t="s">
        <v>62</v>
      </c>
      <c r="I1955" s="2"/>
      <c r="J1955" t="s">
        <v>289</v>
      </c>
      <c r="K1955">
        <v>9974</v>
      </c>
      <c r="M1955">
        <v>1865323</v>
      </c>
      <c r="N1955">
        <v>14</v>
      </c>
    </row>
    <row r="1956" spans="2:14" hidden="1" x14ac:dyDescent="0.25">
      <c r="B1956" t="s">
        <v>225</v>
      </c>
      <c r="C1956" t="str">
        <f>_xlfn.XLOOKUP(B1956,Tabla2[CODIGO],Tabla2[MATERIAL],"N/A",0)</f>
        <v>Abrazadera una salida 6"</v>
      </c>
      <c r="D1956">
        <v>2</v>
      </c>
      <c r="E1956" t="s">
        <v>42</v>
      </c>
      <c r="F1956" t="s">
        <v>62</v>
      </c>
      <c r="I1956" s="2"/>
      <c r="J1956" t="s">
        <v>289</v>
      </c>
      <c r="K1956">
        <v>9974</v>
      </c>
      <c r="M1956">
        <v>1865331</v>
      </c>
      <c r="N1956">
        <v>10</v>
      </c>
    </row>
    <row r="1957" spans="2:14" hidden="1" x14ac:dyDescent="0.25">
      <c r="B1957" t="s">
        <v>226</v>
      </c>
      <c r="C1957" t="str">
        <f>_xlfn.XLOOKUP(B1957,Tabla2[CODIGO],Tabla2[MATERIAL],"N/A",0)</f>
        <v>Abrazadera una salida 6"</v>
      </c>
      <c r="D1957">
        <v>2</v>
      </c>
      <c r="E1957" t="s">
        <v>42</v>
      </c>
      <c r="F1957" t="s">
        <v>62</v>
      </c>
      <c r="I1957" s="2"/>
      <c r="J1957" t="s">
        <v>289</v>
      </c>
      <c r="K1957">
        <v>9974</v>
      </c>
      <c r="M1957">
        <v>1865323</v>
      </c>
      <c r="N1957">
        <v>16</v>
      </c>
    </row>
    <row r="1958" spans="2:14" hidden="1" x14ac:dyDescent="0.25">
      <c r="B1958" t="s">
        <v>56</v>
      </c>
      <c r="C1958" t="str">
        <f>_xlfn.XLOOKUP(B1958,Tabla2[CODIGO],Tabla2[MATERIAL],"N/A",0)</f>
        <v>Aislador Carrreto</v>
      </c>
      <c r="D1958">
        <v>1</v>
      </c>
      <c r="E1958" t="s">
        <v>42</v>
      </c>
      <c r="F1958" t="s">
        <v>62</v>
      </c>
      <c r="I1958" s="2"/>
      <c r="J1958" t="s">
        <v>289</v>
      </c>
      <c r="K1958">
        <v>9974</v>
      </c>
      <c r="M1958">
        <v>1865340</v>
      </c>
      <c r="N1958">
        <v>3</v>
      </c>
    </row>
    <row r="1959" spans="2:14" hidden="1" x14ac:dyDescent="0.25">
      <c r="B1959" t="s">
        <v>56</v>
      </c>
      <c r="C1959" t="str">
        <f>_xlfn.XLOOKUP(B1959,Tabla2[CODIGO],Tabla2[MATERIAL],"N/A",0)</f>
        <v>Aislador Carrreto</v>
      </c>
      <c r="D1959">
        <v>1</v>
      </c>
      <c r="E1959" t="s">
        <v>42</v>
      </c>
      <c r="F1959" t="s">
        <v>62</v>
      </c>
      <c r="I1959" s="2"/>
      <c r="J1959" t="s">
        <v>289</v>
      </c>
      <c r="K1959">
        <v>9974</v>
      </c>
      <c r="M1959">
        <v>1437682</v>
      </c>
      <c r="N1959">
        <v>4</v>
      </c>
    </row>
    <row r="1960" spans="2:14" hidden="1" x14ac:dyDescent="0.25">
      <c r="B1960" t="s">
        <v>56</v>
      </c>
      <c r="C1960" t="str">
        <f>_xlfn.XLOOKUP(B1960,Tabla2[CODIGO],Tabla2[MATERIAL],"N/A",0)</f>
        <v>Aislador Carrreto</v>
      </c>
      <c r="D1960">
        <v>1</v>
      </c>
      <c r="E1960" t="s">
        <v>42</v>
      </c>
      <c r="F1960" t="s">
        <v>62</v>
      </c>
      <c r="I1960" s="2"/>
      <c r="J1960" t="s">
        <v>289</v>
      </c>
      <c r="K1960">
        <v>9974</v>
      </c>
      <c r="M1960">
        <v>1437691</v>
      </c>
      <c r="N1960">
        <v>5</v>
      </c>
    </row>
    <row r="1961" spans="2:14" hidden="1" x14ac:dyDescent="0.25">
      <c r="B1961" t="s">
        <v>319</v>
      </c>
      <c r="C1961" t="str">
        <f>_xlfn.XLOOKUP(B1961,Tabla2[CODIGO],Tabla2[MATERIAL],"N/A",0)</f>
        <v>alambre Cu thhn 14 verde</v>
      </c>
      <c r="D1961">
        <v>14</v>
      </c>
      <c r="E1961" t="s">
        <v>43</v>
      </c>
      <c r="F1961" t="s">
        <v>62</v>
      </c>
      <c r="I1961" s="2"/>
      <c r="J1961" t="s">
        <v>289</v>
      </c>
      <c r="K1961">
        <v>9974</v>
      </c>
      <c r="M1961">
        <v>1865331</v>
      </c>
      <c r="N1961">
        <v>10</v>
      </c>
    </row>
    <row r="1962" spans="2:14" hidden="1" x14ac:dyDescent="0.25">
      <c r="B1962" t="s">
        <v>319</v>
      </c>
      <c r="C1962" t="str">
        <f>_xlfn.XLOOKUP(B1962,Tabla2[CODIGO],Tabla2[MATERIAL],"N/A",0)</f>
        <v>alambre Cu thhn 14 verde</v>
      </c>
      <c r="D1962">
        <v>14</v>
      </c>
      <c r="E1962" t="s">
        <v>43</v>
      </c>
      <c r="F1962" t="s">
        <v>62</v>
      </c>
      <c r="I1962" s="2"/>
      <c r="J1962" t="s">
        <v>289</v>
      </c>
      <c r="K1962">
        <v>9974</v>
      </c>
      <c r="M1962">
        <v>1865323</v>
      </c>
      <c r="N1962">
        <v>14</v>
      </c>
    </row>
    <row r="1963" spans="2:14" hidden="1" x14ac:dyDescent="0.25">
      <c r="B1963" t="s">
        <v>192</v>
      </c>
      <c r="C1963" t="str">
        <f>_xlfn.XLOOKUP(B1963,Tabla2[CODIGO],Tabla2[MATERIAL],"N/A",0)</f>
        <v>angular V</v>
      </c>
      <c r="D1963">
        <v>1</v>
      </c>
      <c r="E1963" t="s">
        <v>42</v>
      </c>
      <c r="F1963" t="s">
        <v>62</v>
      </c>
      <c r="I1963" s="2"/>
      <c r="J1963" t="s">
        <v>289</v>
      </c>
      <c r="K1963">
        <v>9974</v>
      </c>
      <c r="M1963">
        <v>1865331</v>
      </c>
      <c r="N1963">
        <v>6</v>
      </c>
    </row>
    <row r="1964" spans="2:14" hidden="1" x14ac:dyDescent="0.25">
      <c r="B1964" t="s">
        <v>192</v>
      </c>
      <c r="C1964" t="str">
        <f>_xlfn.XLOOKUP(B1964,Tabla2[CODIGO],Tabla2[MATERIAL],"N/A",0)</f>
        <v>angular V</v>
      </c>
      <c r="D1964">
        <v>1</v>
      </c>
      <c r="E1964" t="s">
        <v>42</v>
      </c>
      <c r="F1964" t="s">
        <v>62</v>
      </c>
      <c r="I1964" s="2"/>
      <c r="J1964" t="s">
        <v>289</v>
      </c>
      <c r="K1964">
        <v>9974</v>
      </c>
      <c r="M1964">
        <v>1865323</v>
      </c>
      <c r="N1964">
        <v>14</v>
      </c>
    </row>
    <row r="1965" spans="2:14" hidden="1" x14ac:dyDescent="0.25">
      <c r="B1965" t="s">
        <v>318</v>
      </c>
      <c r="C1965" t="str">
        <f>_xlfn.XLOOKUP(B1965,Tabla2[CODIGO],Tabla2[MATERIAL],"N/A",0)</f>
        <v>Cable AL aa-8000 4 awg</v>
      </c>
      <c r="D1965">
        <v>28</v>
      </c>
      <c r="E1965" t="s">
        <v>43</v>
      </c>
      <c r="F1965" t="s">
        <v>62</v>
      </c>
      <c r="I1965" s="2"/>
      <c r="J1965" t="s">
        <v>289</v>
      </c>
      <c r="K1965">
        <v>9974</v>
      </c>
      <c r="M1965">
        <v>1865331</v>
      </c>
      <c r="N1965">
        <v>10</v>
      </c>
    </row>
    <row r="1966" spans="2:14" hidden="1" x14ac:dyDescent="0.25">
      <c r="B1966" t="s">
        <v>318</v>
      </c>
      <c r="C1966" t="str">
        <f>_xlfn.XLOOKUP(B1966,Tabla2[CODIGO],Tabla2[MATERIAL],"N/A",0)</f>
        <v>Cable AL aa-8000 4 awg</v>
      </c>
      <c r="D1966">
        <v>28</v>
      </c>
      <c r="E1966" t="s">
        <v>43</v>
      </c>
      <c r="F1966" t="s">
        <v>62</v>
      </c>
      <c r="I1966" s="2"/>
      <c r="J1966" t="s">
        <v>289</v>
      </c>
      <c r="K1966">
        <v>9974</v>
      </c>
      <c r="M1966">
        <v>1865323</v>
      </c>
      <c r="N1966">
        <v>14</v>
      </c>
    </row>
    <row r="1967" spans="2:14" hidden="1" x14ac:dyDescent="0.25">
      <c r="B1967" t="s">
        <v>194</v>
      </c>
      <c r="C1967" t="str">
        <f>_xlfn.XLOOKUP(B1967,Tabla2[CODIGO],Tabla2[MATERIAL],"N/A",0)</f>
        <v>Cable TPX 2x4 1x4 awg</v>
      </c>
      <c r="D1967">
        <v>29</v>
      </c>
      <c r="E1967" t="s">
        <v>43</v>
      </c>
      <c r="F1967" t="s">
        <v>62</v>
      </c>
      <c r="I1967" s="2"/>
      <c r="J1967" t="s">
        <v>289</v>
      </c>
      <c r="K1967">
        <v>9974</v>
      </c>
      <c r="M1967">
        <v>1437691</v>
      </c>
      <c r="N1967">
        <v>5</v>
      </c>
    </row>
    <row r="1968" spans="2:14" hidden="1" x14ac:dyDescent="0.25">
      <c r="B1968" t="s">
        <v>21</v>
      </c>
      <c r="C1968" t="str">
        <f>_xlfn.XLOOKUP(B1968,Tabla2[CODIGO],Tabla2[MATERIAL],"N/A",0)</f>
        <v>Cable Encauchetado 3x14 pvc</v>
      </c>
      <c r="D1968">
        <v>10</v>
      </c>
      <c r="E1968" t="s">
        <v>43</v>
      </c>
      <c r="F1968" t="s">
        <v>62</v>
      </c>
      <c r="I1968" s="2"/>
      <c r="J1968" t="s">
        <v>289</v>
      </c>
      <c r="K1968">
        <v>9974</v>
      </c>
      <c r="M1968">
        <v>2260883</v>
      </c>
      <c r="N1968">
        <v>1</v>
      </c>
    </row>
    <row r="1969" spans="2:14" hidden="1" x14ac:dyDescent="0.25">
      <c r="B1969" t="s">
        <v>53</v>
      </c>
      <c r="C1969" t="str">
        <f>_xlfn.XLOOKUP(B1969,Tabla2[CODIGO],Tabla2[MATERIAL],"N/A",0)</f>
        <v>Conector de Perforacion ais kz-ep (EP95) pequeño</v>
      </c>
      <c r="D1969">
        <v>3</v>
      </c>
      <c r="E1969" t="s">
        <v>42</v>
      </c>
      <c r="F1969" t="s">
        <v>62</v>
      </c>
      <c r="I1969" s="2"/>
      <c r="J1969" t="s">
        <v>289</v>
      </c>
      <c r="K1969">
        <v>9974</v>
      </c>
      <c r="M1969">
        <v>1865340</v>
      </c>
      <c r="N1969">
        <v>3</v>
      </c>
    </row>
    <row r="1970" spans="2:14" hidden="1" x14ac:dyDescent="0.25">
      <c r="B1970" t="s">
        <v>53</v>
      </c>
      <c r="C1970" t="str">
        <f>_xlfn.XLOOKUP(B1970,Tabla2[CODIGO],Tabla2[MATERIAL],"N/A",0)</f>
        <v>Conector de Perforacion ais kz-ep (EP95) pequeño</v>
      </c>
      <c r="D1970">
        <v>3</v>
      </c>
      <c r="E1970" t="s">
        <v>42</v>
      </c>
      <c r="F1970" t="s">
        <v>62</v>
      </c>
      <c r="I1970" s="2"/>
      <c r="J1970" t="s">
        <v>289</v>
      </c>
      <c r="K1970">
        <v>9974</v>
      </c>
      <c r="M1970">
        <v>1437682</v>
      </c>
      <c r="N1970">
        <v>4</v>
      </c>
    </row>
    <row r="1971" spans="2:14" hidden="1" x14ac:dyDescent="0.25">
      <c r="B1971" t="s">
        <v>53</v>
      </c>
      <c r="C1971" t="str">
        <f>_xlfn.XLOOKUP(B1971,Tabla2[CODIGO],Tabla2[MATERIAL],"N/A",0)</f>
        <v>Conector de Perforacion ais kz-ep (EP95) pequeño</v>
      </c>
      <c r="D1971">
        <v>6</v>
      </c>
      <c r="E1971" t="s">
        <v>42</v>
      </c>
      <c r="F1971" t="s">
        <v>62</v>
      </c>
      <c r="I1971" s="2"/>
      <c r="J1971" t="s">
        <v>289</v>
      </c>
      <c r="K1971">
        <v>9974</v>
      </c>
      <c r="M1971">
        <v>1437691</v>
      </c>
      <c r="N1971">
        <v>5</v>
      </c>
    </row>
    <row r="1972" spans="2:14" hidden="1" x14ac:dyDescent="0.25">
      <c r="B1972" t="s">
        <v>53</v>
      </c>
      <c r="C1972" t="str">
        <f>_xlfn.XLOOKUP(B1972,Tabla2[CODIGO],Tabla2[MATERIAL],"N/A",0)</f>
        <v>Conector de Perforacion ais kz-ep (EP95) pequeño</v>
      </c>
      <c r="D1972">
        <v>8</v>
      </c>
      <c r="E1972" t="s">
        <v>42</v>
      </c>
      <c r="F1972" t="s">
        <v>62</v>
      </c>
      <c r="I1972" s="2"/>
      <c r="J1972" t="s">
        <v>289</v>
      </c>
      <c r="K1972">
        <v>9974</v>
      </c>
      <c r="M1972">
        <v>1865331</v>
      </c>
      <c r="N1972">
        <v>10</v>
      </c>
    </row>
    <row r="1973" spans="2:14" hidden="1" x14ac:dyDescent="0.25">
      <c r="B1973" t="s">
        <v>53</v>
      </c>
      <c r="C1973" t="str">
        <f>_xlfn.XLOOKUP(B1973,Tabla2[CODIGO],Tabla2[MATERIAL],"N/A",0)</f>
        <v>Conector de Perforacion ais kz-ep (EP95) pequeño</v>
      </c>
      <c r="D1973">
        <v>10</v>
      </c>
      <c r="E1973" t="s">
        <v>42</v>
      </c>
      <c r="F1973" t="s">
        <v>62</v>
      </c>
      <c r="I1973" s="2"/>
      <c r="J1973" t="s">
        <v>289</v>
      </c>
      <c r="K1973">
        <v>9974</v>
      </c>
      <c r="M1973">
        <v>1865323</v>
      </c>
      <c r="N1973">
        <v>14</v>
      </c>
    </row>
    <row r="1974" spans="2:14" hidden="1" x14ac:dyDescent="0.25">
      <c r="B1974" t="s">
        <v>210</v>
      </c>
      <c r="C1974" t="str">
        <f>_xlfn.XLOOKUP(B1974,Tabla2[CODIGO],Tabla2[MATERIAL],"N/A",0)</f>
        <v>Conector Varilla cooperw.</v>
      </c>
      <c r="D1974">
        <v>1</v>
      </c>
      <c r="E1974" t="s">
        <v>42</v>
      </c>
      <c r="F1974" t="s">
        <v>62</v>
      </c>
      <c r="I1974" s="2"/>
      <c r="J1974" t="s">
        <v>289</v>
      </c>
      <c r="K1974">
        <v>9974</v>
      </c>
      <c r="M1974">
        <v>2260883</v>
      </c>
      <c r="N1974">
        <v>1</v>
      </c>
    </row>
    <row r="1975" spans="2:14" hidden="1" x14ac:dyDescent="0.25">
      <c r="B1975" t="s">
        <v>210</v>
      </c>
      <c r="C1975" t="str">
        <f>_xlfn.XLOOKUP(B1975,Tabla2[CODIGO],Tabla2[MATERIAL],"N/A",0)</f>
        <v>Conector Varilla cooperw.</v>
      </c>
      <c r="D1975">
        <v>1</v>
      </c>
      <c r="E1975" t="s">
        <v>42</v>
      </c>
      <c r="F1975" t="s">
        <v>62</v>
      </c>
      <c r="I1975" s="2"/>
      <c r="J1975" t="s">
        <v>289</v>
      </c>
      <c r="K1975">
        <v>9974</v>
      </c>
      <c r="M1975">
        <v>1865331</v>
      </c>
      <c r="N1975">
        <v>10</v>
      </c>
    </row>
    <row r="1976" spans="2:14" hidden="1" x14ac:dyDescent="0.25">
      <c r="B1976" t="s">
        <v>210</v>
      </c>
      <c r="C1976" t="str">
        <f>_xlfn.XLOOKUP(B1976,Tabla2[CODIGO],Tabla2[MATERIAL],"N/A",0)</f>
        <v>Conector Varilla cooperw.</v>
      </c>
      <c r="D1976">
        <v>1</v>
      </c>
      <c r="E1976" t="s">
        <v>42</v>
      </c>
      <c r="F1976" t="s">
        <v>62</v>
      </c>
      <c r="I1976" s="2"/>
      <c r="J1976" t="s">
        <v>289</v>
      </c>
      <c r="K1976">
        <v>9974</v>
      </c>
      <c r="M1976">
        <v>1865323</v>
      </c>
      <c r="N1976">
        <v>14</v>
      </c>
    </row>
    <row r="1977" spans="2:14" hidden="1" x14ac:dyDescent="0.25">
      <c r="B1977" t="s">
        <v>54</v>
      </c>
      <c r="C1977" t="str">
        <f>_xlfn.XLOOKUP(B1977,Tabla2[CODIGO],Tabla2[MATERIAL],"N/A",0)</f>
        <v>Conector resorte 18-8</v>
      </c>
      <c r="D1977">
        <v>3</v>
      </c>
      <c r="E1977" t="s">
        <v>42</v>
      </c>
      <c r="F1977" t="s">
        <v>62</v>
      </c>
      <c r="I1977" s="2"/>
      <c r="J1977" t="s">
        <v>289</v>
      </c>
      <c r="K1977">
        <v>9974</v>
      </c>
      <c r="M1977">
        <v>2260883</v>
      </c>
      <c r="N1977">
        <v>1</v>
      </c>
    </row>
    <row r="1978" spans="2:14" hidden="1" x14ac:dyDescent="0.25">
      <c r="B1978" t="s">
        <v>54</v>
      </c>
      <c r="C1978" t="str">
        <f>_xlfn.XLOOKUP(B1978,Tabla2[CODIGO],Tabla2[MATERIAL],"N/A",0)</f>
        <v>Conector resorte 18-8</v>
      </c>
      <c r="D1978">
        <v>2</v>
      </c>
      <c r="E1978" t="s">
        <v>42</v>
      </c>
      <c r="F1978" t="s">
        <v>62</v>
      </c>
      <c r="I1978" s="2"/>
      <c r="J1978" t="s">
        <v>289</v>
      </c>
      <c r="K1978">
        <v>9974</v>
      </c>
      <c r="M1978">
        <v>1865331</v>
      </c>
      <c r="N1978">
        <v>10</v>
      </c>
    </row>
    <row r="1979" spans="2:14" hidden="1" x14ac:dyDescent="0.25">
      <c r="B1979" t="s">
        <v>54</v>
      </c>
      <c r="C1979" t="str">
        <f>_xlfn.XLOOKUP(B1979,Tabla2[CODIGO],Tabla2[MATERIAL],"N/A",0)</f>
        <v>Conector resorte 18-8</v>
      </c>
      <c r="D1979">
        <v>3</v>
      </c>
      <c r="E1979" t="s">
        <v>42</v>
      </c>
      <c r="F1979" t="s">
        <v>62</v>
      </c>
      <c r="I1979" s="2"/>
      <c r="J1979" t="s">
        <v>289</v>
      </c>
      <c r="K1979">
        <v>9974</v>
      </c>
      <c r="M1979">
        <v>1865323</v>
      </c>
      <c r="N1979">
        <v>14</v>
      </c>
    </row>
    <row r="1980" spans="2:14" hidden="1" x14ac:dyDescent="0.25">
      <c r="B1980" t="s">
        <v>250</v>
      </c>
      <c r="C1980" t="str">
        <f>_xlfn.XLOOKUP(B1980,Tabla2[CODIGO],Tabla2[MATERIAL],"N/A",0)</f>
        <v>Cruceta Metalica 3*3x 1/4</v>
      </c>
      <c r="D1980">
        <v>1</v>
      </c>
      <c r="E1980" t="s">
        <v>42</v>
      </c>
      <c r="F1980" t="s">
        <v>62</v>
      </c>
      <c r="I1980" s="2"/>
      <c r="J1980" t="s">
        <v>289</v>
      </c>
      <c r="K1980">
        <v>9974</v>
      </c>
      <c r="M1980">
        <v>1865331</v>
      </c>
      <c r="N1980">
        <v>6</v>
      </c>
    </row>
    <row r="1981" spans="2:14" hidden="1" x14ac:dyDescent="0.25">
      <c r="B1981" t="s">
        <v>250</v>
      </c>
      <c r="C1981" t="str">
        <f>_xlfn.XLOOKUP(B1981,Tabla2[CODIGO],Tabla2[MATERIAL],"N/A",0)</f>
        <v>Cruceta Metalica 3*3x 1/4</v>
      </c>
      <c r="D1981">
        <v>1</v>
      </c>
      <c r="E1981" t="s">
        <v>42</v>
      </c>
      <c r="F1981" t="s">
        <v>62</v>
      </c>
      <c r="I1981" s="2"/>
      <c r="J1981" t="s">
        <v>289</v>
      </c>
      <c r="K1981">
        <v>9974</v>
      </c>
      <c r="M1981">
        <v>1865323</v>
      </c>
      <c r="N1981">
        <v>14</v>
      </c>
    </row>
    <row r="1982" spans="2:14" hidden="1" x14ac:dyDescent="0.25">
      <c r="B1982" t="s">
        <v>76</v>
      </c>
      <c r="C1982" t="str">
        <f>_xlfn.XLOOKUP(B1982,Tabla2[CODIGO],Tabla2[MATERIAL],"N/A",0)</f>
        <v>Empalme gel ppal 8-4/0 a der 14-2/0 awg (grande)</v>
      </c>
      <c r="D1982">
        <v>2</v>
      </c>
      <c r="E1982" t="s">
        <v>42</v>
      </c>
      <c r="F1982" t="s">
        <v>62</v>
      </c>
      <c r="I1982" s="2"/>
      <c r="J1982" t="s">
        <v>289</v>
      </c>
      <c r="K1982">
        <v>9974</v>
      </c>
      <c r="M1982">
        <v>2260883</v>
      </c>
      <c r="N1982">
        <v>1</v>
      </c>
    </row>
    <row r="1983" spans="2:14" hidden="1" x14ac:dyDescent="0.25">
      <c r="B1983" t="s">
        <v>76</v>
      </c>
      <c r="C1983" t="str">
        <f>_xlfn.XLOOKUP(B1983,Tabla2[CODIGO],Tabla2[MATERIAL],"N/A",0)</f>
        <v>Empalme gel ppal 8-4/0 a der 14-2/0 awg (grande)</v>
      </c>
      <c r="D1983">
        <v>2</v>
      </c>
      <c r="E1983" t="s">
        <v>42</v>
      </c>
      <c r="F1983" t="s">
        <v>62</v>
      </c>
      <c r="I1983" s="2"/>
      <c r="J1983" t="s">
        <v>289</v>
      </c>
      <c r="K1983">
        <v>9974</v>
      </c>
      <c r="M1983">
        <v>1865331</v>
      </c>
      <c r="N1983">
        <v>10</v>
      </c>
    </row>
    <row r="1984" spans="2:14" hidden="1" x14ac:dyDescent="0.25">
      <c r="B1984" t="s">
        <v>76</v>
      </c>
      <c r="C1984" t="str">
        <f>_xlfn.XLOOKUP(B1984,Tabla2[CODIGO],Tabla2[MATERIAL],"N/A",0)</f>
        <v>Empalme gel ppal 8-4/0 a der 14-2/0 awg (grande)</v>
      </c>
      <c r="D1984">
        <v>2</v>
      </c>
      <c r="E1984" t="s">
        <v>42</v>
      </c>
      <c r="F1984" t="s">
        <v>62</v>
      </c>
      <c r="I1984" s="2"/>
      <c r="J1984" t="s">
        <v>289</v>
      </c>
      <c r="K1984">
        <v>9974</v>
      </c>
      <c r="M1984">
        <v>1865323</v>
      </c>
      <c r="N1984">
        <v>14</v>
      </c>
    </row>
    <row r="1985" spans="2:14" hidden="1" x14ac:dyDescent="0.25">
      <c r="B1985" t="s">
        <v>60</v>
      </c>
      <c r="C1985" t="str">
        <f>_xlfn.XLOOKUP(B1985,Tabla2[CODIGO],Tabla2[MATERIAL],"N/A",0)</f>
        <v>Fotocelda</v>
      </c>
      <c r="D1985">
        <v>1</v>
      </c>
      <c r="E1985" t="s">
        <v>42</v>
      </c>
      <c r="F1985" t="s">
        <v>62</v>
      </c>
      <c r="I1985" s="2"/>
      <c r="J1985" t="s">
        <v>289</v>
      </c>
      <c r="K1985">
        <v>9974</v>
      </c>
      <c r="M1985">
        <v>2260883</v>
      </c>
      <c r="N1985">
        <v>1</v>
      </c>
    </row>
    <row r="1986" spans="2:14" hidden="1" x14ac:dyDescent="0.25">
      <c r="B1986" t="s">
        <v>60</v>
      </c>
      <c r="C1986" t="str">
        <f>_xlfn.XLOOKUP(B1986,Tabla2[CODIGO],Tabla2[MATERIAL],"N/A",0)</f>
        <v>Fotocelda</v>
      </c>
      <c r="D1986">
        <v>1</v>
      </c>
      <c r="E1986" t="s">
        <v>42</v>
      </c>
      <c r="F1986" t="s">
        <v>62</v>
      </c>
      <c r="I1986" s="2"/>
      <c r="J1986" t="s">
        <v>289</v>
      </c>
      <c r="K1986">
        <v>9974</v>
      </c>
      <c r="M1986">
        <v>2260883</v>
      </c>
      <c r="N1986">
        <v>2</v>
      </c>
    </row>
    <row r="1987" spans="2:14" hidden="1" x14ac:dyDescent="0.25">
      <c r="B1987" t="s">
        <v>60</v>
      </c>
      <c r="C1987" t="str">
        <f>_xlfn.XLOOKUP(B1987,Tabla2[CODIGO],Tabla2[MATERIAL],"N/A",0)</f>
        <v>Fotocelda</v>
      </c>
      <c r="D1987">
        <v>1</v>
      </c>
      <c r="E1987" t="s">
        <v>42</v>
      </c>
      <c r="F1987" t="s">
        <v>62</v>
      </c>
      <c r="I1987" s="2"/>
      <c r="J1987" t="s">
        <v>289</v>
      </c>
      <c r="K1987">
        <v>9974</v>
      </c>
      <c r="M1987">
        <v>1865340</v>
      </c>
      <c r="N1987">
        <v>3</v>
      </c>
    </row>
    <row r="1988" spans="2:14" hidden="1" x14ac:dyDescent="0.25">
      <c r="B1988" t="s">
        <v>60</v>
      </c>
      <c r="C1988" t="str">
        <f>_xlfn.XLOOKUP(B1988,Tabla2[CODIGO],Tabla2[MATERIAL],"N/A",0)</f>
        <v>Fotocelda</v>
      </c>
      <c r="D1988">
        <v>1</v>
      </c>
      <c r="E1988" t="s">
        <v>42</v>
      </c>
      <c r="F1988" t="s">
        <v>62</v>
      </c>
      <c r="I1988" s="2"/>
      <c r="J1988" t="s">
        <v>289</v>
      </c>
      <c r="K1988">
        <v>9974</v>
      </c>
      <c r="M1988">
        <v>1437682</v>
      </c>
      <c r="N1988">
        <v>4</v>
      </c>
    </row>
    <row r="1989" spans="2:14" hidden="1" x14ac:dyDescent="0.25">
      <c r="B1989" t="s">
        <v>60</v>
      </c>
      <c r="C1989" t="str">
        <f>_xlfn.XLOOKUP(B1989,Tabla2[CODIGO],Tabla2[MATERIAL],"N/A",0)</f>
        <v>Fotocelda</v>
      </c>
      <c r="D1989">
        <v>1</v>
      </c>
      <c r="E1989" t="s">
        <v>42</v>
      </c>
      <c r="F1989" t="s">
        <v>62</v>
      </c>
      <c r="I1989" s="2"/>
      <c r="J1989" t="s">
        <v>289</v>
      </c>
      <c r="K1989">
        <v>9974</v>
      </c>
      <c r="M1989">
        <v>1437691</v>
      </c>
      <c r="N1989">
        <v>5</v>
      </c>
    </row>
    <row r="1990" spans="2:14" hidden="1" x14ac:dyDescent="0.25">
      <c r="B1990" t="s">
        <v>60</v>
      </c>
      <c r="C1990" t="str">
        <f>_xlfn.XLOOKUP(B1990,Tabla2[CODIGO],Tabla2[MATERIAL],"N/A",0)</f>
        <v>Fotocelda</v>
      </c>
      <c r="D1990">
        <v>1</v>
      </c>
      <c r="E1990" t="s">
        <v>42</v>
      </c>
      <c r="F1990" t="s">
        <v>62</v>
      </c>
      <c r="I1990" s="2"/>
      <c r="J1990" t="s">
        <v>289</v>
      </c>
      <c r="K1990">
        <v>9974</v>
      </c>
      <c r="M1990">
        <v>1865331</v>
      </c>
      <c r="N1990">
        <v>6</v>
      </c>
    </row>
    <row r="1991" spans="2:14" hidden="1" x14ac:dyDescent="0.25">
      <c r="B1991" t="s">
        <v>60</v>
      </c>
      <c r="C1991" t="str">
        <f>_xlfn.XLOOKUP(B1991,Tabla2[CODIGO],Tabla2[MATERIAL],"N/A",0)</f>
        <v>Fotocelda</v>
      </c>
      <c r="D1991">
        <v>1</v>
      </c>
      <c r="E1991" t="s">
        <v>42</v>
      </c>
      <c r="F1991" t="s">
        <v>62</v>
      </c>
      <c r="I1991" s="2"/>
      <c r="J1991" t="s">
        <v>289</v>
      </c>
      <c r="K1991">
        <v>9974</v>
      </c>
      <c r="M1991">
        <v>1865331</v>
      </c>
      <c r="N1991">
        <v>7</v>
      </c>
    </row>
    <row r="1992" spans="2:14" hidden="1" x14ac:dyDescent="0.25">
      <c r="B1992" t="s">
        <v>60</v>
      </c>
      <c r="C1992" t="str">
        <f>_xlfn.XLOOKUP(B1992,Tabla2[CODIGO],Tabla2[MATERIAL],"N/A",0)</f>
        <v>Fotocelda</v>
      </c>
      <c r="D1992">
        <v>1</v>
      </c>
      <c r="E1992" t="s">
        <v>42</v>
      </c>
      <c r="F1992" t="s">
        <v>62</v>
      </c>
      <c r="I1992" s="2"/>
      <c r="J1992" t="s">
        <v>289</v>
      </c>
      <c r="K1992">
        <v>9974</v>
      </c>
      <c r="M1992">
        <v>1865331</v>
      </c>
      <c r="N1992">
        <v>8</v>
      </c>
    </row>
    <row r="1993" spans="2:14" hidden="1" x14ac:dyDescent="0.25">
      <c r="B1993" t="s">
        <v>60</v>
      </c>
      <c r="C1993" t="str">
        <f>_xlfn.XLOOKUP(B1993,Tabla2[CODIGO],Tabla2[MATERIAL],"N/A",0)</f>
        <v>Fotocelda</v>
      </c>
      <c r="D1993">
        <v>1</v>
      </c>
      <c r="E1993" t="s">
        <v>42</v>
      </c>
      <c r="F1993" t="s">
        <v>62</v>
      </c>
      <c r="I1993" s="2"/>
      <c r="J1993" t="s">
        <v>289</v>
      </c>
      <c r="K1993">
        <v>9974</v>
      </c>
      <c r="M1993">
        <v>1865331</v>
      </c>
      <c r="N1993">
        <v>9</v>
      </c>
    </row>
    <row r="1994" spans="2:14" hidden="1" x14ac:dyDescent="0.25">
      <c r="B1994" t="s">
        <v>60</v>
      </c>
      <c r="C1994" t="str">
        <f>_xlfn.XLOOKUP(B1994,Tabla2[CODIGO],Tabla2[MATERIAL],"N/A",0)</f>
        <v>Fotocelda</v>
      </c>
      <c r="D1994">
        <v>1</v>
      </c>
      <c r="E1994" t="s">
        <v>42</v>
      </c>
      <c r="F1994" t="s">
        <v>62</v>
      </c>
      <c r="I1994" s="2"/>
      <c r="J1994" t="s">
        <v>289</v>
      </c>
      <c r="K1994">
        <v>9974</v>
      </c>
      <c r="M1994">
        <v>1865331</v>
      </c>
      <c r="N1994">
        <v>10</v>
      </c>
    </row>
    <row r="1995" spans="2:14" hidden="1" x14ac:dyDescent="0.25">
      <c r="B1995" t="s">
        <v>60</v>
      </c>
      <c r="C1995" t="str">
        <f>_xlfn.XLOOKUP(B1995,Tabla2[CODIGO],Tabla2[MATERIAL],"N/A",0)</f>
        <v>Fotocelda</v>
      </c>
      <c r="D1995">
        <v>1</v>
      </c>
      <c r="E1995" t="s">
        <v>42</v>
      </c>
      <c r="F1995" t="s">
        <v>62</v>
      </c>
      <c r="I1995" s="2"/>
      <c r="J1995" t="s">
        <v>289</v>
      </c>
      <c r="K1995">
        <v>9974</v>
      </c>
      <c r="M1995">
        <v>1865331</v>
      </c>
      <c r="N1995">
        <v>11</v>
      </c>
    </row>
    <row r="1996" spans="2:14" hidden="1" x14ac:dyDescent="0.25">
      <c r="B1996" t="s">
        <v>60</v>
      </c>
      <c r="C1996" t="str">
        <f>_xlfn.XLOOKUP(B1996,Tabla2[CODIGO],Tabla2[MATERIAL],"N/A",0)</f>
        <v>Fotocelda</v>
      </c>
      <c r="D1996">
        <v>1</v>
      </c>
      <c r="E1996" t="s">
        <v>42</v>
      </c>
      <c r="F1996" t="s">
        <v>62</v>
      </c>
      <c r="I1996" s="2"/>
      <c r="J1996" t="s">
        <v>289</v>
      </c>
      <c r="K1996">
        <v>9974</v>
      </c>
      <c r="M1996">
        <v>1865331</v>
      </c>
      <c r="N1996">
        <v>12</v>
      </c>
    </row>
    <row r="1997" spans="2:14" hidden="1" x14ac:dyDescent="0.25">
      <c r="B1997" t="s">
        <v>60</v>
      </c>
      <c r="C1997" t="str">
        <f>_xlfn.XLOOKUP(B1997,Tabla2[CODIGO],Tabla2[MATERIAL],"N/A",0)</f>
        <v>Fotocelda</v>
      </c>
      <c r="D1997">
        <v>1</v>
      </c>
      <c r="E1997" t="s">
        <v>42</v>
      </c>
      <c r="F1997" t="s">
        <v>62</v>
      </c>
      <c r="I1997" s="2"/>
      <c r="J1997" t="s">
        <v>289</v>
      </c>
      <c r="K1997">
        <v>9974</v>
      </c>
      <c r="M1997">
        <v>1865331</v>
      </c>
      <c r="N1997">
        <v>13</v>
      </c>
    </row>
    <row r="1998" spans="2:14" hidden="1" x14ac:dyDescent="0.25">
      <c r="B1998" t="s">
        <v>60</v>
      </c>
      <c r="C1998" t="str">
        <f>_xlfn.XLOOKUP(B1998,Tabla2[CODIGO],Tabla2[MATERIAL],"N/A",0)</f>
        <v>Fotocelda</v>
      </c>
      <c r="D1998">
        <v>1</v>
      </c>
      <c r="E1998" t="s">
        <v>42</v>
      </c>
      <c r="F1998" t="s">
        <v>62</v>
      </c>
      <c r="I1998" s="2"/>
      <c r="J1998" t="s">
        <v>289</v>
      </c>
      <c r="K1998">
        <v>9974</v>
      </c>
      <c r="M1998">
        <v>1865323</v>
      </c>
      <c r="N1998">
        <v>14</v>
      </c>
    </row>
    <row r="1999" spans="2:14" hidden="1" x14ac:dyDescent="0.25">
      <c r="B1999" t="s">
        <v>60</v>
      </c>
      <c r="C1999" t="str">
        <f>_xlfn.XLOOKUP(B1999,Tabla2[CODIGO],Tabla2[MATERIAL],"N/A",0)</f>
        <v>Fotocelda</v>
      </c>
      <c r="D1999">
        <v>1</v>
      </c>
      <c r="E1999" t="s">
        <v>42</v>
      </c>
      <c r="F1999" t="s">
        <v>62</v>
      </c>
      <c r="I1999" s="2"/>
      <c r="J1999" t="s">
        <v>289</v>
      </c>
      <c r="K1999">
        <v>9974</v>
      </c>
      <c r="M1999">
        <v>1865323</v>
      </c>
      <c r="N1999">
        <v>15</v>
      </c>
    </row>
    <row r="2000" spans="2:14" hidden="1" x14ac:dyDescent="0.25">
      <c r="B2000" t="s">
        <v>60</v>
      </c>
      <c r="C2000" t="str">
        <f>_xlfn.XLOOKUP(B2000,Tabla2[CODIGO],Tabla2[MATERIAL],"N/A",0)</f>
        <v>Fotocelda</v>
      </c>
      <c r="D2000">
        <v>1</v>
      </c>
      <c r="E2000" t="s">
        <v>42</v>
      </c>
      <c r="F2000" t="s">
        <v>62</v>
      </c>
      <c r="I2000" s="2"/>
      <c r="J2000" t="s">
        <v>289</v>
      </c>
      <c r="K2000">
        <v>9974</v>
      </c>
      <c r="M2000">
        <v>1865323</v>
      </c>
      <c r="N2000">
        <v>16</v>
      </c>
    </row>
    <row r="2001" spans="2:14" hidden="1" x14ac:dyDescent="0.25">
      <c r="B2001" t="s">
        <v>60</v>
      </c>
      <c r="C2001" t="str">
        <f>_xlfn.XLOOKUP(B2001,Tabla2[CODIGO],Tabla2[MATERIAL],"N/A",0)</f>
        <v>Fotocelda</v>
      </c>
      <c r="D2001">
        <v>1</v>
      </c>
      <c r="E2001" t="s">
        <v>42</v>
      </c>
      <c r="F2001" t="s">
        <v>62</v>
      </c>
      <c r="I2001" s="2"/>
      <c r="J2001" t="s">
        <v>289</v>
      </c>
      <c r="K2001">
        <v>9974</v>
      </c>
      <c r="M2001">
        <v>1865323</v>
      </c>
      <c r="N2001">
        <v>17</v>
      </c>
    </row>
    <row r="2002" spans="2:14" hidden="1" x14ac:dyDescent="0.25">
      <c r="B2002" t="s">
        <v>60</v>
      </c>
      <c r="C2002" t="str">
        <f>_xlfn.XLOOKUP(B2002,Tabla2[CODIGO],Tabla2[MATERIAL],"N/A",0)</f>
        <v>Fotocelda</v>
      </c>
      <c r="D2002">
        <v>1</v>
      </c>
      <c r="E2002" t="s">
        <v>42</v>
      </c>
      <c r="F2002" t="s">
        <v>62</v>
      </c>
      <c r="I2002" s="2"/>
      <c r="J2002" t="s">
        <v>289</v>
      </c>
      <c r="K2002">
        <v>9974</v>
      </c>
      <c r="M2002">
        <v>1865323</v>
      </c>
      <c r="N2002">
        <v>18</v>
      </c>
    </row>
    <row r="2003" spans="2:14" hidden="1" x14ac:dyDescent="0.25">
      <c r="B2003" t="s">
        <v>60</v>
      </c>
      <c r="C2003" t="str">
        <f>_xlfn.XLOOKUP(B2003,Tabla2[CODIGO],Tabla2[MATERIAL],"N/A",0)</f>
        <v>Fotocelda</v>
      </c>
      <c r="D2003">
        <v>1</v>
      </c>
      <c r="E2003" t="s">
        <v>42</v>
      </c>
      <c r="F2003" t="s">
        <v>62</v>
      </c>
      <c r="I2003" s="2"/>
      <c r="J2003" t="s">
        <v>289</v>
      </c>
      <c r="K2003">
        <v>9974</v>
      </c>
      <c r="M2003">
        <v>1865323</v>
      </c>
      <c r="N2003">
        <v>19</v>
      </c>
    </row>
    <row r="2004" spans="2:14" hidden="1" x14ac:dyDescent="0.25">
      <c r="B2004" t="s">
        <v>60</v>
      </c>
      <c r="C2004" t="str">
        <f>_xlfn.XLOOKUP(B2004,Tabla2[CODIGO],Tabla2[MATERIAL],"N/A",0)</f>
        <v>Fotocelda</v>
      </c>
      <c r="D2004">
        <v>1</v>
      </c>
      <c r="E2004" t="s">
        <v>42</v>
      </c>
      <c r="F2004" t="s">
        <v>62</v>
      </c>
      <c r="I2004" s="2"/>
      <c r="J2004" t="s">
        <v>289</v>
      </c>
      <c r="K2004">
        <v>9974</v>
      </c>
      <c r="M2004">
        <v>1865323</v>
      </c>
      <c r="N2004">
        <v>20</v>
      </c>
    </row>
    <row r="2005" spans="2:14" hidden="1" x14ac:dyDescent="0.25">
      <c r="B2005" t="s">
        <v>60</v>
      </c>
      <c r="C2005" t="str">
        <f>_xlfn.XLOOKUP(B2005,Tabla2[CODIGO],Tabla2[MATERIAL],"N/A",0)</f>
        <v>Fotocelda</v>
      </c>
      <c r="D2005">
        <v>1</v>
      </c>
      <c r="E2005" t="s">
        <v>42</v>
      </c>
      <c r="F2005" t="s">
        <v>62</v>
      </c>
      <c r="I2005" s="2"/>
      <c r="J2005" t="s">
        <v>289</v>
      </c>
      <c r="K2005">
        <v>9974</v>
      </c>
      <c r="M2005">
        <v>1865323</v>
      </c>
      <c r="N2005">
        <v>21</v>
      </c>
    </row>
    <row r="2006" spans="2:14" hidden="1" x14ac:dyDescent="0.25">
      <c r="B2006" t="s">
        <v>60</v>
      </c>
      <c r="C2006" t="str">
        <f>_xlfn.XLOOKUP(B2006,Tabla2[CODIGO],Tabla2[MATERIAL],"N/A",0)</f>
        <v>Fotocelda</v>
      </c>
      <c r="D2006">
        <v>1</v>
      </c>
      <c r="E2006" t="s">
        <v>42</v>
      </c>
      <c r="F2006" t="s">
        <v>62</v>
      </c>
      <c r="I2006" s="2"/>
      <c r="J2006" t="s">
        <v>289</v>
      </c>
      <c r="K2006">
        <v>9974</v>
      </c>
      <c r="M2006">
        <v>1865323</v>
      </c>
      <c r="N2006">
        <v>22</v>
      </c>
    </row>
    <row r="2007" spans="2:14" hidden="1" x14ac:dyDescent="0.25">
      <c r="B2007" t="s">
        <v>212</v>
      </c>
      <c r="C2007" t="str">
        <f>_xlfn.XLOOKUP(B2007,Tabla2[CODIGO],Tabla2[MATERIAL],"N/A",0)</f>
        <v>Grillete galvanizado 1,1/2</v>
      </c>
      <c r="D2007">
        <v>2</v>
      </c>
      <c r="E2007" t="s">
        <v>42</v>
      </c>
      <c r="F2007" t="s">
        <v>62</v>
      </c>
      <c r="I2007" s="2"/>
      <c r="J2007" t="s">
        <v>289</v>
      </c>
      <c r="K2007">
        <v>9974</v>
      </c>
      <c r="M2007">
        <v>1865340</v>
      </c>
      <c r="N2007">
        <v>3</v>
      </c>
    </row>
    <row r="2008" spans="2:14" hidden="1" x14ac:dyDescent="0.25">
      <c r="B2008" t="s">
        <v>212</v>
      </c>
      <c r="C2008" t="str">
        <f>_xlfn.XLOOKUP(B2008,Tabla2[CODIGO],Tabla2[MATERIAL],"N/A",0)</f>
        <v>Grillete galvanizado 1,1/2</v>
      </c>
      <c r="D2008">
        <v>2</v>
      </c>
      <c r="E2008" t="s">
        <v>42</v>
      </c>
      <c r="F2008" t="s">
        <v>62</v>
      </c>
      <c r="I2008" s="2"/>
      <c r="J2008" t="s">
        <v>289</v>
      </c>
      <c r="K2008">
        <v>9974</v>
      </c>
      <c r="M2008">
        <v>1865323</v>
      </c>
      <c r="N2008">
        <v>14</v>
      </c>
    </row>
    <row r="2009" spans="2:14" hidden="1" x14ac:dyDescent="0.25">
      <c r="B2009" t="s">
        <v>47</v>
      </c>
      <c r="C2009" t="str">
        <f>_xlfn.XLOOKUP(B2009,Tabla2[CODIGO],Tabla2[MATERIAL],"N/A",0)</f>
        <v>Luminaria 75w</v>
      </c>
      <c r="D2009">
        <v>1</v>
      </c>
      <c r="E2009" t="s">
        <v>42</v>
      </c>
      <c r="F2009" t="s">
        <v>62</v>
      </c>
      <c r="H2009" t="s">
        <v>64</v>
      </c>
      <c r="I2009" s="2" t="s">
        <v>432</v>
      </c>
      <c r="J2009" t="s">
        <v>289</v>
      </c>
      <c r="K2009">
        <v>9974</v>
      </c>
      <c r="M2009">
        <v>2260883</v>
      </c>
      <c r="N2009">
        <v>1</v>
      </c>
    </row>
    <row r="2010" spans="2:14" hidden="1" x14ac:dyDescent="0.25">
      <c r="B2010" t="s">
        <v>47</v>
      </c>
      <c r="C2010" t="str">
        <f>_xlfn.XLOOKUP(B2010,Tabla2[CODIGO],Tabla2[MATERIAL],"N/A",0)</f>
        <v>Luminaria 75w</v>
      </c>
      <c r="D2010">
        <v>1</v>
      </c>
      <c r="E2010" t="s">
        <v>42</v>
      </c>
      <c r="F2010" t="s">
        <v>62</v>
      </c>
      <c r="H2010" t="s">
        <v>64</v>
      </c>
      <c r="I2010" s="2" t="s">
        <v>430</v>
      </c>
      <c r="J2010" t="s">
        <v>289</v>
      </c>
      <c r="K2010">
        <v>9974</v>
      </c>
      <c r="M2010">
        <v>2260883</v>
      </c>
      <c r="N2010">
        <v>2</v>
      </c>
    </row>
    <row r="2011" spans="2:14" hidden="1" x14ac:dyDescent="0.25">
      <c r="B2011" t="s">
        <v>47</v>
      </c>
      <c r="C2011" t="str">
        <f>_xlfn.XLOOKUP(B2011,Tabla2[CODIGO],Tabla2[MATERIAL],"N/A",0)</f>
        <v>Luminaria 75w</v>
      </c>
      <c r="D2011">
        <v>1</v>
      </c>
      <c r="E2011" t="s">
        <v>42</v>
      </c>
      <c r="F2011" t="s">
        <v>62</v>
      </c>
      <c r="H2011" t="s">
        <v>64</v>
      </c>
      <c r="I2011" s="2" t="s">
        <v>328</v>
      </c>
      <c r="J2011" t="s">
        <v>289</v>
      </c>
      <c r="K2011">
        <v>9974</v>
      </c>
      <c r="M2011">
        <v>1865340</v>
      </c>
      <c r="N2011">
        <v>3</v>
      </c>
    </row>
    <row r="2012" spans="2:14" hidden="1" x14ac:dyDescent="0.25">
      <c r="B2012" t="s">
        <v>47</v>
      </c>
      <c r="C2012" t="str">
        <f>_xlfn.XLOOKUP(B2012,Tabla2[CODIGO],Tabla2[MATERIAL],"N/A",0)</f>
        <v>Luminaria 75w</v>
      </c>
      <c r="D2012">
        <v>1</v>
      </c>
      <c r="E2012" t="s">
        <v>42</v>
      </c>
      <c r="F2012" t="s">
        <v>62</v>
      </c>
      <c r="H2012" t="s">
        <v>64</v>
      </c>
      <c r="I2012" s="2" t="s">
        <v>473</v>
      </c>
      <c r="J2012" t="s">
        <v>289</v>
      </c>
      <c r="K2012">
        <v>9974</v>
      </c>
      <c r="M2012">
        <v>1437682</v>
      </c>
      <c r="N2012">
        <v>4</v>
      </c>
    </row>
    <row r="2013" spans="2:14" hidden="1" x14ac:dyDescent="0.25">
      <c r="B2013" t="s">
        <v>47</v>
      </c>
      <c r="C2013" t="str">
        <f>_xlfn.XLOOKUP(B2013,Tabla2[CODIGO],Tabla2[MATERIAL],"N/A",0)</f>
        <v>Luminaria 75w</v>
      </c>
      <c r="D2013">
        <v>1</v>
      </c>
      <c r="E2013" t="s">
        <v>42</v>
      </c>
      <c r="F2013" t="s">
        <v>62</v>
      </c>
      <c r="H2013" t="s">
        <v>64</v>
      </c>
      <c r="I2013" s="2" t="s">
        <v>429</v>
      </c>
      <c r="J2013" t="s">
        <v>289</v>
      </c>
      <c r="K2013">
        <v>9974</v>
      </c>
      <c r="M2013">
        <v>1437691</v>
      </c>
      <c r="N2013">
        <v>5</v>
      </c>
    </row>
    <row r="2014" spans="2:14" hidden="1" x14ac:dyDescent="0.25">
      <c r="B2014" t="s">
        <v>47</v>
      </c>
      <c r="C2014" t="str">
        <f>_xlfn.XLOOKUP(B2014,Tabla2[CODIGO],Tabla2[MATERIAL],"N/A",0)</f>
        <v>Luminaria 75w</v>
      </c>
      <c r="D2014">
        <v>1</v>
      </c>
      <c r="E2014" t="s">
        <v>42</v>
      </c>
      <c r="F2014" t="s">
        <v>62</v>
      </c>
      <c r="H2014" t="s">
        <v>64</v>
      </c>
      <c r="I2014" s="2" t="s">
        <v>431</v>
      </c>
      <c r="J2014" t="s">
        <v>289</v>
      </c>
      <c r="K2014">
        <v>9974</v>
      </c>
      <c r="M2014">
        <v>1865323</v>
      </c>
      <c r="N2014">
        <v>14</v>
      </c>
    </row>
    <row r="2015" spans="2:14" hidden="1" x14ac:dyDescent="0.25">
      <c r="B2015" t="s">
        <v>50</v>
      </c>
      <c r="C2015" t="str">
        <f>_xlfn.XLOOKUP(B2015,Tabla2[CODIGO],Tabla2[MATERIAL],"N/A",0)</f>
        <v>Percha galv 1 puesto</v>
      </c>
      <c r="D2015">
        <v>1</v>
      </c>
      <c r="E2015" t="s">
        <v>42</v>
      </c>
      <c r="F2015" t="s">
        <v>62</v>
      </c>
      <c r="I2015" s="2"/>
      <c r="J2015" t="s">
        <v>289</v>
      </c>
      <c r="K2015">
        <v>9974</v>
      </c>
      <c r="M2015">
        <v>1865340</v>
      </c>
      <c r="N2015">
        <v>3</v>
      </c>
    </row>
    <row r="2016" spans="2:14" hidden="1" x14ac:dyDescent="0.25">
      <c r="B2016" t="s">
        <v>50</v>
      </c>
      <c r="C2016" t="str">
        <f>_xlfn.XLOOKUP(B2016,Tabla2[CODIGO],Tabla2[MATERIAL],"N/A",0)</f>
        <v>Percha galv 1 puesto</v>
      </c>
      <c r="D2016">
        <v>1</v>
      </c>
      <c r="E2016" t="s">
        <v>42</v>
      </c>
      <c r="F2016" t="s">
        <v>62</v>
      </c>
      <c r="I2016" s="2"/>
      <c r="J2016" t="s">
        <v>289</v>
      </c>
      <c r="K2016">
        <v>9974</v>
      </c>
      <c r="M2016">
        <v>1437682</v>
      </c>
      <c r="N2016">
        <v>4</v>
      </c>
    </row>
    <row r="2017" spans="2:14" hidden="1" x14ac:dyDescent="0.25">
      <c r="B2017" t="s">
        <v>50</v>
      </c>
      <c r="C2017" t="str">
        <f>_xlfn.XLOOKUP(B2017,Tabla2[CODIGO],Tabla2[MATERIAL],"N/A",0)</f>
        <v>Percha galv 1 puesto</v>
      </c>
      <c r="D2017">
        <v>1</v>
      </c>
      <c r="E2017" t="s">
        <v>42</v>
      </c>
      <c r="F2017" t="s">
        <v>62</v>
      </c>
      <c r="I2017" s="2"/>
      <c r="J2017" t="s">
        <v>289</v>
      </c>
      <c r="K2017">
        <v>9974</v>
      </c>
      <c r="M2017">
        <v>1437691</v>
      </c>
      <c r="N2017">
        <v>5</v>
      </c>
    </row>
    <row r="2018" spans="2:14" hidden="1" x14ac:dyDescent="0.25">
      <c r="B2018" t="s">
        <v>204</v>
      </c>
      <c r="C2018" t="str">
        <f>_xlfn.XLOOKUP(B2018,Tabla2[CODIGO],Tabla2[MATERIAL],"N/A",0)</f>
        <v>Perno carruaje 5-8*1 1/2</v>
      </c>
      <c r="D2018">
        <v>1</v>
      </c>
      <c r="E2018" t="s">
        <v>42</v>
      </c>
      <c r="F2018" t="s">
        <v>62</v>
      </c>
      <c r="I2018" s="2"/>
      <c r="J2018" t="s">
        <v>289</v>
      </c>
      <c r="K2018">
        <v>9974</v>
      </c>
      <c r="M2018">
        <v>1865340</v>
      </c>
      <c r="N2018">
        <v>3</v>
      </c>
    </row>
    <row r="2019" spans="2:14" hidden="1" x14ac:dyDescent="0.25">
      <c r="B2019" t="s">
        <v>204</v>
      </c>
      <c r="C2019" t="str">
        <f>_xlfn.XLOOKUP(B2019,Tabla2[CODIGO],Tabla2[MATERIAL],"N/A",0)</f>
        <v>Perno carruaje 5-8*1 1/2</v>
      </c>
      <c r="D2019">
        <v>1</v>
      </c>
      <c r="E2019" t="s">
        <v>42</v>
      </c>
      <c r="F2019" t="s">
        <v>62</v>
      </c>
      <c r="I2019" s="2"/>
      <c r="J2019" t="s">
        <v>289</v>
      </c>
      <c r="K2019">
        <v>9974</v>
      </c>
      <c r="M2019">
        <v>1437682</v>
      </c>
      <c r="N2019">
        <v>4</v>
      </c>
    </row>
    <row r="2020" spans="2:14" hidden="1" x14ac:dyDescent="0.25">
      <c r="B2020" t="s">
        <v>204</v>
      </c>
      <c r="C2020" t="str">
        <f>_xlfn.XLOOKUP(B2020,Tabla2[CODIGO],Tabla2[MATERIAL],"N/A",0)</f>
        <v>Perno carruaje 5-8*1 1/2</v>
      </c>
      <c r="D2020">
        <v>1</v>
      </c>
      <c r="E2020" t="s">
        <v>42</v>
      </c>
      <c r="F2020" t="s">
        <v>62</v>
      </c>
      <c r="I2020" s="2"/>
      <c r="J2020" t="s">
        <v>289</v>
      </c>
      <c r="K2020">
        <v>9974</v>
      </c>
      <c r="M2020">
        <v>1437691</v>
      </c>
      <c r="N2020">
        <v>5</v>
      </c>
    </row>
    <row r="2021" spans="2:14" hidden="1" x14ac:dyDescent="0.25">
      <c r="B2021" t="s">
        <v>466</v>
      </c>
      <c r="C2021" t="str">
        <f>_xlfn.XLOOKUP(B2021,Tabla2[CODIGO],Tabla2[MATERIAL],"N/A",0)</f>
        <v xml:space="preserve">Perno carruaje 5-8*2 </v>
      </c>
      <c r="D2021">
        <v>8</v>
      </c>
      <c r="E2021" t="s">
        <v>42</v>
      </c>
      <c r="F2021" t="s">
        <v>62</v>
      </c>
      <c r="I2021" s="2"/>
      <c r="J2021" t="s">
        <v>289</v>
      </c>
      <c r="K2021">
        <v>9974</v>
      </c>
      <c r="M2021">
        <v>1865331</v>
      </c>
      <c r="N2021">
        <v>6</v>
      </c>
    </row>
    <row r="2022" spans="2:14" hidden="1" x14ac:dyDescent="0.25">
      <c r="B2022" t="s">
        <v>466</v>
      </c>
      <c r="C2022" t="str">
        <f>_xlfn.XLOOKUP(B2022,Tabla2[CODIGO],Tabla2[MATERIAL],"N/A",0)</f>
        <v xml:space="preserve">Perno carruaje 5-8*2 </v>
      </c>
      <c r="D2022">
        <v>1</v>
      </c>
      <c r="E2022" t="s">
        <v>42</v>
      </c>
      <c r="F2022" t="s">
        <v>62</v>
      </c>
      <c r="I2022" s="2"/>
      <c r="J2022" t="s">
        <v>289</v>
      </c>
      <c r="K2022">
        <v>9974</v>
      </c>
      <c r="M2022">
        <v>1865323</v>
      </c>
      <c r="N2022">
        <v>15</v>
      </c>
    </row>
    <row r="2023" spans="2:14" hidden="1" x14ac:dyDescent="0.25">
      <c r="B2023" t="s">
        <v>466</v>
      </c>
      <c r="C2023" t="str">
        <f>_xlfn.XLOOKUP(B2023,Tabla2[CODIGO],Tabla2[MATERIAL],"N/A",0)</f>
        <v xml:space="preserve">Perno carruaje 5-8*2 </v>
      </c>
      <c r="D2023">
        <v>1</v>
      </c>
      <c r="E2023" t="s">
        <v>42</v>
      </c>
      <c r="F2023" t="s">
        <v>62</v>
      </c>
      <c r="I2023" s="2"/>
      <c r="J2023" t="s">
        <v>289</v>
      </c>
      <c r="K2023">
        <v>9974</v>
      </c>
      <c r="M2023">
        <v>1865323</v>
      </c>
      <c r="N2023">
        <v>16</v>
      </c>
    </row>
    <row r="2024" spans="2:14" hidden="1" x14ac:dyDescent="0.25">
      <c r="B2024" t="s">
        <v>466</v>
      </c>
      <c r="C2024" t="str">
        <f>_xlfn.XLOOKUP(B2024,Tabla2[CODIGO],Tabla2[MATERIAL],"N/A",0)</f>
        <v xml:space="preserve">Perno carruaje 5-8*2 </v>
      </c>
      <c r="D2024">
        <v>1</v>
      </c>
      <c r="E2024" t="s">
        <v>42</v>
      </c>
      <c r="F2024" t="s">
        <v>62</v>
      </c>
      <c r="I2024" s="2"/>
      <c r="J2024" t="s">
        <v>289</v>
      </c>
      <c r="K2024">
        <v>9974</v>
      </c>
      <c r="M2024">
        <v>1865323</v>
      </c>
      <c r="N2024">
        <v>17</v>
      </c>
    </row>
    <row r="2025" spans="2:14" hidden="1" x14ac:dyDescent="0.25">
      <c r="B2025" t="s">
        <v>466</v>
      </c>
      <c r="C2025" t="str">
        <f>_xlfn.XLOOKUP(B2025,Tabla2[CODIGO],Tabla2[MATERIAL],"N/A",0)</f>
        <v xml:space="preserve">Perno carruaje 5-8*2 </v>
      </c>
      <c r="D2025">
        <v>1</v>
      </c>
      <c r="E2025" t="s">
        <v>42</v>
      </c>
      <c r="F2025" t="s">
        <v>62</v>
      </c>
      <c r="I2025" s="2"/>
      <c r="J2025" t="s">
        <v>289</v>
      </c>
      <c r="K2025">
        <v>9974</v>
      </c>
      <c r="M2025">
        <v>1865323</v>
      </c>
      <c r="N2025">
        <v>18</v>
      </c>
    </row>
    <row r="2026" spans="2:14" hidden="1" x14ac:dyDescent="0.25">
      <c r="B2026" t="s">
        <v>466</v>
      </c>
      <c r="C2026" t="str">
        <f>_xlfn.XLOOKUP(B2026,Tabla2[CODIGO],Tabla2[MATERIAL],"N/A",0)</f>
        <v xml:space="preserve">Perno carruaje 5-8*2 </v>
      </c>
      <c r="D2026">
        <v>1</v>
      </c>
      <c r="E2026" t="s">
        <v>42</v>
      </c>
      <c r="F2026" t="s">
        <v>62</v>
      </c>
      <c r="I2026" s="2"/>
      <c r="J2026" t="s">
        <v>289</v>
      </c>
      <c r="K2026">
        <v>9974</v>
      </c>
      <c r="M2026">
        <v>1865323</v>
      </c>
      <c r="N2026">
        <v>19</v>
      </c>
    </row>
    <row r="2027" spans="2:14" hidden="1" x14ac:dyDescent="0.25">
      <c r="B2027" t="s">
        <v>466</v>
      </c>
      <c r="C2027" t="str">
        <f>_xlfn.XLOOKUP(B2027,Tabla2[CODIGO],Tabla2[MATERIAL],"N/A",0)</f>
        <v xml:space="preserve">Perno carruaje 5-8*2 </v>
      </c>
      <c r="D2027">
        <v>1</v>
      </c>
      <c r="E2027" t="s">
        <v>42</v>
      </c>
      <c r="F2027" t="s">
        <v>62</v>
      </c>
      <c r="I2027" s="2"/>
      <c r="J2027" t="s">
        <v>289</v>
      </c>
      <c r="K2027">
        <v>9974</v>
      </c>
      <c r="M2027">
        <v>1865323</v>
      </c>
      <c r="N2027">
        <v>20</v>
      </c>
    </row>
    <row r="2028" spans="2:14" hidden="1" x14ac:dyDescent="0.25">
      <c r="B2028" t="s">
        <v>466</v>
      </c>
      <c r="C2028" t="str">
        <f>_xlfn.XLOOKUP(B2028,Tabla2[CODIGO],Tabla2[MATERIAL],"N/A",0)</f>
        <v xml:space="preserve">Perno carruaje 5-8*2 </v>
      </c>
      <c r="D2028">
        <v>1</v>
      </c>
      <c r="E2028" t="s">
        <v>42</v>
      </c>
      <c r="F2028" t="s">
        <v>62</v>
      </c>
      <c r="I2028" s="2"/>
      <c r="J2028" t="s">
        <v>289</v>
      </c>
      <c r="K2028">
        <v>9974</v>
      </c>
      <c r="M2028">
        <v>1865323</v>
      </c>
      <c r="N2028">
        <v>21</v>
      </c>
    </row>
    <row r="2029" spans="2:14" hidden="1" x14ac:dyDescent="0.25">
      <c r="B2029" t="s">
        <v>466</v>
      </c>
      <c r="C2029" t="str">
        <f>_xlfn.XLOOKUP(B2029,Tabla2[CODIGO],Tabla2[MATERIAL],"N/A",0)</f>
        <v xml:space="preserve">Perno carruaje 5-8*2 </v>
      </c>
      <c r="D2029">
        <v>1</v>
      </c>
      <c r="E2029" t="s">
        <v>42</v>
      </c>
      <c r="F2029" t="s">
        <v>62</v>
      </c>
      <c r="I2029" s="2"/>
      <c r="J2029" t="s">
        <v>289</v>
      </c>
      <c r="K2029">
        <v>9974</v>
      </c>
      <c r="M2029">
        <v>1865323</v>
      </c>
      <c r="N2029">
        <v>22</v>
      </c>
    </row>
    <row r="2030" spans="2:14" hidden="1" x14ac:dyDescent="0.25">
      <c r="B2030" t="s">
        <v>82</v>
      </c>
      <c r="C2030" t="str">
        <f>_xlfn.XLOOKUP(B2030,Tabla2[CODIGO],Tabla2[MATERIAL],"N/A",0)</f>
        <v>proyector 190w</v>
      </c>
      <c r="D2030">
        <v>1</v>
      </c>
      <c r="E2030" t="s">
        <v>42</v>
      </c>
      <c r="F2030" t="s">
        <v>16</v>
      </c>
      <c r="G2030" s="1">
        <v>46221</v>
      </c>
      <c r="H2030" t="s">
        <v>64</v>
      </c>
      <c r="I2030" s="2" t="s">
        <v>438</v>
      </c>
      <c r="J2030" t="s">
        <v>289</v>
      </c>
      <c r="K2030">
        <v>9974</v>
      </c>
    </row>
    <row r="2031" spans="2:14" hidden="1" x14ac:dyDescent="0.25">
      <c r="B2031" t="s">
        <v>82</v>
      </c>
      <c r="C2031" t="str">
        <f>_xlfn.XLOOKUP(B2031,Tabla2[CODIGO],Tabla2[MATERIAL],"N/A",0)</f>
        <v>proyector 190w</v>
      </c>
      <c r="D2031">
        <v>1</v>
      </c>
      <c r="E2031" t="s">
        <v>42</v>
      </c>
      <c r="F2031" t="s">
        <v>62</v>
      </c>
      <c r="H2031" t="s">
        <v>64</v>
      </c>
      <c r="I2031" s="2" t="s">
        <v>438</v>
      </c>
      <c r="J2031" t="s">
        <v>289</v>
      </c>
      <c r="K2031">
        <v>9974</v>
      </c>
      <c r="M2031">
        <v>1865323</v>
      </c>
      <c r="N2031">
        <v>19</v>
      </c>
    </row>
    <row r="2032" spans="2:14" hidden="1" x14ac:dyDescent="0.25">
      <c r="B2032" t="s">
        <v>82</v>
      </c>
      <c r="C2032" t="str">
        <f>_xlfn.XLOOKUP(B2032,Tabla2[CODIGO],Tabla2[MATERIAL],"N/A",0)</f>
        <v>proyector 190w</v>
      </c>
      <c r="D2032">
        <v>1</v>
      </c>
      <c r="E2032" t="s">
        <v>42</v>
      </c>
      <c r="F2032" t="s">
        <v>16</v>
      </c>
      <c r="G2032" s="1">
        <v>46221</v>
      </c>
      <c r="H2032" t="s">
        <v>64</v>
      </c>
      <c r="I2032" s="2" t="s">
        <v>435</v>
      </c>
      <c r="J2032" t="s">
        <v>289</v>
      </c>
      <c r="K2032">
        <v>9974</v>
      </c>
    </row>
    <row r="2033" spans="2:14" hidden="1" x14ac:dyDescent="0.25">
      <c r="B2033" t="s">
        <v>82</v>
      </c>
      <c r="C2033" t="str">
        <f>_xlfn.XLOOKUP(B2033,Tabla2[CODIGO],Tabla2[MATERIAL],"N/A",0)</f>
        <v>proyector 190w</v>
      </c>
      <c r="D2033">
        <v>1</v>
      </c>
      <c r="E2033" t="s">
        <v>42</v>
      </c>
      <c r="F2033" t="s">
        <v>62</v>
      </c>
      <c r="H2033" t="s">
        <v>64</v>
      </c>
      <c r="I2033" s="2" t="s">
        <v>435</v>
      </c>
      <c r="J2033" t="s">
        <v>289</v>
      </c>
      <c r="K2033">
        <v>9974</v>
      </c>
      <c r="M2033">
        <v>1865331</v>
      </c>
      <c r="N2033">
        <v>12</v>
      </c>
    </row>
    <row r="2034" spans="2:14" hidden="1" x14ac:dyDescent="0.25">
      <c r="B2034" t="s">
        <v>82</v>
      </c>
      <c r="C2034" t="str">
        <f>_xlfn.XLOOKUP(B2034,Tabla2[CODIGO],Tabla2[MATERIAL],"N/A",0)</f>
        <v>proyector 190w</v>
      </c>
      <c r="D2034">
        <v>1</v>
      </c>
      <c r="E2034" t="s">
        <v>42</v>
      </c>
      <c r="F2034" t="s">
        <v>16</v>
      </c>
      <c r="G2034" s="1">
        <v>46221</v>
      </c>
      <c r="H2034" t="s">
        <v>64</v>
      </c>
      <c r="I2034" s="2" t="s">
        <v>424</v>
      </c>
      <c r="J2034" t="s">
        <v>289</v>
      </c>
      <c r="K2034">
        <v>9973</v>
      </c>
    </row>
    <row r="2035" spans="2:14" hidden="1" x14ac:dyDescent="0.25">
      <c r="B2035" t="s">
        <v>472</v>
      </c>
      <c r="C2035" t="str">
        <f>_xlfn.XLOOKUP(B2035,Tabla2[CODIGO],Tabla2[MATERIAL],"N/A",0)</f>
        <v>proyector 190w</v>
      </c>
      <c r="D2035">
        <v>1</v>
      </c>
      <c r="E2035" t="s">
        <v>42</v>
      </c>
      <c r="F2035" t="s">
        <v>62</v>
      </c>
      <c r="H2035" t="s">
        <v>64</v>
      </c>
      <c r="I2035" s="2" t="s">
        <v>424</v>
      </c>
      <c r="J2035" t="s">
        <v>289</v>
      </c>
      <c r="K2035">
        <v>9973</v>
      </c>
      <c r="M2035">
        <v>1865315</v>
      </c>
      <c r="N2035">
        <v>13</v>
      </c>
    </row>
    <row r="2036" spans="2:14" hidden="1" x14ac:dyDescent="0.25">
      <c r="B2036" t="s">
        <v>82</v>
      </c>
      <c r="C2036" t="str">
        <f>_xlfn.XLOOKUP(B2036,Tabla2[CODIGO],Tabla2[MATERIAL],"N/A",0)</f>
        <v>proyector 190w</v>
      </c>
      <c r="D2036">
        <v>1</v>
      </c>
      <c r="E2036" t="s">
        <v>42</v>
      </c>
      <c r="F2036" t="s">
        <v>16</v>
      </c>
      <c r="G2036" s="1">
        <v>46221</v>
      </c>
      <c r="H2036" t="s">
        <v>64</v>
      </c>
      <c r="I2036" s="2" t="s">
        <v>442</v>
      </c>
      <c r="J2036" t="s">
        <v>289</v>
      </c>
      <c r="K2036">
        <v>9974</v>
      </c>
    </row>
    <row r="2037" spans="2:14" hidden="1" x14ac:dyDescent="0.25">
      <c r="B2037" t="s">
        <v>82</v>
      </c>
      <c r="C2037" t="str">
        <f>_xlfn.XLOOKUP(B2037,Tabla2[CODIGO],Tabla2[MATERIAL],"N/A",0)</f>
        <v>proyector 190w</v>
      </c>
      <c r="D2037">
        <v>1</v>
      </c>
      <c r="E2037" t="s">
        <v>42</v>
      </c>
      <c r="F2037" t="s">
        <v>62</v>
      </c>
      <c r="H2037" t="s">
        <v>64</v>
      </c>
      <c r="I2037" s="2" t="s">
        <v>442</v>
      </c>
      <c r="J2037" t="s">
        <v>289</v>
      </c>
      <c r="K2037">
        <v>9974</v>
      </c>
      <c r="M2037">
        <v>1865331</v>
      </c>
      <c r="N2037">
        <v>6</v>
      </c>
    </row>
    <row r="2038" spans="2:14" hidden="1" x14ac:dyDescent="0.25">
      <c r="B2038" t="s">
        <v>82</v>
      </c>
      <c r="C2038" t="str">
        <f>_xlfn.XLOOKUP(B2038,Tabla2[CODIGO],Tabla2[MATERIAL],"N/A",0)</f>
        <v>proyector 190w</v>
      </c>
      <c r="D2038">
        <v>1</v>
      </c>
      <c r="E2038" t="s">
        <v>42</v>
      </c>
      <c r="F2038" t="s">
        <v>16</v>
      </c>
      <c r="G2038" s="1">
        <v>46221</v>
      </c>
      <c r="H2038" t="s">
        <v>64</v>
      </c>
      <c r="I2038" s="2" t="s">
        <v>426</v>
      </c>
      <c r="J2038" t="s">
        <v>289</v>
      </c>
      <c r="K2038">
        <v>9973</v>
      </c>
    </row>
    <row r="2039" spans="2:14" hidden="1" x14ac:dyDescent="0.25">
      <c r="B2039" t="s">
        <v>472</v>
      </c>
      <c r="C2039" t="str">
        <f>_xlfn.XLOOKUP(B2039,Tabla2[CODIGO],Tabla2[MATERIAL],"N/A",0)</f>
        <v>proyector 190w</v>
      </c>
      <c r="D2039">
        <v>1</v>
      </c>
      <c r="E2039" t="s">
        <v>42</v>
      </c>
      <c r="F2039" t="s">
        <v>62</v>
      </c>
      <c r="H2039" t="s">
        <v>64</v>
      </c>
      <c r="I2039" s="2" t="s">
        <v>426</v>
      </c>
      <c r="J2039" t="s">
        <v>289</v>
      </c>
      <c r="K2039">
        <v>9973</v>
      </c>
      <c r="M2039">
        <v>1865315</v>
      </c>
      <c r="N2039">
        <v>12</v>
      </c>
    </row>
    <row r="2040" spans="2:14" hidden="1" x14ac:dyDescent="0.25">
      <c r="B2040" t="s">
        <v>82</v>
      </c>
      <c r="C2040" t="str">
        <f>_xlfn.XLOOKUP(B2040,Tabla2[CODIGO],Tabla2[MATERIAL],"N/A",0)</f>
        <v>proyector 190w</v>
      </c>
      <c r="D2040">
        <v>1</v>
      </c>
      <c r="E2040" t="s">
        <v>42</v>
      </c>
      <c r="F2040" t="s">
        <v>16</v>
      </c>
      <c r="G2040" s="1">
        <v>46221</v>
      </c>
      <c r="H2040" t="s">
        <v>64</v>
      </c>
      <c r="I2040" s="2" t="s">
        <v>436</v>
      </c>
      <c r="J2040" t="s">
        <v>289</v>
      </c>
      <c r="K2040">
        <v>9974</v>
      </c>
    </row>
    <row r="2041" spans="2:14" hidden="1" x14ac:dyDescent="0.25">
      <c r="B2041" t="s">
        <v>82</v>
      </c>
      <c r="C2041" t="str">
        <f>_xlfn.XLOOKUP(B2041,Tabla2[CODIGO],Tabla2[MATERIAL],"N/A",0)</f>
        <v>proyector 190w</v>
      </c>
      <c r="D2041">
        <v>1</v>
      </c>
      <c r="E2041" t="s">
        <v>42</v>
      </c>
      <c r="F2041" t="s">
        <v>62</v>
      </c>
      <c r="H2041" t="s">
        <v>64</v>
      </c>
      <c r="I2041" s="2" t="s">
        <v>436</v>
      </c>
      <c r="J2041" t="s">
        <v>289</v>
      </c>
      <c r="K2041">
        <v>9974</v>
      </c>
      <c r="M2041">
        <v>1865323</v>
      </c>
      <c r="N2041">
        <v>22</v>
      </c>
    </row>
    <row r="2042" spans="2:14" hidden="1" x14ac:dyDescent="0.25">
      <c r="B2042" t="s">
        <v>82</v>
      </c>
      <c r="C2042" t="str">
        <f>_xlfn.XLOOKUP(B2042,Tabla2[CODIGO],Tabla2[MATERIAL],"N/A",0)</f>
        <v>proyector 190w</v>
      </c>
      <c r="D2042">
        <v>1</v>
      </c>
      <c r="E2042" t="s">
        <v>42</v>
      </c>
      <c r="F2042" t="s">
        <v>16</v>
      </c>
      <c r="G2042" s="1">
        <v>46221</v>
      </c>
      <c r="H2042" t="s">
        <v>64</v>
      </c>
      <c r="I2042" s="2" t="s">
        <v>433</v>
      </c>
      <c r="J2042" t="s">
        <v>289</v>
      </c>
      <c r="K2042">
        <v>9974</v>
      </c>
    </row>
    <row r="2043" spans="2:14" hidden="1" x14ac:dyDescent="0.25">
      <c r="B2043" t="s">
        <v>82</v>
      </c>
      <c r="C2043" t="str">
        <f>_xlfn.XLOOKUP(B2043,Tabla2[CODIGO],Tabla2[MATERIAL],"N/A",0)</f>
        <v>proyector 190w</v>
      </c>
      <c r="D2043">
        <v>1</v>
      </c>
      <c r="E2043" t="s">
        <v>42</v>
      </c>
      <c r="F2043" t="s">
        <v>62</v>
      </c>
      <c r="H2043" t="s">
        <v>64</v>
      </c>
      <c r="I2043" s="2" t="s">
        <v>433</v>
      </c>
      <c r="J2043" t="s">
        <v>289</v>
      </c>
      <c r="K2043">
        <v>9974</v>
      </c>
      <c r="M2043">
        <v>1865323</v>
      </c>
      <c r="N2043">
        <v>20</v>
      </c>
    </row>
    <row r="2044" spans="2:14" hidden="1" x14ac:dyDescent="0.25">
      <c r="B2044" t="s">
        <v>82</v>
      </c>
      <c r="C2044" t="str">
        <f>_xlfn.XLOOKUP(B2044,Tabla2[CODIGO],Tabla2[MATERIAL],"N/A",0)</f>
        <v>proyector 190w</v>
      </c>
      <c r="D2044">
        <v>1</v>
      </c>
      <c r="E2044" t="s">
        <v>42</v>
      </c>
      <c r="F2044" t="s">
        <v>16</v>
      </c>
      <c r="G2044" s="1">
        <v>46221</v>
      </c>
      <c r="H2044" t="s">
        <v>64</v>
      </c>
      <c r="I2044" s="2" t="s">
        <v>420</v>
      </c>
      <c r="J2044" t="s">
        <v>289</v>
      </c>
      <c r="K2044">
        <v>9973</v>
      </c>
    </row>
    <row r="2045" spans="2:14" hidden="1" x14ac:dyDescent="0.25">
      <c r="B2045" t="s">
        <v>472</v>
      </c>
      <c r="C2045" t="str">
        <f>_xlfn.XLOOKUP(B2045,Tabla2[CODIGO],Tabla2[MATERIAL],"N/A",0)</f>
        <v>proyector 190w</v>
      </c>
      <c r="D2045">
        <v>1</v>
      </c>
      <c r="E2045" t="s">
        <v>42</v>
      </c>
      <c r="F2045" t="s">
        <v>62</v>
      </c>
      <c r="H2045" t="s">
        <v>64</v>
      </c>
      <c r="I2045" s="2" t="s">
        <v>420</v>
      </c>
      <c r="J2045" t="s">
        <v>289</v>
      </c>
      <c r="K2045">
        <v>9973</v>
      </c>
      <c r="M2045">
        <v>1865315</v>
      </c>
      <c r="N2045">
        <v>15</v>
      </c>
    </row>
    <row r="2046" spans="2:14" hidden="1" x14ac:dyDescent="0.25">
      <c r="B2046" t="s">
        <v>78</v>
      </c>
      <c r="C2046" t="str">
        <f>_xlfn.XLOOKUP(B2046,Tabla2[CODIGO],Tabla2[MATERIAL],"N/A",0)</f>
        <v>Tapa Concreto</v>
      </c>
      <c r="D2046">
        <v>1</v>
      </c>
      <c r="E2046" t="s">
        <v>42</v>
      </c>
      <c r="F2046" t="s">
        <v>62</v>
      </c>
      <c r="I2046" s="2"/>
      <c r="J2046" t="s">
        <v>289</v>
      </c>
      <c r="K2046">
        <v>9974</v>
      </c>
      <c r="M2046">
        <v>2260883</v>
      </c>
      <c r="N2046">
        <v>1</v>
      </c>
    </row>
    <row r="2047" spans="2:14" hidden="1" x14ac:dyDescent="0.25">
      <c r="B2047" t="s">
        <v>78</v>
      </c>
      <c r="C2047" t="str">
        <f>_xlfn.XLOOKUP(B2047,Tabla2[CODIGO],Tabla2[MATERIAL],"N/A",0)</f>
        <v>Tapa Concreto</v>
      </c>
      <c r="D2047">
        <v>1</v>
      </c>
      <c r="E2047" t="s">
        <v>42</v>
      </c>
      <c r="F2047" t="s">
        <v>62</v>
      </c>
      <c r="I2047" s="2"/>
      <c r="J2047" t="s">
        <v>289</v>
      </c>
      <c r="K2047">
        <v>9974</v>
      </c>
      <c r="M2047">
        <v>1865331</v>
      </c>
      <c r="N2047">
        <v>10</v>
      </c>
    </row>
    <row r="2048" spans="2:14" hidden="1" x14ac:dyDescent="0.25">
      <c r="B2048" t="s">
        <v>78</v>
      </c>
      <c r="C2048" t="str">
        <f>_xlfn.XLOOKUP(B2048,Tabla2[CODIGO],Tabla2[MATERIAL],"N/A",0)</f>
        <v>Tapa Concreto</v>
      </c>
      <c r="D2048">
        <v>1</v>
      </c>
      <c r="E2048" t="s">
        <v>42</v>
      </c>
      <c r="F2048" t="s">
        <v>62</v>
      </c>
      <c r="I2048" s="2"/>
      <c r="J2048" t="s">
        <v>289</v>
      </c>
      <c r="K2048">
        <v>9974</v>
      </c>
      <c r="M2048">
        <v>1865323</v>
      </c>
      <c r="N2048">
        <v>14</v>
      </c>
    </row>
    <row r="2049" spans="2:14" hidden="1" x14ac:dyDescent="0.25">
      <c r="B2049" t="s">
        <v>268</v>
      </c>
      <c r="C2049" t="str">
        <f>_xlfn.XLOOKUP(B2049,Tabla2[CODIGO],Tabla2[MATERIAL],"N/A",0)</f>
        <v>Tornillo Maquina 1/2*1 1/2</v>
      </c>
      <c r="D2049">
        <v>8</v>
      </c>
      <c r="E2049" t="s">
        <v>42</v>
      </c>
      <c r="F2049" t="s">
        <v>62</v>
      </c>
      <c r="I2049" s="2"/>
      <c r="J2049" t="s">
        <v>289</v>
      </c>
      <c r="K2049">
        <v>9974</v>
      </c>
      <c r="M2049">
        <v>1865331</v>
      </c>
      <c r="N2049">
        <v>6</v>
      </c>
    </row>
    <row r="2050" spans="2:14" hidden="1" x14ac:dyDescent="0.25">
      <c r="B2050" t="s">
        <v>268</v>
      </c>
      <c r="C2050" t="str">
        <f>_xlfn.XLOOKUP(B2050,Tabla2[CODIGO],Tabla2[MATERIAL],"N/A",0)</f>
        <v>Tornillo Maquina 1/2*1 1/2</v>
      </c>
      <c r="D2050">
        <v>8</v>
      </c>
      <c r="E2050" t="s">
        <v>42</v>
      </c>
      <c r="F2050" t="s">
        <v>62</v>
      </c>
      <c r="I2050" s="2"/>
      <c r="J2050" t="s">
        <v>289</v>
      </c>
      <c r="K2050">
        <v>9974</v>
      </c>
      <c r="M2050">
        <v>1865323</v>
      </c>
      <c r="N2050">
        <v>14</v>
      </c>
    </row>
    <row r="2051" spans="2:14" hidden="1" x14ac:dyDescent="0.25">
      <c r="B2051" t="s">
        <v>38</v>
      </c>
      <c r="C2051" t="str">
        <f>_xlfn.XLOOKUP(B2051,Tabla2[CODIGO],Tabla2[MATERIAL],"N/A",0)</f>
        <v>Tuberia Conduflex 3/4"</v>
      </c>
      <c r="D2051">
        <v>0.3</v>
      </c>
      <c r="E2051" t="s">
        <v>42</v>
      </c>
      <c r="F2051" t="s">
        <v>62</v>
      </c>
      <c r="I2051" s="2"/>
      <c r="J2051" t="s">
        <v>289</v>
      </c>
      <c r="K2051">
        <v>9974</v>
      </c>
      <c r="M2051">
        <v>2260883</v>
      </c>
      <c r="N2051">
        <v>1</v>
      </c>
    </row>
    <row r="2052" spans="2:14" hidden="1" x14ac:dyDescent="0.25">
      <c r="B2052" t="s">
        <v>38</v>
      </c>
      <c r="C2052" t="str">
        <f>_xlfn.XLOOKUP(B2052,Tabla2[CODIGO],Tabla2[MATERIAL],"N/A",0)</f>
        <v>Tuberia Conduflex 3/4"</v>
      </c>
      <c r="D2052">
        <v>0.3</v>
      </c>
      <c r="E2052" t="s">
        <v>42</v>
      </c>
      <c r="F2052" t="s">
        <v>62</v>
      </c>
      <c r="I2052" s="2"/>
      <c r="J2052" t="s">
        <v>289</v>
      </c>
      <c r="K2052">
        <v>9974</v>
      </c>
      <c r="M2052">
        <v>1865331</v>
      </c>
      <c r="N2052">
        <v>10</v>
      </c>
    </row>
    <row r="2053" spans="2:14" hidden="1" x14ac:dyDescent="0.25">
      <c r="B2053" t="s">
        <v>38</v>
      </c>
      <c r="C2053" t="str">
        <f>_xlfn.XLOOKUP(B2053,Tabla2[CODIGO],Tabla2[MATERIAL],"N/A",0)</f>
        <v>Tuberia Conduflex 3/4"</v>
      </c>
      <c r="D2053">
        <v>0.3</v>
      </c>
      <c r="E2053" t="s">
        <v>42</v>
      </c>
      <c r="F2053" t="s">
        <v>62</v>
      </c>
      <c r="I2053" s="2"/>
      <c r="J2053" t="s">
        <v>289</v>
      </c>
      <c r="K2053">
        <v>9974</v>
      </c>
      <c r="M2053">
        <v>1865323</v>
      </c>
      <c r="N2053">
        <v>14</v>
      </c>
    </row>
    <row r="2054" spans="2:14" hidden="1" x14ac:dyDescent="0.25">
      <c r="B2054" t="s">
        <v>213</v>
      </c>
      <c r="C2054" t="str">
        <f>_xlfn.XLOOKUP(B2054,Tabla2[CODIGO],Tabla2[MATERIAL],"N/A",0)</f>
        <v>Tuerca Hexagona 5/8</v>
      </c>
      <c r="D2054">
        <v>1</v>
      </c>
      <c r="E2054" t="s">
        <v>42</v>
      </c>
      <c r="F2054" t="s">
        <v>62</v>
      </c>
      <c r="I2054" s="2"/>
      <c r="J2054" t="s">
        <v>289</v>
      </c>
      <c r="K2054">
        <v>9974</v>
      </c>
      <c r="M2054">
        <v>1865340</v>
      </c>
      <c r="N2054">
        <v>3</v>
      </c>
    </row>
    <row r="2055" spans="2:14" hidden="1" x14ac:dyDescent="0.25">
      <c r="B2055" t="s">
        <v>213</v>
      </c>
      <c r="C2055" t="str">
        <f>_xlfn.XLOOKUP(B2055,Tabla2[CODIGO],Tabla2[MATERIAL],"N/A",0)</f>
        <v>Tuerca Hexagona 5/8</v>
      </c>
      <c r="D2055">
        <v>1</v>
      </c>
      <c r="E2055" t="s">
        <v>42</v>
      </c>
      <c r="F2055" t="s">
        <v>62</v>
      </c>
      <c r="I2055" s="2"/>
      <c r="J2055" t="s">
        <v>289</v>
      </c>
      <c r="K2055">
        <v>9974</v>
      </c>
      <c r="M2055">
        <v>1437682</v>
      </c>
      <c r="N2055">
        <v>4</v>
      </c>
    </row>
    <row r="2056" spans="2:14" hidden="1" x14ac:dyDescent="0.25">
      <c r="B2056" t="s">
        <v>213</v>
      </c>
      <c r="C2056" t="str">
        <f>_xlfn.XLOOKUP(B2056,Tabla2[CODIGO],Tabla2[MATERIAL],"N/A",0)</f>
        <v>Tuerca Hexagona 5/8</v>
      </c>
      <c r="D2056">
        <v>1</v>
      </c>
      <c r="E2056" t="s">
        <v>42</v>
      </c>
      <c r="F2056" t="s">
        <v>62</v>
      </c>
      <c r="I2056" s="2"/>
      <c r="J2056" t="s">
        <v>289</v>
      </c>
      <c r="K2056">
        <v>9974</v>
      </c>
      <c r="M2056">
        <v>1437691</v>
      </c>
      <c r="N2056">
        <v>5</v>
      </c>
    </row>
    <row r="2057" spans="2:14" hidden="1" x14ac:dyDescent="0.25">
      <c r="B2057" t="s">
        <v>213</v>
      </c>
      <c r="C2057" t="str">
        <f>_xlfn.XLOOKUP(B2057,Tabla2[CODIGO],Tabla2[MATERIAL],"N/A",0)</f>
        <v>Tuerca Hexagona 5/8</v>
      </c>
      <c r="D2057">
        <v>16</v>
      </c>
      <c r="E2057" t="s">
        <v>42</v>
      </c>
      <c r="F2057" t="s">
        <v>62</v>
      </c>
      <c r="I2057" s="2"/>
      <c r="J2057" t="s">
        <v>289</v>
      </c>
      <c r="K2057">
        <v>9974</v>
      </c>
      <c r="M2057">
        <v>1865331</v>
      </c>
      <c r="N2057">
        <v>6</v>
      </c>
    </row>
    <row r="2058" spans="2:14" hidden="1" x14ac:dyDescent="0.25">
      <c r="B2058" t="s">
        <v>213</v>
      </c>
      <c r="C2058" t="str">
        <f>_xlfn.XLOOKUP(B2058,Tabla2[CODIGO],Tabla2[MATERIAL],"N/A",0)</f>
        <v>Tuerca Hexagona 5/8</v>
      </c>
      <c r="D2058">
        <v>2</v>
      </c>
      <c r="E2058" t="s">
        <v>42</v>
      </c>
      <c r="F2058" t="s">
        <v>62</v>
      </c>
      <c r="I2058" s="2"/>
      <c r="J2058" t="s">
        <v>289</v>
      </c>
      <c r="K2058">
        <v>9974</v>
      </c>
      <c r="M2058">
        <v>1865323</v>
      </c>
      <c r="N2058">
        <v>15</v>
      </c>
    </row>
    <row r="2059" spans="2:14" hidden="1" x14ac:dyDescent="0.25">
      <c r="B2059" t="s">
        <v>213</v>
      </c>
      <c r="C2059" t="str">
        <f>_xlfn.XLOOKUP(B2059,Tabla2[CODIGO],Tabla2[MATERIAL],"N/A",0)</f>
        <v>Tuerca Hexagona 5/8</v>
      </c>
      <c r="D2059">
        <v>2</v>
      </c>
      <c r="E2059" t="s">
        <v>42</v>
      </c>
      <c r="F2059" t="s">
        <v>62</v>
      </c>
      <c r="I2059" s="2"/>
      <c r="J2059" t="s">
        <v>289</v>
      </c>
      <c r="K2059">
        <v>9974</v>
      </c>
      <c r="M2059">
        <v>1865323</v>
      </c>
      <c r="N2059">
        <v>16</v>
      </c>
    </row>
    <row r="2060" spans="2:14" hidden="1" x14ac:dyDescent="0.25">
      <c r="B2060" t="s">
        <v>213</v>
      </c>
      <c r="C2060" t="str">
        <f>_xlfn.XLOOKUP(B2060,Tabla2[CODIGO],Tabla2[MATERIAL],"N/A",0)</f>
        <v>Tuerca Hexagona 5/8</v>
      </c>
      <c r="D2060">
        <v>2</v>
      </c>
      <c r="E2060" t="s">
        <v>42</v>
      </c>
      <c r="F2060" t="s">
        <v>62</v>
      </c>
      <c r="I2060" s="2"/>
      <c r="J2060" t="s">
        <v>289</v>
      </c>
      <c r="K2060">
        <v>9974</v>
      </c>
      <c r="M2060">
        <v>1865323</v>
      </c>
      <c r="N2060">
        <v>17</v>
      </c>
    </row>
    <row r="2061" spans="2:14" hidden="1" x14ac:dyDescent="0.25">
      <c r="B2061" t="s">
        <v>213</v>
      </c>
      <c r="C2061" t="str">
        <f>_xlfn.XLOOKUP(B2061,Tabla2[CODIGO],Tabla2[MATERIAL],"N/A",0)</f>
        <v>Tuerca Hexagona 5/8</v>
      </c>
      <c r="D2061">
        <v>2</v>
      </c>
      <c r="E2061" t="s">
        <v>42</v>
      </c>
      <c r="F2061" t="s">
        <v>62</v>
      </c>
      <c r="I2061" s="2"/>
      <c r="J2061" t="s">
        <v>289</v>
      </c>
      <c r="K2061">
        <v>9974</v>
      </c>
      <c r="M2061">
        <v>1865323</v>
      </c>
      <c r="N2061">
        <v>18</v>
      </c>
    </row>
    <row r="2062" spans="2:14" hidden="1" x14ac:dyDescent="0.25">
      <c r="B2062" t="s">
        <v>213</v>
      </c>
      <c r="C2062" t="str">
        <f>_xlfn.XLOOKUP(B2062,Tabla2[CODIGO],Tabla2[MATERIAL],"N/A",0)</f>
        <v>Tuerca Hexagona 5/8</v>
      </c>
      <c r="D2062">
        <v>2</v>
      </c>
      <c r="E2062" t="s">
        <v>42</v>
      </c>
      <c r="F2062" t="s">
        <v>62</v>
      </c>
      <c r="I2062" s="2"/>
      <c r="J2062" t="s">
        <v>289</v>
      </c>
      <c r="K2062">
        <v>9974</v>
      </c>
      <c r="M2062">
        <v>1865323</v>
      </c>
      <c r="N2062">
        <v>19</v>
      </c>
    </row>
    <row r="2063" spans="2:14" hidden="1" x14ac:dyDescent="0.25">
      <c r="B2063" t="s">
        <v>213</v>
      </c>
      <c r="C2063" t="str">
        <f>_xlfn.XLOOKUP(B2063,Tabla2[CODIGO],Tabla2[MATERIAL],"N/A",0)</f>
        <v>Tuerca Hexagona 5/8</v>
      </c>
      <c r="D2063">
        <v>2</v>
      </c>
      <c r="E2063" t="s">
        <v>42</v>
      </c>
      <c r="F2063" t="s">
        <v>62</v>
      </c>
      <c r="I2063" s="2"/>
      <c r="J2063" t="s">
        <v>289</v>
      </c>
      <c r="K2063">
        <v>9974</v>
      </c>
      <c r="M2063">
        <v>1865323</v>
      </c>
      <c r="N2063">
        <v>20</v>
      </c>
    </row>
    <row r="2064" spans="2:14" hidden="1" x14ac:dyDescent="0.25">
      <c r="B2064" t="s">
        <v>213</v>
      </c>
      <c r="C2064" t="str">
        <f>_xlfn.XLOOKUP(B2064,Tabla2[CODIGO],Tabla2[MATERIAL],"N/A",0)</f>
        <v>Tuerca Hexagona 5/8</v>
      </c>
      <c r="D2064">
        <v>2</v>
      </c>
      <c r="E2064" t="s">
        <v>42</v>
      </c>
      <c r="F2064" t="s">
        <v>62</v>
      </c>
      <c r="I2064" s="2"/>
      <c r="J2064" t="s">
        <v>289</v>
      </c>
      <c r="K2064">
        <v>9974</v>
      </c>
      <c r="M2064">
        <v>1865323</v>
      </c>
      <c r="N2064">
        <v>21</v>
      </c>
    </row>
    <row r="2065" spans="2:14" hidden="1" x14ac:dyDescent="0.25">
      <c r="B2065" t="s">
        <v>213</v>
      </c>
      <c r="C2065" t="str">
        <f>_xlfn.XLOOKUP(B2065,Tabla2[CODIGO],Tabla2[MATERIAL],"N/A",0)</f>
        <v>Tuerca Hexagona 5/8</v>
      </c>
      <c r="D2065">
        <v>2</v>
      </c>
      <c r="E2065" t="s">
        <v>42</v>
      </c>
      <c r="F2065" t="s">
        <v>62</v>
      </c>
      <c r="I2065" s="2"/>
      <c r="J2065" t="s">
        <v>289</v>
      </c>
      <c r="K2065">
        <v>9974</v>
      </c>
      <c r="M2065">
        <v>1865323</v>
      </c>
      <c r="N2065">
        <v>22</v>
      </c>
    </row>
    <row r="2066" spans="2:14" hidden="1" x14ac:dyDescent="0.25">
      <c r="B2066" t="s">
        <v>198</v>
      </c>
      <c r="C2066" t="str">
        <f>_xlfn.XLOOKUP(B2066,Tabla2[CODIGO],Tabla2[MATERIAL],"N/A",0)</f>
        <v>Varilla cooperweld 2,4m</v>
      </c>
      <c r="D2066">
        <v>1</v>
      </c>
      <c r="E2066" t="s">
        <v>42</v>
      </c>
      <c r="F2066" t="s">
        <v>62</v>
      </c>
      <c r="I2066" s="2"/>
      <c r="J2066" t="s">
        <v>289</v>
      </c>
      <c r="K2066">
        <v>9974</v>
      </c>
      <c r="M2066">
        <v>2260883</v>
      </c>
      <c r="N2066">
        <v>1</v>
      </c>
    </row>
    <row r="2067" spans="2:14" hidden="1" x14ac:dyDescent="0.25">
      <c r="B2067" t="s">
        <v>198</v>
      </c>
      <c r="C2067" t="str">
        <f>_xlfn.XLOOKUP(B2067,Tabla2[CODIGO],Tabla2[MATERIAL],"N/A",0)</f>
        <v>Varilla cooperweld 2,4m</v>
      </c>
      <c r="D2067">
        <v>1</v>
      </c>
      <c r="E2067" t="s">
        <v>42</v>
      </c>
      <c r="F2067" t="s">
        <v>62</v>
      </c>
      <c r="I2067" s="2"/>
      <c r="J2067" t="s">
        <v>289</v>
      </c>
      <c r="K2067">
        <v>9974</v>
      </c>
      <c r="M2067">
        <v>1865331</v>
      </c>
      <c r="N2067">
        <v>10</v>
      </c>
    </row>
    <row r="2068" spans="2:14" hidden="1" x14ac:dyDescent="0.25">
      <c r="B2068" t="s">
        <v>198</v>
      </c>
      <c r="C2068" t="str">
        <f>_xlfn.XLOOKUP(B2068,Tabla2[CODIGO],Tabla2[MATERIAL],"N/A",0)</f>
        <v>Varilla cooperweld 2,4m</v>
      </c>
      <c r="D2068">
        <v>1</v>
      </c>
      <c r="E2068" t="s">
        <v>42</v>
      </c>
      <c r="F2068" t="s">
        <v>62</v>
      </c>
      <c r="I2068" s="2"/>
      <c r="J2068" t="s">
        <v>289</v>
      </c>
      <c r="K2068">
        <v>9974</v>
      </c>
      <c r="M2068">
        <v>1865323</v>
      </c>
      <c r="N2068">
        <v>14</v>
      </c>
    </row>
    <row r="2069" spans="2:14" hidden="1" x14ac:dyDescent="0.25">
      <c r="B2069" t="s">
        <v>449</v>
      </c>
      <c r="C2069" t="str">
        <f>_xlfn.XLOOKUP(B2069,Tabla2[CODIGO],Tabla2[MATERIAL],"N/A",0)</f>
        <v>Abrazadera una salida 7"</v>
      </c>
      <c r="D2069">
        <v>20</v>
      </c>
      <c r="E2069" t="s">
        <v>42</v>
      </c>
      <c r="F2069" t="s">
        <v>16</v>
      </c>
      <c r="G2069" s="1">
        <v>46224</v>
      </c>
      <c r="I2069" s="2"/>
      <c r="J2069" t="s">
        <v>289</v>
      </c>
      <c r="K2069">
        <v>9967</v>
      </c>
    </row>
    <row r="2070" spans="2:14" hidden="1" x14ac:dyDescent="0.25">
      <c r="B2070" t="s">
        <v>56</v>
      </c>
      <c r="C2070" t="str">
        <f>_xlfn.XLOOKUP(B2070,Tabla2[CODIGO],Tabla2[MATERIAL],"N/A",0)</f>
        <v>Aislador Carrreto</v>
      </c>
      <c r="D2070">
        <v>20</v>
      </c>
      <c r="E2070" t="s">
        <v>42</v>
      </c>
      <c r="F2070" t="s">
        <v>16</v>
      </c>
      <c r="G2070" s="1">
        <v>46224</v>
      </c>
      <c r="I2070" s="2"/>
      <c r="J2070" t="s">
        <v>289</v>
      </c>
      <c r="K2070">
        <v>9967</v>
      </c>
    </row>
    <row r="2071" spans="2:14" hidden="1" x14ac:dyDescent="0.25">
      <c r="B2071" t="s">
        <v>19</v>
      </c>
      <c r="C2071" t="str">
        <f>_xlfn.XLOOKUP(B2071,Tabla2[CODIGO],Tabla2[MATERIAL],"N/A",0)</f>
        <v>Cable Al serie AA 8000 rhw # 6 awg</v>
      </c>
      <c r="D2071">
        <v>210</v>
      </c>
      <c r="E2071" t="s">
        <v>43</v>
      </c>
      <c r="F2071" t="s">
        <v>16</v>
      </c>
      <c r="G2071" s="1">
        <v>46224</v>
      </c>
      <c r="I2071" s="2"/>
      <c r="J2071" t="s">
        <v>289</v>
      </c>
      <c r="K2071">
        <v>9967</v>
      </c>
    </row>
    <row r="2072" spans="2:14" hidden="1" x14ac:dyDescent="0.25">
      <c r="B2072" t="s">
        <v>475</v>
      </c>
      <c r="C2072" t="str">
        <f>_xlfn.XLOOKUP(B2072,Tabla2[CODIGO],Tabla2[MATERIAL],"N/A",0)</f>
        <v>capacete 2 pulg</v>
      </c>
      <c r="D2072">
        <v>1</v>
      </c>
      <c r="E2072" t="s">
        <v>42</v>
      </c>
      <c r="F2072" t="s">
        <v>16</v>
      </c>
      <c r="G2072" s="1">
        <v>46224</v>
      </c>
      <c r="I2072" s="2"/>
      <c r="J2072" t="s">
        <v>289</v>
      </c>
      <c r="K2072">
        <v>9967</v>
      </c>
    </row>
    <row r="2073" spans="2:14" hidden="1" x14ac:dyDescent="0.25">
      <c r="B2073" t="s">
        <v>50</v>
      </c>
      <c r="C2073" t="str">
        <f>_xlfn.XLOOKUP(B2073,Tabla2[CODIGO],Tabla2[MATERIAL],"N/A",0)</f>
        <v>Percha galv 1 puesto</v>
      </c>
      <c r="D2073">
        <v>20</v>
      </c>
      <c r="E2073" t="s">
        <v>42</v>
      </c>
      <c r="F2073" t="s">
        <v>16</v>
      </c>
      <c r="G2073" s="1">
        <v>46224</v>
      </c>
      <c r="I2073" s="2"/>
      <c r="J2073" t="s">
        <v>289</v>
      </c>
      <c r="K2073">
        <v>9967</v>
      </c>
    </row>
    <row r="2074" spans="2:14" hidden="1" x14ac:dyDescent="0.25">
      <c r="B2074" t="s">
        <v>38</v>
      </c>
      <c r="C2074" t="str">
        <f>_xlfn.XLOOKUP(B2074,Tabla2[CODIGO],Tabla2[MATERIAL],"N/A",0)</f>
        <v>Tuberia Conduflex 3/4"</v>
      </c>
      <c r="D2074">
        <v>30</v>
      </c>
      <c r="E2074" t="s">
        <v>43</v>
      </c>
      <c r="F2074" t="s">
        <v>16</v>
      </c>
      <c r="G2074" s="1">
        <v>46224</v>
      </c>
      <c r="I2074" s="2"/>
      <c r="J2074" t="s">
        <v>289</v>
      </c>
      <c r="K2074">
        <v>9967</v>
      </c>
    </row>
    <row r="2075" spans="2:14" hidden="1" x14ac:dyDescent="0.25">
      <c r="B2075" t="s">
        <v>239</v>
      </c>
      <c r="C2075" t="str">
        <f>_xlfn.XLOOKUP(B2075,Tabla2[CODIGO],Tabla2[MATERIAL],"N/A",0)</f>
        <v>Tubo Conduit imc 3/4"</v>
      </c>
      <c r="D2075">
        <v>2</v>
      </c>
      <c r="E2075" t="s">
        <v>42</v>
      </c>
      <c r="F2075" t="s">
        <v>16</v>
      </c>
      <c r="G2075" s="1">
        <v>46224</v>
      </c>
      <c r="I2075" s="2"/>
      <c r="J2075" t="s">
        <v>289</v>
      </c>
      <c r="K2075">
        <v>9967</v>
      </c>
    </row>
    <row r="2076" spans="2:14" hidden="1" x14ac:dyDescent="0.25">
      <c r="B2076" t="s">
        <v>479</v>
      </c>
      <c r="C2076" t="str">
        <f>_xlfn.XLOOKUP(B2076,Tabla2[CODIGO],Tabla2[MATERIAL],"N/A",0)</f>
        <v>Brazo Galvanizado 1 1/2" x 2m</v>
      </c>
      <c r="D2076">
        <v>9</v>
      </c>
      <c r="E2076" t="s">
        <v>42</v>
      </c>
      <c r="F2076" t="s">
        <v>62</v>
      </c>
      <c r="G2076" s="1">
        <v>46178</v>
      </c>
      <c r="I2076" s="2"/>
      <c r="J2076" t="s">
        <v>57</v>
      </c>
      <c r="K2076">
        <v>9821</v>
      </c>
      <c r="L2076" t="s">
        <v>44</v>
      </c>
    </row>
    <row r="2077" spans="2:14" hidden="1" x14ac:dyDescent="0.25">
      <c r="B2077" t="s">
        <v>479</v>
      </c>
      <c r="C2077" t="str">
        <f>_xlfn.XLOOKUP(B2077,Tabla2[CODIGO],Tabla2[MATERIAL],"N/A",0)</f>
        <v>Brazo Galvanizado 1 1/2" x 2m</v>
      </c>
      <c r="D2077">
        <v>3</v>
      </c>
      <c r="E2077" t="s">
        <v>42</v>
      </c>
      <c r="F2077" t="s">
        <v>62</v>
      </c>
      <c r="I2077" s="2"/>
      <c r="J2077" t="s">
        <v>166</v>
      </c>
      <c r="K2077">
        <v>9959</v>
      </c>
    </row>
    <row r="2078" spans="2:14" hidden="1" x14ac:dyDescent="0.25">
      <c r="B2078" t="s">
        <v>36</v>
      </c>
      <c r="C2078" t="str">
        <f>_xlfn.XLOOKUP(B2078,Tabla2[CODIGO],Tabla2[MATERIAL],"N/A",0)</f>
        <v>Cinta Bandit 1/2"</v>
      </c>
      <c r="D2078">
        <v>3</v>
      </c>
      <c r="E2078" t="s">
        <v>43</v>
      </c>
      <c r="F2078" t="s">
        <v>62</v>
      </c>
      <c r="I2078" s="2"/>
      <c r="J2078" t="s">
        <v>166</v>
      </c>
      <c r="K2078">
        <v>9959</v>
      </c>
      <c r="M2078">
        <v>2277549</v>
      </c>
      <c r="N2078">
        <v>11</v>
      </c>
    </row>
    <row r="2079" spans="2:14" hidden="1" x14ac:dyDescent="0.25">
      <c r="B2079" t="s">
        <v>248</v>
      </c>
      <c r="C2079" t="str">
        <f>_xlfn.XLOOKUP(B2079,Tabla2[CODIGO],Tabla2[MATERIAL],"N/A",0)</f>
        <v>Conector Varilla cooperw.</v>
      </c>
      <c r="D2079">
        <v>1</v>
      </c>
      <c r="E2079" t="s">
        <v>42</v>
      </c>
      <c r="F2079" t="s">
        <v>62</v>
      </c>
      <c r="I2079" s="2"/>
      <c r="J2079" t="s">
        <v>166</v>
      </c>
      <c r="K2079">
        <v>9959</v>
      </c>
      <c r="M2079">
        <v>2277506</v>
      </c>
      <c r="N2079">
        <v>14</v>
      </c>
    </row>
    <row r="2080" spans="2:14" hidden="1" x14ac:dyDescent="0.25">
      <c r="B2080" t="s">
        <v>217</v>
      </c>
      <c r="C2080" t="str">
        <f>_xlfn.XLOOKUP(B2080,Tabla2[CODIGO],Tabla2[MATERIAL],"N/A",0)</f>
        <v>Brazo Galvanizado 1 1/2" x 2m</v>
      </c>
      <c r="D2080">
        <v>19</v>
      </c>
      <c r="E2080" t="s">
        <v>42</v>
      </c>
      <c r="F2080" t="s">
        <v>62</v>
      </c>
      <c r="G2080" s="1">
        <v>46200</v>
      </c>
      <c r="I2080" s="2"/>
      <c r="J2080" t="s">
        <v>166</v>
      </c>
      <c r="K2080">
        <v>9961</v>
      </c>
      <c r="L2080" t="s">
        <v>165</v>
      </c>
    </row>
    <row r="2081" spans="2:14" hidden="1" x14ac:dyDescent="0.25">
      <c r="B2081" t="s">
        <v>237</v>
      </c>
      <c r="C2081" t="str">
        <f>_xlfn.XLOOKUP(B2081,Tabla2[CODIGO],Tabla2[MATERIAL],"N/A",0)</f>
        <v>coraza ame metalica 3-4"</v>
      </c>
      <c r="D2081">
        <v>0.8</v>
      </c>
      <c r="E2081" t="s">
        <v>43</v>
      </c>
      <c r="F2081" t="s">
        <v>62</v>
      </c>
      <c r="G2081" s="1">
        <v>46200</v>
      </c>
      <c r="I2081" s="2"/>
      <c r="J2081" t="s">
        <v>166</v>
      </c>
      <c r="K2081">
        <v>9961</v>
      </c>
      <c r="L2081" t="s">
        <v>165</v>
      </c>
      <c r="N2081">
        <v>12</v>
      </c>
    </row>
    <row r="2082" spans="2:14" hidden="1" x14ac:dyDescent="0.25">
      <c r="B2082" t="s">
        <v>237</v>
      </c>
      <c r="C2082" t="str">
        <f>_xlfn.XLOOKUP(B2082,Tabla2[CODIGO],Tabla2[MATERIAL],"N/A",0)</f>
        <v>coraza ame metalica 3-4"</v>
      </c>
      <c r="D2082">
        <v>0.4</v>
      </c>
      <c r="E2082" t="s">
        <v>43</v>
      </c>
      <c r="F2082" t="s">
        <v>62</v>
      </c>
      <c r="G2082" s="1">
        <v>46200</v>
      </c>
      <c r="I2082" s="2"/>
      <c r="J2082" t="s">
        <v>166</v>
      </c>
      <c r="K2082">
        <v>9961</v>
      </c>
      <c r="L2082" t="s">
        <v>165</v>
      </c>
      <c r="N2082">
        <v>14</v>
      </c>
    </row>
    <row r="2083" spans="2:14" hidden="1" x14ac:dyDescent="0.25">
      <c r="B2083" t="s">
        <v>237</v>
      </c>
      <c r="C2083" t="str">
        <f>_xlfn.XLOOKUP(B2083,Tabla2[CODIGO],Tabla2[MATERIAL],"N/A",0)</f>
        <v>coraza ame metalica 3-4"</v>
      </c>
      <c r="D2083">
        <v>0.8</v>
      </c>
      <c r="E2083" t="s">
        <v>43</v>
      </c>
      <c r="F2083" t="s">
        <v>62</v>
      </c>
      <c r="G2083" s="1">
        <v>46200</v>
      </c>
      <c r="I2083" s="2"/>
      <c r="J2083" t="s">
        <v>166</v>
      </c>
      <c r="K2083">
        <v>9961</v>
      </c>
      <c r="L2083" t="s">
        <v>165</v>
      </c>
      <c r="N2083">
        <v>17</v>
      </c>
    </row>
    <row r="2084" spans="2:14" hidden="1" x14ac:dyDescent="0.25">
      <c r="B2084" t="s">
        <v>237</v>
      </c>
      <c r="C2084" t="str">
        <f>_xlfn.XLOOKUP(B2084,Tabla2[CODIGO],Tabla2[MATERIAL],"N/A",0)</f>
        <v>coraza ame metalica 3-4"</v>
      </c>
      <c r="D2084">
        <v>0.5</v>
      </c>
      <c r="E2084" t="s">
        <v>43</v>
      </c>
      <c r="F2084" t="s">
        <v>62</v>
      </c>
      <c r="G2084" s="1">
        <v>46200</v>
      </c>
      <c r="I2084" s="2"/>
      <c r="J2084" t="s">
        <v>166</v>
      </c>
      <c r="K2084">
        <v>9961</v>
      </c>
      <c r="L2084" t="s">
        <v>165</v>
      </c>
      <c r="N2084">
        <v>19</v>
      </c>
    </row>
    <row r="2085" spans="2:14" hidden="1" x14ac:dyDescent="0.25">
      <c r="B2085" t="s">
        <v>237</v>
      </c>
      <c r="C2085" t="str">
        <f>_xlfn.XLOOKUP(B2085,Tabla2[CODIGO],Tabla2[MATERIAL],"N/A",0)</f>
        <v>coraza ame metalica 3-4"</v>
      </c>
      <c r="D2085">
        <v>0.5</v>
      </c>
      <c r="E2085" t="s">
        <v>43</v>
      </c>
      <c r="F2085" t="s">
        <v>62</v>
      </c>
      <c r="G2085" s="1">
        <v>46200</v>
      </c>
      <c r="I2085" s="2"/>
      <c r="J2085" t="s">
        <v>166</v>
      </c>
      <c r="K2085">
        <v>9961</v>
      </c>
      <c r="L2085" t="s">
        <v>165</v>
      </c>
      <c r="N2085">
        <v>23</v>
      </c>
    </row>
    <row r="2086" spans="2:14" hidden="1" x14ac:dyDescent="0.25">
      <c r="B2086" t="s">
        <v>60</v>
      </c>
      <c r="C2086" t="str">
        <f>_xlfn.XLOOKUP(B2086,Tabla2[CODIGO],Tabla2[MATERIAL],"N/A",0)</f>
        <v>Fotocelda</v>
      </c>
      <c r="D2086">
        <v>1</v>
      </c>
      <c r="E2086" t="s">
        <v>42</v>
      </c>
      <c r="F2086" t="s">
        <v>62</v>
      </c>
      <c r="G2086" s="1">
        <v>46200</v>
      </c>
      <c r="I2086" s="2"/>
      <c r="J2086" t="s">
        <v>166</v>
      </c>
      <c r="K2086">
        <v>9961</v>
      </c>
      <c r="L2086" t="s">
        <v>165</v>
      </c>
      <c r="M2086">
        <v>1588419</v>
      </c>
      <c r="N2086">
        <v>13</v>
      </c>
    </row>
    <row r="2087" spans="2:14" hidden="1" x14ac:dyDescent="0.25">
      <c r="B2087" t="s">
        <v>217</v>
      </c>
      <c r="C2087" t="str">
        <f>_xlfn.XLOOKUP(B2087,Tabla2[CODIGO],Tabla2[MATERIAL],"N/A",0)</f>
        <v>Brazo Galvanizado 1 1/2" x 2m</v>
      </c>
      <c r="D2087">
        <v>5</v>
      </c>
      <c r="E2087" t="s">
        <v>42</v>
      </c>
      <c r="F2087" t="s">
        <v>62</v>
      </c>
      <c r="G2087" s="1">
        <v>46204</v>
      </c>
      <c r="I2087" s="2"/>
      <c r="J2087" t="s">
        <v>166</v>
      </c>
      <c r="K2087">
        <v>9963</v>
      </c>
      <c r="L2087" t="s">
        <v>247</v>
      </c>
    </row>
    <row r="2088" spans="2:14" hidden="1" x14ac:dyDescent="0.25">
      <c r="B2088" t="s">
        <v>192</v>
      </c>
      <c r="C2088" t="str">
        <f>_xlfn.XLOOKUP(B2088,Tabla2[CODIGO],Tabla2[MATERIAL],"N/A",0)</f>
        <v>angular V</v>
      </c>
      <c r="D2088">
        <v>1</v>
      </c>
      <c r="E2088" t="s">
        <v>42</v>
      </c>
      <c r="F2088" t="s">
        <v>62</v>
      </c>
      <c r="G2088" s="1">
        <v>46225</v>
      </c>
      <c r="I2088" s="2"/>
      <c r="J2088" t="s">
        <v>289</v>
      </c>
      <c r="K2088">
        <v>9966</v>
      </c>
      <c r="M2088">
        <v>2262487</v>
      </c>
      <c r="N2088">
        <v>17</v>
      </c>
    </row>
    <row r="2089" spans="2:14" hidden="1" x14ac:dyDescent="0.25">
      <c r="B2089" t="s">
        <v>480</v>
      </c>
      <c r="C2089" t="str">
        <f>_xlfn.XLOOKUP(B2089,Tabla2[CODIGO],Tabla2[MATERIAL],"N/A",0)</f>
        <v>Brazo Galvanizado 1 1/2" x 2m</v>
      </c>
      <c r="D2089">
        <v>18</v>
      </c>
      <c r="E2089" t="s">
        <v>42</v>
      </c>
      <c r="F2089" t="s">
        <v>62</v>
      </c>
      <c r="G2089" s="1">
        <v>46225</v>
      </c>
      <c r="I2089" s="2"/>
      <c r="J2089" t="s">
        <v>289</v>
      </c>
      <c r="K2089">
        <v>9966</v>
      </c>
    </row>
    <row r="2090" spans="2:14" hidden="1" x14ac:dyDescent="0.25">
      <c r="B2090" t="s">
        <v>194</v>
      </c>
      <c r="C2090" t="str">
        <f>_xlfn.XLOOKUP(B2090,Tabla2[CODIGO],Tabla2[MATERIAL],"N/A",0)</f>
        <v>Cable TPX 2x4 1x4 awg</v>
      </c>
      <c r="D2090">
        <v>27</v>
      </c>
      <c r="E2090" t="s">
        <v>43</v>
      </c>
      <c r="F2090" t="s">
        <v>62</v>
      </c>
      <c r="G2090" s="1">
        <v>46225</v>
      </c>
      <c r="I2090" s="2"/>
      <c r="J2090" t="s">
        <v>289</v>
      </c>
      <c r="K2090">
        <v>9966</v>
      </c>
      <c r="M2090">
        <v>2085887</v>
      </c>
      <c r="N2090">
        <v>3</v>
      </c>
    </row>
    <row r="2091" spans="2:14" hidden="1" x14ac:dyDescent="0.25">
      <c r="B2091" t="s">
        <v>210</v>
      </c>
      <c r="C2091" t="str">
        <f>_xlfn.XLOOKUP(B2091,Tabla2[CODIGO],Tabla2[MATERIAL],"N/A",0)</f>
        <v>Conector Varilla cooperw.</v>
      </c>
      <c r="D2091">
        <v>1</v>
      </c>
      <c r="E2091" t="s">
        <v>42</v>
      </c>
      <c r="F2091" t="s">
        <v>62</v>
      </c>
      <c r="G2091" s="1">
        <v>46225</v>
      </c>
      <c r="I2091" s="2"/>
      <c r="J2091" t="s">
        <v>289</v>
      </c>
      <c r="K2091">
        <v>9966</v>
      </c>
      <c r="M2091">
        <v>2262215</v>
      </c>
      <c r="N2091">
        <v>1</v>
      </c>
    </row>
    <row r="2092" spans="2:14" hidden="1" x14ac:dyDescent="0.25">
      <c r="B2092" t="s">
        <v>210</v>
      </c>
      <c r="C2092" t="str">
        <f>_xlfn.XLOOKUP(B2092,Tabla2[CODIGO],Tabla2[MATERIAL],"N/A",0)</f>
        <v>Conector Varilla cooperw.</v>
      </c>
      <c r="D2092">
        <v>1</v>
      </c>
      <c r="E2092" t="s">
        <v>42</v>
      </c>
      <c r="F2092" t="s">
        <v>62</v>
      </c>
      <c r="G2092" s="1">
        <v>46225</v>
      </c>
      <c r="I2092" s="2"/>
      <c r="J2092" t="s">
        <v>289</v>
      </c>
      <c r="K2092">
        <v>9966</v>
      </c>
      <c r="M2092">
        <v>2085887</v>
      </c>
      <c r="N2092">
        <v>3</v>
      </c>
    </row>
    <row r="2093" spans="2:14" hidden="1" x14ac:dyDescent="0.25">
      <c r="B2093" t="s">
        <v>210</v>
      </c>
      <c r="C2093" t="str">
        <f>_xlfn.XLOOKUP(B2093,Tabla2[CODIGO],Tabla2[MATERIAL],"N/A",0)</f>
        <v>Conector Varilla cooperw.</v>
      </c>
      <c r="D2093">
        <v>1</v>
      </c>
      <c r="E2093" t="s">
        <v>42</v>
      </c>
      <c r="F2093" t="s">
        <v>62</v>
      </c>
      <c r="G2093" s="1">
        <v>46225</v>
      </c>
      <c r="I2093" s="2"/>
      <c r="J2093" t="s">
        <v>289</v>
      </c>
      <c r="K2093">
        <v>9966</v>
      </c>
      <c r="M2093">
        <v>2262177</v>
      </c>
      <c r="N2093">
        <v>5</v>
      </c>
    </row>
    <row r="2094" spans="2:14" hidden="1" x14ac:dyDescent="0.25">
      <c r="B2094" t="s">
        <v>210</v>
      </c>
      <c r="C2094" t="str">
        <f>_xlfn.XLOOKUP(B2094,Tabla2[CODIGO],Tabla2[MATERIAL],"N/A",0)</f>
        <v>Conector Varilla cooperw.</v>
      </c>
      <c r="D2094">
        <v>1</v>
      </c>
      <c r="E2094" t="s">
        <v>42</v>
      </c>
      <c r="F2094" t="s">
        <v>62</v>
      </c>
      <c r="G2094" s="1">
        <v>46225</v>
      </c>
      <c r="I2094" s="2"/>
      <c r="J2094" t="s">
        <v>289</v>
      </c>
      <c r="K2094">
        <v>9966</v>
      </c>
      <c r="M2094">
        <v>2262258</v>
      </c>
      <c r="N2094">
        <v>7</v>
      </c>
    </row>
    <row r="2095" spans="2:14" hidden="1" x14ac:dyDescent="0.25">
      <c r="B2095" t="s">
        <v>210</v>
      </c>
      <c r="C2095" t="str">
        <f>_xlfn.XLOOKUP(B2095,Tabla2[CODIGO],Tabla2[MATERIAL],"N/A",0)</f>
        <v>Conector Varilla cooperw.</v>
      </c>
      <c r="D2095">
        <v>1</v>
      </c>
      <c r="E2095" t="s">
        <v>42</v>
      </c>
      <c r="F2095" t="s">
        <v>62</v>
      </c>
      <c r="G2095" s="1">
        <v>46225</v>
      </c>
      <c r="I2095" s="2"/>
      <c r="J2095" t="s">
        <v>289</v>
      </c>
      <c r="K2095">
        <v>9966</v>
      </c>
      <c r="M2095">
        <v>2262304</v>
      </c>
      <c r="N2095">
        <v>9</v>
      </c>
    </row>
    <row r="2096" spans="2:14" hidden="1" x14ac:dyDescent="0.25">
      <c r="B2096" t="s">
        <v>210</v>
      </c>
      <c r="C2096" t="str">
        <f>_xlfn.XLOOKUP(B2096,Tabla2[CODIGO],Tabla2[MATERIAL],"N/A",0)</f>
        <v>Conector Varilla cooperw.</v>
      </c>
      <c r="D2096">
        <v>1</v>
      </c>
      <c r="E2096" t="s">
        <v>42</v>
      </c>
      <c r="F2096" t="s">
        <v>62</v>
      </c>
      <c r="G2096" s="1">
        <v>46225</v>
      </c>
      <c r="I2096" s="2"/>
      <c r="J2096" t="s">
        <v>289</v>
      </c>
      <c r="K2096">
        <v>9966</v>
      </c>
      <c r="M2096">
        <v>2262347</v>
      </c>
      <c r="N2096">
        <v>11</v>
      </c>
    </row>
    <row r="2097" spans="2:14" hidden="1" x14ac:dyDescent="0.25">
      <c r="B2097" t="s">
        <v>210</v>
      </c>
      <c r="C2097" t="str">
        <f>_xlfn.XLOOKUP(B2097,Tabla2[CODIGO],Tabla2[MATERIAL],"N/A",0)</f>
        <v>Conector Varilla cooperw.</v>
      </c>
      <c r="D2097">
        <v>1</v>
      </c>
      <c r="E2097" t="s">
        <v>42</v>
      </c>
      <c r="F2097" t="s">
        <v>62</v>
      </c>
      <c r="G2097" s="1">
        <v>46225</v>
      </c>
      <c r="I2097" s="2"/>
      <c r="J2097" t="s">
        <v>289</v>
      </c>
      <c r="K2097">
        <v>9966</v>
      </c>
      <c r="M2097">
        <v>2262126</v>
      </c>
      <c r="N2097">
        <v>21</v>
      </c>
    </row>
    <row r="2098" spans="2:14" hidden="1" x14ac:dyDescent="0.25">
      <c r="B2098" t="s">
        <v>210</v>
      </c>
      <c r="C2098" t="str">
        <f>_xlfn.XLOOKUP(B2098,Tabla2[CODIGO],Tabla2[MATERIAL],"N/A",0)</f>
        <v>Conector Varilla cooperw.</v>
      </c>
      <c r="D2098">
        <v>1</v>
      </c>
      <c r="E2098" t="s">
        <v>42</v>
      </c>
      <c r="F2098" t="s">
        <v>62</v>
      </c>
      <c r="G2098" s="1">
        <v>46225</v>
      </c>
      <c r="I2098" s="2"/>
      <c r="J2098" t="s">
        <v>289</v>
      </c>
      <c r="K2098">
        <v>9966</v>
      </c>
      <c r="M2098">
        <v>2262487</v>
      </c>
      <c r="N2098">
        <v>17</v>
      </c>
    </row>
    <row r="2099" spans="2:14" hidden="1" x14ac:dyDescent="0.25">
      <c r="B2099" t="s">
        <v>210</v>
      </c>
      <c r="C2099" t="str">
        <f>_xlfn.XLOOKUP(B2099,Tabla2[CODIGO],Tabla2[MATERIAL],"N/A",0)</f>
        <v>Conector Varilla cooperw.</v>
      </c>
      <c r="D2099">
        <v>1</v>
      </c>
      <c r="E2099" t="s">
        <v>42</v>
      </c>
      <c r="F2099" t="s">
        <v>62</v>
      </c>
      <c r="G2099" s="1">
        <v>46225</v>
      </c>
      <c r="I2099" s="2"/>
      <c r="J2099" t="s">
        <v>289</v>
      </c>
      <c r="K2099">
        <v>9966</v>
      </c>
      <c r="M2099">
        <v>2262126</v>
      </c>
      <c r="N2099">
        <v>15</v>
      </c>
    </row>
    <row r="2100" spans="2:14" hidden="1" x14ac:dyDescent="0.25">
      <c r="B2100" t="s">
        <v>210</v>
      </c>
      <c r="C2100" t="str">
        <f>_xlfn.XLOOKUP(B2100,Tabla2[CODIGO],Tabla2[MATERIAL],"N/A",0)</f>
        <v>Conector Varilla cooperw.</v>
      </c>
      <c r="D2100">
        <v>1</v>
      </c>
      <c r="E2100" t="s">
        <v>42</v>
      </c>
      <c r="F2100" t="s">
        <v>62</v>
      </c>
      <c r="G2100" s="1">
        <v>46225</v>
      </c>
      <c r="I2100" s="2"/>
      <c r="J2100" t="s">
        <v>289</v>
      </c>
      <c r="K2100">
        <v>9966</v>
      </c>
      <c r="M2100" s="11">
        <v>2262436</v>
      </c>
      <c r="N2100">
        <v>23</v>
      </c>
    </row>
    <row r="2101" spans="2:14" hidden="1" x14ac:dyDescent="0.25">
      <c r="B2101" t="s">
        <v>250</v>
      </c>
      <c r="C2101" t="str">
        <f>_xlfn.XLOOKUP(B2101,Tabla2[CODIGO],Tabla2[MATERIAL],"N/A",0)</f>
        <v>Cruceta Metalica 3*3x 1/4</v>
      </c>
      <c r="D2101">
        <v>1</v>
      </c>
      <c r="E2101" t="s">
        <v>42</v>
      </c>
      <c r="F2101" t="s">
        <v>62</v>
      </c>
      <c r="G2101" s="1">
        <v>46225</v>
      </c>
      <c r="I2101" s="2"/>
      <c r="J2101" t="s">
        <v>289</v>
      </c>
      <c r="K2101">
        <v>9966</v>
      </c>
      <c r="M2101">
        <v>2262487</v>
      </c>
      <c r="N2101">
        <v>17</v>
      </c>
    </row>
    <row r="2102" spans="2:14" hidden="1" x14ac:dyDescent="0.25">
      <c r="B2102" t="s">
        <v>76</v>
      </c>
      <c r="C2102" t="str">
        <f>_xlfn.XLOOKUP(B2102,Tabla2[CODIGO],Tabla2[MATERIAL],"N/A",0)</f>
        <v>Empalme gel ppal 8-4/0 a der 14-2/0 awg (grande)</v>
      </c>
      <c r="D2102">
        <v>2</v>
      </c>
      <c r="E2102" t="s">
        <v>42</v>
      </c>
      <c r="F2102" t="s">
        <v>62</v>
      </c>
      <c r="G2102" s="1">
        <v>46225</v>
      </c>
      <c r="I2102" s="2"/>
      <c r="J2102" t="s">
        <v>289</v>
      </c>
      <c r="K2102">
        <v>9966</v>
      </c>
      <c r="M2102">
        <v>2262215</v>
      </c>
      <c r="N2102">
        <v>1</v>
      </c>
    </row>
    <row r="2103" spans="2:14" hidden="1" x14ac:dyDescent="0.25">
      <c r="B2103" t="s">
        <v>76</v>
      </c>
      <c r="C2103" t="str">
        <f>_xlfn.XLOOKUP(B2103,Tabla2[CODIGO],Tabla2[MATERIAL],"N/A",0)</f>
        <v>Empalme gel ppal 8-4/0 a der 14-2/0 awg (grande)</v>
      </c>
      <c r="D2103">
        <v>2</v>
      </c>
      <c r="E2103" t="s">
        <v>42</v>
      </c>
      <c r="F2103" t="s">
        <v>62</v>
      </c>
      <c r="G2103" s="1">
        <v>46225</v>
      </c>
      <c r="I2103" s="2"/>
      <c r="J2103" t="s">
        <v>289</v>
      </c>
      <c r="K2103">
        <v>9966</v>
      </c>
      <c r="M2103">
        <v>2085887</v>
      </c>
      <c r="N2103">
        <v>3</v>
      </c>
    </row>
    <row r="2104" spans="2:14" hidden="1" x14ac:dyDescent="0.25">
      <c r="B2104" t="s">
        <v>76</v>
      </c>
      <c r="C2104" t="str">
        <f>_xlfn.XLOOKUP(B2104,Tabla2[CODIGO],Tabla2[MATERIAL],"N/A",0)</f>
        <v>Empalme gel ppal 8-4/0 a der 14-2/0 awg (grande)</v>
      </c>
      <c r="D2104">
        <v>2</v>
      </c>
      <c r="E2104" t="s">
        <v>42</v>
      </c>
      <c r="F2104" t="s">
        <v>62</v>
      </c>
      <c r="G2104" s="1">
        <v>46225</v>
      </c>
      <c r="I2104" s="2"/>
      <c r="J2104" t="s">
        <v>289</v>
      </c>
      <c r="K2104">
        <v>9966</v>
      </c>
      <c r="M2104">
        <v>2262177</v>
      </c>
      <c r="N2104">
        <v>5</v>
      </c>
    </row>
    <row r="2105" spans="2:14" hidden="1" x14ac:dyDescent="0.25">
      <c r="B2105" t="s">
        <v>76</v>
      </c>
      <c r="C2105" t="str">
        <f>_xlfn.XLOOKUP(B2105,Tabla2[CODIGO],Tabla2[MATERIAL],"N/A",0)</f>
        <v>Empalme gel ppal 8-4/0 a der 14-2/0 awg (grande)</v>
      </c>
      <c r="D2105">
        <v>2</v>
      </c>
      <c r="E2105" t="s">
        <v>42</v>
      </c>
      <c r="F2105" t="s">
        <v>62</v>
      </c>
      <c r="G2105" s="1">
        <v>46225</v>
      </c>
      <c r="I2105" s="2"/>
      <c r="J2105" t="s">
        <v>289</v>
      </c>
      <c r="K2105">
        <v>9966</v>
      </c>
      <c r="M2105">
        <v>2262258</v>
      </c>
      <c r="N2105">
        <v>7</v>
      </c>
    </row>
    <row r="2106" spans="2:14" hidden="1" x14ac:dyDescent="0.25">
      <c r="B2106" t="s">
        <v>76</v>
      </c>
      <c r="C2106" t="str">
        <f>_xlfn.XLOOKUP(B2106,Tabla2[CODIGO],Tabla2[MATERIAL],"N/A",0)</f>
        <v>Empalme gel ppal 8-4/0 a der 14-2/0 awg (grande)</v>
      </c>
      <c r="D2106">
        <v>2</v>
      </c>
      <c r="E2106" t="s">
        <v>42</v>
      </c>
      <c r="F2106" t="s">
        <v>62</v>
      </c>
      <c r="G2106" s="1">
        <v>46225</v>
      </c>
      <c r="I2106" s="2"/>
      <c r="J2106" t="s">
        <v>289</v>
      </c>
      <c r="K2106">
        <v>9966</v>
      </c>
      <c r="M2106">
        <v>2262304</v>
      </c>
      <c r="N2106">
        <v>9</v>
      </c>
    </row>
    <row r="2107" spans="2:14" hidden="1" x14ac:dyDescent="0.25">
      <c r="B2107" t="s">
        <v>76</v>
      </c>
      <c r="C2107" t="str">
        <f>_xlfn.XLOOKUP(B2107,Tabla2[CODIGO],Tabla2[MATERIAL],"N/A",0)</f>
        <v>Empalme gel ppal 8-4/0 a der 14-2/0 awg (grande)</v>
      </c>
      <c r="D2107">
        <v>2</v>
      </c>
      <c r="E2107" t="s">
        <v>42</v>
      </c>
      <c r="F2107" t="s">
        <v>62</v>
      </c>
      <c r="G2107" s="1">
        <v>46225</v>
      </c>
      <c r="I2107" s="2"/>
      <c r="J2107" t="s">
        <v>289</v>
      </c>
      <c r="K2107">
        <v>9966</v>
      </c>
      <c r="M2107">
        <v>2262347</v>
      </c>
      <c r="N2107">
        <v>11</v>
      </c>
    </row>
    <row r="2108" spans="2:14" hidden="1" x14ac:dyDescent="0.25">
      <c r="B2108" t="s">
        <v>76</v>
      </c>
      <c r="C2108" t="str">
        <f>_xlfn.XLOOKUP(B2108,Tabla2[CODIGO],Tabla2[MATERIAL],"N/A",0)</f>
        <v>Empalme gel ppal 8-4/0 a der 14-2/0 awg (grande)</v>
      </c>
      <c r="D2108">
        <v>2</v>
      </c>
      <c r="E2108" t="s">
        <v>42</v>
      </c>
      <c r="F2108" t="s">
        <v>62</v>
      </c>
      <c r="G2108" s="1">
        <v>46225</v>
      </c>
      <c r="I2108" s="2"/>
      <c r="J2108" t="s">
        <v>289</v>
      </c>
      <c r="K2108">
        <v>9966</v>
      </c>
      <c r="M2108" s="11">
        <v>2262436</v>
      </c>
      <c r="N2108">
        <v>23</v>
      </c>
    </row>
    <row r="2109" spans="2:14" hidden="1" x14ac:dyDescent="0.25">
      <c r="B2109" t="s">
        <v>76</v>
      </c>
      <c r="C2109" t="str">
        <f>_xlfn.XLOOKUP(B2109,Tabla2[CODIGO],Tabla2[MATERIAL],"N/A",0)</f>
        <v>Empalme gel ppal 8-4/0 a der 14-2/0 awg (grande)</v>
      </c>
      <c r="D2109">
        <v>2</v>
      </c>
      <c r="E2109" t="s">
        <v>42</v>
      </c>
      <c r="F2109" t="s">
        <v>62</v>
      </c>
      <c r="G2109" s="1">
        <v>46225</v>
      </c>
      <c r="I2109" s="2"/>
      <c r="J2109" t="s">
        <v>289</v>
      </c>
      <c r="K2109">
        <v>9966</v>
      </c>
      <c r="M2109">
        <v>2262126</v>
      </c>
      <c r="N2109">
        <v>21</v>
      </c>
    </row>
    <row r="2110" spans="2:14" hidden="1" x14ac:dyDescent="0.25">
      <c r="B2110" t="s">
        <v>76</v>
      </c>
      <c r="C2110" t="str">
        <f>_xlfn.XLOOKUP(B2110,Tabla2[CODIGO],Tabla2[MATERIAL],"N/A",0)</f>
        <v>Empalme gel ppal 8-4/0 a der 14-2/0 awg (grande)</v>
      </c>
      <c r="D2110">
        <v>2</v>
      </c>
      <c r="E2110" t="s">
        <v>42</v>
      </c>
      <c r="F2110" t="s">
        <v>62</v>
      </c>
      <c r="G2110" s="1">
        <v>46225</v>
      </c>
      <c r="I2110" s="2"/>
      <c r="J2110" t="s">
        <v>289</v>
      </c>
      <c r="K2110">
        <v>9966</v>
      </c>
      <c r="M2110">
        <v>2262487</v>
      </c>
      <c r="N2110">
        <v>17</v>
      </c>
    </row>
    <row r="2111" spans="2:14" hidden="1" x14ac:dyDescent="0.25">
      <c r="B2111" t="s">
        <v>76</v>
      </c>
      <c r="C2111" t="str">
        <f>_xlfn.XLOOKUP(B2111,Tabla2[CODIGO],Tabla2[MATERIAL],"N/A",0)</f>
        <v>Empalme gel ppal 8-4/0 a der 14-2/0 awg (grande)</v>
      </c>
      <c r="D2111">
        <v>2</v>
      </c>
      <c r="E2111" t="s">
        <v>42</v>
      </c>
      <c r="F2111" t="s">
        <v>62</v>
      </c>
      <c r="G2111" s="1">
        <v>46225</v>
      </c>
      <c r="I2111" s="2"/>
      <c r="J2111" t="s">
        <v>289</v>
      </c>
      <c r="K2111">
        <v>9966</v>
      </c>
      <c r="M2111">
        <v>2262126</v>
      </c>
      <c r="N2111">
        <v>15</v>
      </c>
    </row>
    <row r="2112" spans="2:14" hidden="1" x14ac:dyDescent="0.25">
      <c r="B2112" t="s">
        <v>481</v>
      </c>
      <c r="C2112" t="str">
        <f>_xlfn.XLOOKUP(B2112,Tabla2[CODIGO],Tabla2[MATERIAL],"N/A",0)</f>
        <v xml:space="preserve">Perno carruaje 5-8*2 </v>
      </c>
      <c r="D2112">
        <v>1</v>
      </c>
      <c r="E2112" t="s">
        <v>42</v>
      </c>
      <c r="F2112" t="s">
        <v>62</v>
      </c>
      <c r="G2112" s="1">
        <v>46225</v>
      </c>
      <c r="I2112" s="2"/>
      <c r="J2112" t="s">
        <v>289</v>
      </c>
      <c r="K2112">
        <v>9966</v>
      </c>
      <c r="M2112">
        <v>2085887</v>
      </c>
      <c r="N2112">
        <v>3</v>
      </c>
    </row>
    <row r="2113" spans="2:14" hidden="1" x14ac:dyDescent="0.25">
      <c r="B2113" t="s">
        <v>481</v>
      </c>
      <c r="C2113" t="str">
        <f>_xlfn.XLOOKUP(B2113,Tabla2[CODIGO],Tabla2[MATERIAL],"N/A",0)</f>
        <v xml:space="preserve">Perno carruaje 5-8*2 </v>
      </c>
      <c r="D2113">
        <v>1</v>
      </c>
      <c r="E2113" t="s">
        <v>42</v>
      </c>
      <c r="F2113" t="s">
        <v>62</v>
      </c>
      <c r="G2113" s="1">
        <v>46225</v>
      </c>
      <c r="I2113" s="2"/>
      <c r="J2113" t="s">
        <v>289</v>
      </c>
      <c r="K2113">
        <v>9966</v>
      </c>
      <c r="M2113">
        <v>2262487</v>
      </c>
      <c r="N2113">
        <v>17</v>
      </c>
    </row>
    <row r="2114" spans="2:14" hidden="1" x14ac:dyDescent="0.25">
      <c r="B2114" t="s">
        <v>481</v>
      </c>
      <c r="C2114" t="str">
        <f>_xlfn.XLOOKUP(B2114,Tabla2[CODIGO],Tabla2[MATERIAL],"N/A",0)</f>
        <v xml:space="preserve">Perno carruaje 5-8*2 </v>
      </c>
      <c r="D2114">
        <v>1</v>
      </c>
      <c r="E2114" t="s">
        <v>42</v>
      </c>
      <c r="F2114" t="s">
        <v>62</v>
      </c>
      <c r="G2114" s="1">
        <v>46225</v>
      </c>
      <c r="I2114" s="2"/>
      <c r="J2114" t="s">
        <v>289</v>
      </c>
      <c r="K2114">
        <v>9966</v>
      </c>
      <c r="M2114">
        <v>2262487</v>
      </c>
      <c r="N2114">
        <v>18</v>
      </c>
    </row>
    <row r="2115" spans="2:14" hidden="1" x14ac:dyDescent="0.25">
      <c r="B2115" t="s">
        <v>481</v>
      </c>
      <c r="C2115" t="str">
        <f>_xlfn.XLOOKUP(B2115,Tabla2[CODIGO],Tabla2[MATERIAL],"N/A",0)</f>
        <v xml:space="preserve">Perno carruaje 5-8*2 </v>
      </c>
      <c r="D2115">
        <v>1</v>
      </c>
      <c r="E2115" t="s">
        <v>42</v>
      </c>
      <c r="F2115" t="s">
        <v>62</v>
      </c>
      <c r="G2115" s="1">
        <v>46225</v>
      </c>
      <c r="I2115" s="2"/>
      <c r="J2115" t="s">
        <v>289</v>
      </c>
      <c r="K2115">
        <v>9966</v>
      </c>
      <c r="M2115">
        <v>2262487</v>
      </c>
      <c r="N2115">
        <v>19</v>
      </c>
    </row>
    <row r="2116" spans="2:14" hidden="1" x14ac:dyDescent="0.25">
      <c r="B2116" t="s">
        <v>481</v>
      </c>
      <c r="C2116" t="str">
        <f>_xlfn.XLOOKUP(B2116,Tabla2[CODIGO],Tabla2[MATERIAL],"N/A",0)</f>
        <v xml:space="preserve">Perno carruaje 5-8*2 </v>
      </c>
      <c r="D2116">
        <v>1</v>
      </c>
      <c r="E2116" t="s">
        <v>42</v>
      </c>
      <c r="F2116" t="s">
        <v>62</v>
      </c>
      <c r="G2116" s="1">
        <v>46225</v>
      </c>
      <c r="I2116" s="2"/>
      <c r="J2116" t="s">
        <v>289</v>
      </c>
      <c r="K2116">
        <v>9966</v>
      </c>
      <c r="M2116">
        <v>2262398</v>
      </c>
      <c r="N2116">
        <v>13</v>
      </c>
    </row>
    <row r="2117" spans="2:14" hidden="1" x14ac:dyDescent="0.25">
      <c r="B2117" t="s">
        <v>481</v>
      </c>
      <c r="C2117" t="str">
        <f>_xlfn.XLOOKUP(B2117,Tabla2[CODIGO],Tabla2[MATERIAL],"N/A",0)</f>
        <v xml:space="preserve">Perno carruaje 5-8*2 </v>
      </c>
      <c r="D2117">
        <v>1</v>
      </c>
      <c r="E2117" t="s">
        <v>42</v>
      </c>
      <c r="F2117" t="s">
        <v>62</v>
      </c>
      <c r="G2117" s="1">
        <v>46225</v>
      </c>
      <c r="I2117" s="2"/>
      <c r="J2117" t="s">
        <v>289</v>
      </c>
      <c r="K2117">
        <v>9966</v>
      </c>
      <c r="M2117">
        <v>2262398</v>
      </c>
      <c r="N2117">
        <v>14</v>
      </c>
    </row>
    <row r="2118" spans="2:14" hidden="1" x14ac:dyDescent="0.25">
      <c r="B2118" t="s">
        <v>481</v>
      </c>
      <c r="C2118" t="str">
        <f>_xlfn.XLOOKUP(B2118,Tabla2[CODIGO],Tabla2[MATERIAL],"N/A",0)</f>
        <v xml:space="preserve">Perno carruaje 5-8*2 </v>
      </c>
      <c r="D2118">
        <v>1</v>
      </c>
      <c r="E2118" t="s">
        <v>42</v>
      </c>
      <c r="F2118" t="s">
        <v>62</v>
      </c>
      <c r="G2118" s="1">
        <v>46225</v>
      </c>
      <c r="I2118" s="2"/>
      <c r="J2118" t="s">
        <v>289</v>
      </c>
      <c r="K2118">
        <v>9966</v>
      </c>
      <c r="M2118">
        <v>2262126</v>
      </c>
      <c r="N2118">
        <v>15</v>
      </c>
    </row>
    <row r="2119" spans="2:14" hidden="1" x14ac:dyDescent="0.25">
      <c r="B2119" t="s">
        <v>213</v>
      </c>
      <c r="C2119" t="str">
        <f>_xlfn.XLOOKUP(B2119,Tabla2[CODIGO],Tabla2[MATERIAL],"N/A",0)</f>
        <v>Tuerca Hexagona 5/8</v>
      </c>
      <c r="D2119">
        <v>1</v>
      </c>
      <c r="E2119" t="s">
        <v>42</v>
      </c>
      <c r="F2119" t="s">
        <v>62</v>
      </c>
      <c r="G2119" s="1">
        <v>46225</v>
      </c>
      <c r="I2119" s="2"/>
      <c r="J2119" t="s">
        <v>289</v>
      </c>
      <c r="K2119">
        <v>9966</v>
      </c>
      <c r="M2119">
        <v>2085887</v>
      </c>
      <c r="N2119">
        <v>3</v>
      </c>
    </row>
    <row r="2120" spans="2:14" hidden="1" x14ac:dyDescent="0.25">
      <c r="B2120" t="s">
        <v>213</v>
      </c>
      <c r="C2120" t="str">
        <f>_xlfn.XLOOKUP(B2120,Tabla2[CODIGO],Tabla2[MATERIAL],"N/A",0)</f>
        <v>Tuerca Hexagona 5/8</v>
      </c>
      <c r="D2120">
        <v>1</v>
      </c>
      <c r="E2120" t="s">
        <v>42</v>
      </c>
      <c r="F2120" t="s">
        <v>62</v>
      </c>
      <c r="G2120" s="1">
        <v>46225</v>
      </c>
      <c r="I2120" s="2"/>
      <c r="J2120" t="s">
        <v>289</v>
      </c>
      <c r="K2120">
        <v>9966</v>
      </c>
      <c r="M2120">
        <v>2262487</v>
      </c>
      <c r="N2120">
        <v>17</v>
      </c>
    </row>
    <row r="2121" spans="2:14" hidden="1" x14ac:dyDescent="0.25">
      <c r="B2121" t="s">
        <v>213</v>
      </c>
      <c r="C2121" t="str">
        <f>_xlfn.XLOOKUP(B2121,Tabla2[CODIGO],Tabla2[MATERIAL],"N/A",0)</f>
        <v>Tuerca Hexagona 5/8</v>
      </c>
      <c r="D2121">
        <v>1</v>
      </c>
      <c r="E2121" t="s">
        <v>42</v>
      </c>
      <c r="F2121" t="s">
        <v>62</v>
      </c>
      <c r="G2121" s="1">
        <v>46225</v>
      </c>
      <c r="I2121" s="2"/>
      <c r="J2121" t="s">
        <v>289</v>
      </c>
      <c r="K2121">
        <v>9966</v>
      </c>
      <c r="M2121">
        <v>2262487</v>
      </c>
      <c r="N2121">
        <v>18</v>
      </c>
    </row>
    <row r="2122" spans="2:14" hidden="1" x14ac:dyDescent="0.25">
      <c r="B2122" t="s">
        <v>213</v>
      </c>
      <c r="C2122" t="str">
        <f>_xlfn.XLOOKUP(B2122,Tabla2[CODIGO],Tabla2[MATERIAL],"N/A",0)</f>
        <v>Tuerca Hexagona 5/8</v>
      </c>
      <c r="D2122">
        <v>1</v>
      </c>
      <c r="E2122" t="s">
        <v>42</v>
      </c>
      <c r="F2122" t="s">
        <v>62</v>
      </c>
      <c r="G2122" s="1">
        <v>46225</v>
      </c>
      <c r="I2122" s="2"/>
      <c r="J2122" t="s">
        <v>289</v>
      </c>
      <c r="K2122">
        <v>9966</v>
      </c>
      <c r="M2122">
        <v>2262487</v>
      </c>
      <c r="N2122">
        <v>19</v>
      </c>
    </row>
    <row r="2123" spans="2:14" hidden="1" x14ac:dyDescent="0.25">
      <c r="B2123" t="s">
        <v>213</v>
      </c>
      <c r="C2123" t="str">
        <f>_xlfn.XLOOKUP(B2123,Tabla2[CODIGO],Tabla2[MATERIAL],"N/A",0)</f>
        <v>Tuerca Hexagona 5/8</v>
      </c>
      <c r="D2123">
        <v>1</v>
      </c>
      <c r="E2123" t="s">
        <v>42</v>
      </c>
      <c r="F2123" t="s">
        <v>62</v>
      </c>
      <c r="G2123" s="1">
        <v>46225</v>
      </c>
      <c r="I2123" s="2"/>
      <c r="J2123" t="s">
        <v>289</v>
      </c>
      <c r="K2123">
        <v>9966</v>
      </c>
      <c r="M2123">
        <v>2262398</v>
      </c>
      <c r="N2123">
        <v>13</v>
      </c>
    </row>
    <row r="2124" spans="2:14" hidden="1" x14ac:dyDescent="0.25">
      <c r="B2124" t="s">
        <v>213</v>
      </c>
      <c r="C2124" t="str">
        <f>_xlfn.XLOOKUP(B2124,Tabla2[CODIGO],Tabla2[MATERIAL],"N/A",0)</f>
        <v>Tuerca Hexagona 5/8</v>
      </c>
      <c r="D2124">
        <v>1</v>
      </c>
      <c r="E2124" t="s">
        <v>42</v>
      </c>
      <c r="F2124" t="s">
        <v>62</v>
      </c>
      <c r="G2124" s="1">
        <v>46225</v>
      </c>
      <c r="I2124" s="2"/>
      <c r="J2124" t="s">
        <v>289</v>
      </c>
      <c r="K2124">
        <v>9966</v>
      </c>
      <c r="M2124">
        <v>2262398</v>
      </c>
      <c r="N2124">
        <v>14</v>
      </c>
    </row>
    <row r="2125" spans="2:14" hidden="1" x14ac:dyDescent="0.25">
      <c r="B2125" t="s">
        <v>213</v>
      </c>
      <c r="C2125" t="str">
        <f>_xlfn.XLOOKUP(B2125,Tabla2[CODIGO],Tabla2[MATERIAL],"N/A",0)</f>
        <v>Tuerca Hexagona 5/8</v>
      </c>
      <c r="D2125">
        <v>1</v>
      </c>
      <c r="E2125" t="s">
        <v>42</v>
      </c>
      <c r="F2125" t="s">
        <v>62</v>
      </c>
      <c r="G2125" s="1">
        <v>46225</v>
      </c>
      <c r="I2125" s="2"/>
      <c r="J2125" t="s">
        <v>289</v>
      </c>
      <c r="K2125">
        <v>9966</v>
      </c>
      <c r="M2125">
        <v>2262126</v>
      </c>
      <c r="N2125">
        <v>15</v>
      </c>
    </row>
    <row r="2126" spans="2:14" hidden="1" x14ac:dyDescent="0.25">
      <c r="B2126" t="s">
        <v>198</v>
      </c>
      <c r="C2126" t="str">
        <f>_xlfn.XLOOKUP(B2126,Tabla2[CODIGO],Tabla2[MATERIAL],"N/A",0)</f>
        <v>Varilla cooperweld 2,4m</v>
      </c>
      <c r="D2126">
        <v>1</v>
      </c>
      <c r="E2126" t="s">
        <v>42</v>
      </c>
      <c r="F2126" t="s">
        <v>62</v>
      </c>
      <c r="G2126" s="1">
        <v>46225</v>
      </c>
      <c r="I2126" s="2"/>
      <c r="J2126" t="s">
        <v>289</v>
      </c>
      <c r="K2126">
        <v>9966</v>
      </c>
      <c r="M2126">
        <v>2262487</v>
      </c>
      <c r="N2126">
        <v>17</v>
      </c>
    </row>
    <row r="2127" spans="2:14" hidden="1" x14ac:dyDescent="0.25">
      <c r="B2127" t="s">
        <v>198</v>
      </c>
      <c r="C2127" t="str">
        <f>_xlfn.XLOOKUP(B2127,Tabla2[CODIGO],Tabla2[MATERIAL],"N/A",0)</f>
        <v>Varilla cooperweld 2,4m</v>
      </c>
      <c r="D2127">
        <v>1</v>
      </c>
      <c r="E2127" t="s">
        <v>42</v>
      </c>
      <c r="F2127" t="s">
        <v>62</v>
      </c>
      <c r="G2127" s="1">
        <v>46225</v>
      </c>
      <c r="I2127" s="2"/>
      <c r="J2127" t="s">
        <v>289</v>
      </c>
      <c r="K2127">
        <v>9966</v>
      </c>
      <c r="M2127">
        <v>2262126</v>
      </c>
      <c r="N2127">
        <v>21</v>
      </c>
    </row>
    <row r="2128" spans="2:14" hidden="1" x14ac:dyDescent="0.25">
      <c r="B2128" t="s">
        <v>198</v>
      </c>
      <c r="C2128" t="str">
        <f>_xlfn.XLOOKUP(B2128,Tabla2[CODIGO],Tabla2[MATERIAL],"N/A",0)</f>
        <v>Varilla cooperweld 2,4m</v>
      </c>
      <c r="D2128">
        <v>1</v>
      </c>
      <c r="E2128" t="s">
        <v>42</v>
      </c>
      <c r="F2128" t="s">
        <v>62</v>
      </c>
      <c r="G2128" s="1">
        <v>46225</v>
      </c>
      <c r="I2128" s="2"/>
      <c r="J2128" t="s">
        <v>289</v>
      </c>
      <c r="K2128">
        <v>9966</v>
      </c>
      <c r="M2128" s="11">
        <v>2262436</v>
      </c>
      <c r="N2128">
        <v>23</v>
      </c>
    </row>
    <row r="2129" spans="2:12" hidden="1" x14ac:dyDescent="0.25">
      <c r="B2129" t="s">
        <v>466</v>
      </c>
      <c r="C2129" t="str">
        <f>_xlfn.XLOOKUP(B2129,Tabla2[CODIGO],Tabla2[MATERIAL],"N/A",0)</f>
        <v xml:space="preserve">Perno carruaje 5-8*2 </v>
      </c>
      <c r="D2129">
        <v>7</v>
      </c>
      <c r="E2129" t="s">
        <v>42</v>
      </c>
      <c r="F2129" t="s">
        <v>62</v>
      </c>
      <c r="G2129" s="1">
        <v>46218</v>
      </c>
      <c r="I2129" s="2"/>
      <c r="J2129" t="s">
        <v>289</v>
      </c>
      <c r="K2129">
        <v>9967</v>
      </c>
    </row>
    <row r="2130" spans="2:12" hidden="1" x14ac:dyDescent="0.25">
      <c r="B2130" t="s">
        <v>217</v>
      </c>
      <c r="C2130" t="str">
        <f>_xlfn.XLOOKUP(B2130,Tabla2[CODIGO],Tabla2[MATERIAL],"N/A",0)</f>
        <v>Brazo Galvanizado 1 1/2" x 2m</v>
      </c>
      <c r="D2130">
        <v>7</v>
      </c>
      <c r="E2130" t="s">
        <v>42</v>
      </c>
      <c r="F2130" t="s">
        <v>62</v>
      </c>
      <c r="G2130" s="1">
        <v>46231</v>
      </c>
      <c r="I2130" s="2"/>
      <c r="J2130" t="s">
        <v>289</v>
      </c>
      <c r="K2130">
        <v>9968</v>
      </c>
    </row>
    <row r="2131" spans="2:12" hidden="1" x14ac:dyDescent="0.25">
      <c r="B2131" t="s">
        <v>321</v>
      </c>
      <c r="C2131" t="str">
        <f>_xlfn.XLOOKUP(B2131,Tabla2[CODIGO],Tabla2[MATERIAL],"N/A",0)</f>
        <v>Brazo Galvanizado 1 1/2" tipo L</v>
      </c>
      <c r="D2131">
        <v>2</v>
      </c>
      <c r="E2131" t="s">
        <v>42</v>
      </c>
      <c r="F2131" t="s">
        <v>62</v>
      </c>
      <c r="G2131" s="1">
        <v>46231</v>
      </c>
      <c r="I2131" s="2"/>
      <c r="J2131" t="s">
        <v>289</v>
      </c>
      <c r="K2131">
        <v>9968</v>
      </c>
    </row>
    <row r="2132" spans="2:12" hidden="1" x14ac:dyDescent="0.25">
      <c r="B2132" t="s">
        <v>21</v>
      </c>
      <c r="C2132" t="str">
        <f>_xlfn.XLOOKUP(B2132,Tabla2[CODIGO],Tabla2[MATERIAL],"N/A",0)</f>
        <v>Cable Encauchetado 3x14 pvc</v>
      </c>
      <c r="D2132">
        <v>36</v>
      </c>
      <c r="E2132" t="s">
        <v>42</v>
      </c>
      <c r="F2132" t="s">
        <v>62</v>
      </c>
      <c r="G2132" s="1">
        <v>46231</v>
      </c>
      <c r="I2132" s="2"/>
      <c r="J2132" t="s">
        <v>289</v>
      </c>
      <c r="K2132">
        <v>9968</v>
      </c>
    </row>
    <row r="2133" spans="2:12" hidden="1" x14ac:dyDescent="0.25">
      <c r="B2133" t="s">
        <v>217</v>
      </c>
      <c r="C2133" t="str">
        <f>_xlfn.XLOOKUP(B2133,Tabla2[CODIGO],Tabla2[MATERIAL],"N/A",0)</f>
        <v>Brazo Galvanizado 1 1/2" x 2m</v>
      </c>
      <c r="D2133">
        <v>19</v>
      </c>
      <c r="E2133" t="s">
        <v>42</v>
      </c>
      <c r="F2133" t="s">
        <v>62</v>
      </c>
      <c r="G2133" s="1">
        <v>46225</v>
      </c>
      <c r="I2133" s="2"/>
      <c r="J2133" t="s">
        <v>289</v>
      </c>
      <c r="K2133">
        <v>9971</v>
      </c>
    </row>
    <row r="2134" spans="2:12" hidden="1" x14ac:dyDescent="0.25">
      <c r="B2134" t="s">
        <v>217</v>
      </c>
      <c r="C2134" t="str">
        <f>_xlfn.XLOOKUP(B2134,Tabla2[CODIGO],Tabla2[MATERIAL],"N/A",0)</f>
        <v>Brazo Galvanizado 1 1/2" x 2m</v>
      </c>
      <c r="D2134">
        <v>6</v>
      </c>
      <c r="E2134" t="s">
        <v>42</v>
      </c>
      <c r="F2134" t="s">
        <v>62</v>
      </c>
      <c r="I2134" s="2"/>
      <c r="J2134" t="s">
        <v>289</v>
      </c>
      <c r="K2134">
        <v>9974</v>
      </c>
    </row>
    <row r="2135" spans="2:12" hidden="1" x14ac:dyDescent="0.25">
      <c r="B2135" t="s">
        <v>479</v>
      </c>
      <c r="C2135" t="str">
        <f>_xlfn.XLOOKUP(B2135,Tabla2[CODIGO],Tabla2[MATERIAL],"N/A",0)</f>
        <v>Brazo Galvanizado 1 1/2" x 2m</v>
      </c>
      <c r="D2135">
        <v>9</v>
      </c>
      <c r="E2135" t="s">
        <v>42</v>
      </c>
      <c r="F2135" t="s">
        <v>16</v>
      </c>
      <c r="G2135" s="1">
        <v>46178</v>
      </c>
      <c r="I2135" s="2"/>
      <c r="J2135" t="s">
        <v>57</v>
      </c>
      <c r="K2135">
        <v>9821</v>
      </c>
      <c r="L2135" t="s">
        <v>44</v>
      </c>
    </row>
    <row r="2136" spans="2:12" hidden="1" x14ac:dyDescent="0.25">
      <c r="B2136" t="s">
        <v>53</v>
      </c>
      <c r="C2136" t="str">
        <f>_xlfn.XLOOKUP(B2136,Tabla2[CODIGO],Tabla2[MATERIAL],"N/A",0)</f>
        <v>Conector de Perforacion ais kz-ep (EP95) pequeño</v>
      </c>
      <c r="D2136">
        <v>30</v>
      </c>
      <c r="E2136" t="s">
        <v>42</v>
      </c>
      <c r="F2136" t="s">
        <v>16</v>
      </c>
      <c r="G2136" s="1">
        <v>46233</v>
      </c>
      <c r="I2136" s="2"/>
      <c r="J2136" t="s">
        <v>166</v>
      </c>
      <c r="K2136">
        <v>9959</v>
      </c>
      <c r="L2136" t="s">
        <v>100</v>
      </c>
    </row>
    <row r="2137" spans="2:12" hidden="1" x14ac:dyDescent="0.25">
      <c r="B2137" t="s">
        <v>480</v>
      </c>
      <c r="C2137" t="str">
        <f>_xlfn.XLOOKUP(B2137,Tabla2[CODIGO],Tabla2[MATERIAL],"N/A",0)</f>
        <v>Brazo Galvanizado 1 1/2" x 2m</v>
      </c>
      <c r="D2137">
        <v>16</v>
      </c>
      <c r="E2137" t="s">
        <v>42</v>
      </c>
      <c r="F2137" t="s">
        <v>62</v>
      </c>
      <c r="I2137" s="2"/>
      <c r="J2137" t="s">
        <v>166</v>
      </c>
      <c r="K2137">
        <v>9960</v>
      </c>
    </row>
    <row r="2138" spans="2:12" hidden="1" x14ac:dyDescent="0.25">
      <c r="B2138" t="s">
        <v>217</v>
      </c>
      <c r="C2138" t="str">
        <f>_xlfn.XLOOKUP(B2138,Tabla2[CODIGO],Tabla2[MATERIAL],"N/A",0)</f>
        <v>Brazo Galvanizado 1 1/2" x 2m</v>
      </c>
      <c r="D2138">
        <v>19</v>
      </c>
      <c r="E2138" t="s">
        <v>42</v>
      </c>
      <c r="F2138" t="s">
        <v>16</v>
      </c>
      <c r="G2138" s="1">
        <v>46200</v>
      </c>
      <c r="I2138" s="2"/>
      <c r="J2138" t="s">
        <v>166</v>
      </c>
      <c r="K2138">
        <v>9961</v>
      </c>
    </row>
    <row r="2139" spans="2:12" hidden="1" x14ac:dyDescent="0.25">
      <c r="B2139" t="s">
        <v>217</v>
      </c>
      <c r="C2139" t="str">
        <f>_xlfn.XLOOKUP(B2139,Tabla2[CODIGO],Tabla2[MATERIAL],"N/A",0)</f>
        <v>Brazo Galvanizado 1 1/2" x 2m</v>
      </c>
      <c r="D2139">
        <v>4</v>
      </c>
      <c r="E2139" t="s">
        <v>42</v>
      </c>
      <c r="F2139" t="s">
        <v>16</v>
      </c>
      <c r="G2139" s="1">
        <v>46200</v>
      </c>
      <c r="I2139" s="2"/>
      <c r="J2139" t="s">
        <v>166</v>
      </c>
      <c r="K2139">
        <v>9963</v>
      </c>
      <c r="L2139" t="s">
        <v>269</v>
      </c>
    </row>
    <row r="2140" spans="2:12" hidden="1" x14ac:dyDescent="0.25">
      <c r="B2140" t="s">
        <v>304</v>
      </c>
      <c r="C2140" t="str">
        <f>_xlfn.XLOOKUP(B2140,Tabla2[CODIGO],Tabla2[MATERIAL],"N/A",0)</f>
        <v>Luminaria 75w</v>
      </c>
      <c r="D2140">
        <v>1</v>
      </c>
      <c r="E2140" t="s">
        <v>42</v>
      </c>
      <c r="F2140" t="s">
        <v>16</v>
      </c>
      <c r="G2140" s="1">
        <v>46220</v>
      </c>
      <c r="H2140" t="s">
        <v>64</v>
      </c>
      <c r="I2140" s="2" t="s">
        <v>453</v>
      </c>
      <c r="J2140" t="s">
        <v>289</v>
      </c>
      <c r="K2140">
        <v>9966</v>
      </c>
    </row>
    <row r="2141" spans="2:12" hidden="1" x14ac:dyDescent="0.25">
      <c r="B2141" t="s">
        <v>192</v>
      </c>
      <c r="C2141" t="str">
        <f>_xlfn.XLOOKUP(B2141,Tabla2[CODIGO],Tabla2[MATERIAL],"N/A",0)</f>
        <v>angular V</v>
      </c>
      <c r="D2141">
        <v>3</v>
      </c>
      <c r="E2141" t="s">
        <v>42</v>
      </c>
      <c r="F2141" t="s">
        <v>62</v>
      </c>
      <c r="I2141" s="2"/>
      <c r="J2141" t="s">
        <v>289</v>
      </c>
      <c r="K2141">
        <v>9968</v>
      </c>
    </row>
    <row r="2142" spans="2:12" hidden="1" x14ac:dyDescent="0.25">
      <c r="B2142" t="s">
        <v>250</v>
      </c>
      <c r="C2142" t="str">
        <f>_xlfn.XLOOKUP(B2142,Tabla2[CODIGO],Tabla2[MATERIAL],"N/A",0)</f>
        <v>Cruceta Metalica 3*3x 1/4</v>
      </c>
      <c r="D2142">
        <v>3</v>
      </c>
      <c r="E2142" t="s">
        <v>42</v>
      </c>
      <c r="F2142" t="s">
        <v>62</v>
      </c>
      <c r="I2142" s="2"/>
      <c r="J2142" t="s">
        <v>289</v>
      </c>
      <c r="K2142">
        <v>9968</v>
      </c>
    </row>
    <row r="2143" spans="2:12" hidden="1" x14ac:dyDescent="0.25">
      <c r="B2143" t="s">
        <v>480</v>
      </c>
      <c r="C2143" t="str">
        <f>_xlfn.XLOOKUP(B2143,Tabla2[CODIGO],Tabla2[MATERIAL],"N/A",0)</f>
        <v>Brazo Galvanizado 1 1/2" x 2m</v>
      </c>
      <c r="D2143">
        <v>9</v>
      </c>
      <c r="E2143" t="s">
        <v>42</v>
      </c>
      <c r="F2143" t="s">
        <v>16</v>
      </c>
      <c r="G2143" s="1">
        <v>46221</v>
      </c>
      <c r="I2143" s="2"/>
      <c r="J2143" t="s">
        <v>289</v>
      </c>
      <c r="K2143">
        <v>9973</v>
      </c>
    </row>
    <row r="2144" spans="2:12" hidden="1" x14ac:dyDescent="0.25">
      <c r="B2144" t="s">
        <v>480</v>
      </c>
      <c r="C2144" t="str">
        <f>_xlfn.XLOOKUP(B2144,Tabla2[CODIGO],Tabla2[MATERIAL],"N/A",0)</f>
        <v>Brazo Galvanizado 1 1/2" x 2m</v>
      </c>
      <c r="D2144">
        <v>9</v>
      </c>
      <c r="E2144" t="s">
        <v>42</v>
      </c>
      <c r="F2144" t="s">
        <v>62</v>
      </c>
      <c r="I2144" s="2"/>
      <c r="J2144" t="s">
        <v>289</v>
      </c>
      <c r="K2144">
        <v>9973</v>
      </c>
    </row>
    <row r="2145" spans="2:14" hidden="1" x14ac:dyDescent="0.25">
      <c r="B2145" t="s">
        <v>214</v>
      </c>
      <c r="C2145" t="str">
        <f>_xlfn.XLOOKUP(B2145,Tabla2[CODIGO],Tabla2[MATERIAL],"N/A",0)</f>
        <v>Marco para caja ap</v>
      </c>
      <c r="D2145">
        <v>1</v>
      </c>
      <c r="E2145" t="s">
        <v>42</v>
      </c>
      <c r="F2145" t="s">
        <v>62</v>
      </c>
      <c r="I2145" s="2"/>
      <c r="J2145" t="s">
        <v>289</v>
      </c>
      <c r="K2145">
        <v>9974</v>
      </c>
      <c r="M2145">
        <v>2260883</v>
      </c>
      <c r="N2145">
        <v>1</v>
      </c>
    </row>
    <row r="2146" spans="2:14" hidden="1" x14ac:dyDescent="0.25">
      <c r="B2146" t="s">
        <v>214</v>
      </c>
      <c r="C2146" t="str">
        <f>_xlfn.XLOOKUP(B2146,Tabla2[CODIGO],Tabla2[MATERIAL],"N/A",0)</f>
        <v>Marco para caja ap</v>
      </c>
      <c r="D2146">
        <v>1</v>
      </c>
      <c r="E2146" t="s">
        <v>42</v>
      </c>
      <c r="F2146" t="s">
        <v>62</v>
      </c>
      <c r="I2146" s="2"/>
      <c r="J2146" t="s">
        <v>289</v>
      </c>
      <c r="K2146">
        <v>9974</v>
      </c>
      <c r="M2146">
        <v>1865331</v>
      </c>
      <c r="N2146">
        <v>10</v>
      </c>
    </row>
    <row r="2147" spans="2:14" hidden="1" x14ac:dyDescent="0.25">
      <c r="B2147" t="s">
        <v>214</v>
      </c>
      <c r="C2147" t="str">
        <f>_xlfn.XLOOKUP(B2147,Tabla2[CODIGO],Tabla2[MATERIAL],"N/A",0)</f>
        <v>Marco para caja ap</v>
      </c>
      <c r="D2147">
        <v>1</v>
      </c>
      <c r="E2147" t="s">
        <v>42</v>
      </c>
      <c r="F2147" t="s">
        <v>62</v>
      </c>
      <c r="I2147" s="2"/>
      <c r="J2147" t="s">
        <v>289</v>
      </c>
      <c r="K2147">
        <v>9974</v>
      </c>
      <c r="M2147">
        <v>1865323</v>
      </c>
      <c r="N2147">
        <v>14</v>
      </c>
    </row>
    <row r="2148" spans="2:14" hidden="1" x14ac:dyDescent="0.25">
      <c r="B2148" t="s">
        <v>480</v>
      </c>
      <c r="C2148" t="str">
        <f>_xlfn.XLOOKUP(B2148,Tabla2[CODIGO],Tabla2[MATERIAL],"N/A",0)</f>
        <v>Brazo Galvanizado 1 1/2" x 2m</v>
      </c>
      <c r="D2148">
        <v>15</v>
      </c>
      <c r="E2148" t="s">
        <v>42</v>
      </c>
      <c r="F2148" t="s">
        <v>16</v>
      </c>
      <c r="I2148" s="2"/>
      <c r="J2148" t="s">
        <v>289</v>
      </c>
      <c r="K2148">
        <v>9972</v>
      </c>
    </row>
    <row r="2149" spans="2:14" hidden="1" x14ac:dyDescent="0.25">
      <c r="B2149" t="s">
        <v>81</v>
      </c>
      <c r="C2149" t="str">
        <f>_xlfn.XLOOKUP(B2149,Tabla2[CODIGO],Tabla2[MATERIAL],"N/A",0)</f>
        <v>Tapa Alfajor</v>
      </c>
      <c r="D2149">
        <v>2</v>
      </c>
      <c r="E2149" t="s">
        <v>42</v>
      </c>
      <c r="F2149" t="s">
        <v>62</v>
      </c>
      <c r="I2149" s="2"/>
      <c r="J2149" t="s">
        <v>57</v>
      </c>
      <c r="K2149">
        <v>9820</v>
      </c>
    </row>
    <row r="2150" spans="2:14" hidden="1" x14ac:dyDescent="0.25">
      <c r="B2150" t="s">
        <v>82</v>
      </c>
      <c r="C2150" t="str">
        <f>_xlfn.XLOOKUP(B2150,Tabla2[CODIGO],Tabla2[MATERIAL],"N/A",0)</f>
        <v>proyector 190w</v>
      </c>
      <c r="D2150">
        <v>1</v>
      </c>
      <c r="E2150" t="s">
        <v>42</v>
      </c>
      <c r="F2150" t="s">
        <v>16</v>
      </c>
      <c r="G2150" s="1">
        <v>46221</v>
      </c>
      <c r="H2150" t="s">
        <v>64</v>
      </c>
      <c r="I2150" s="2" t="s">
        <v>439</v>
      </c>
      <c r="J2150" t="s">
        <v>289</v>
      </c>
      <c r="K2150">
        <v>9974</v>
      </c>
    </row>
    <row r="2151" spans="2:14" hidden="1" x14ac:dyDescent="0.25">
      <c r="B2151" t="s">
        <v>82</v>
      </c>
      <c r="C2151" t="str">
        <f>_xlfn.XLOOKUP(B2151,Tabla2[CODIGO],Tabla2[MATERIAL],"N/A",0)</f>
        <v>proyector 190w</v>
      </c>
      <c r="D2151">
        <v>1</v>
      </c>
      <c r="E2151" t="s">
        <v>42</v>
      </c>
      <c r="F2151" t="s">
        <v>62</v>
      </c>
      <c r="H2151" t="s">
        <v>64</v>
      </c>
      <c r="I2151" s="2" t="s">
        <v>439</v>
      </c>
      <c r="J2151" t="s">
        <v>289</v>
      </c>
      <c r="K2151">
        <v>9974</v>
      </c>
      <c r="M2151">
        <v>1865331</v>
      </c>
      <c r="N2151">
        <v>13</v>
      </c>
    </row>
    <row r="2152" spans="2:14" hidden="1" x14ac:dyDescent="0.25">
      <c r="B2152" t="s">
        <v>82</v>
      </c>
      <c r="C2152" t="str">
        <f>_xlfn.XLOOKUP(B2152,Tabla2[CODIGO],Tabla2[MATERIAL],"N/A",0)</f>
        <v>proyector 190w</v>
      </c>
      <c r="D2152">
        <v>1</v>
      </c>
      <c r="E2152" t="s">
        <v>42</v>
      </c>
      <c r="F2152" t="s">
        <v>62</v>
      </c>
      <c r="G2152" s="1">
        <v>46204</v>
      </c>
      <c r="H2152" t="s">
        <v>64</v>
      </c>
      <c r="I2152" s="2" t="s">
        <v>364</v>
      </c>
      <c r="J2152" t="s">
        <v>289</v>
      </c>
      <c r="K2152">
        <v>9968</v>
      </c>
      <c r="M2152">
        <v>1865307</v>
      </c>
      <c r="N2152">
        <v>18</v>
      </c>
    </row>
    <row r="2153" spans="2:14" hidden="1" x14ac:dyDescent="0.25">
      <c r="B2153" t="s">
        <v>82</v>
      </c>
      <c r="C2153" t="str">
        <f>_xlfn.XLOOKUP(B2153,Tabla2[CODIGO],Tabla2[MATERIAL],"N/A",0)</f>
        <v>proyector 190w</v>
      </c>
      <c r="D2153">
        <v>1</v>
      </c>
      <c r="E2153" t="s">
        <v>42</v>
      </c>
      <c r="F2153" t="s">
        <v>62</v>
      </c>
      <c r="G2153" s="1">
        <v>46204</v>
      </c>
      <c r="H2153" t="s">
        <v>64</v>
      </c>
      <c r="I2153" s="2" t="s">
        <v>362</v>
      </c>
      <c r="J2153" t="s">
        <v>289</v>
      </c>
      <c r="K2153">
        <v>9968</v>
      </c>
      <c r="M2153">
        <v>1865307</v>
      </c>
      <c r="N2153">
        <v>23</v>
      </c>
    </row>
    <row r="2154" spans="2:14" hidden="1" x14ac:dyDescent="0.25">
      <c r="B2154" t="s">
        <v>82</v>
      </c>
      <c r="C2154" t="str">
        <f>_xlfn.XLOOKUP(B2154,Tabla2[CODIGO],Tabla2[MATERIAL],"N/A",0)</f>
        <v>proyector 190w</v>
      </c>
      <c r="D2154">
        <v>1</v>
      </c>
      <c r="E2154" t="s">
        <v>42</v>
      </c>
      <c r="F2154" t="s">
        <v>62</v>
      </c>
      <c r="G2154" s="1">
        <v>46204</v>
      </c>
      <c r="H2154" t="s">
        <v>64</v>
      </c>
      <c r="I2154" s="2" t="s">
        <v>365</v>
      </c>
      <c r="J2154" t="s">
        <v>289</v>
      </c>
      <c r="K2154">
        <v>9968</v>
      </c>
      <c r="M2154">
        <v>1865307</v>
      </c>
      <c r="N2154">
        <v>16</v>
      </c>
    </row>
    <row r="2155" spans="2:14" hidden="1" x14ac:dyDescent="0.25">
      <c r="B2155" t="s">
        <v>82</v>
      </c>
      <c r="C2155" t="str">
        <f>_xlfn.XLOOKUP(B2155,Tabla2[CODIGO],Tabla2[MATERIAL],"N/A",0)</f>
        <v>proyector 190w</v>
      </c>
      <c r="D2155">
        <v>1</v>
      </c>
      <c r="E2155" t="s">
        <v>42</v>
      </c>
      <c r="F2155" t="s">
        <v>62</v>
      </c>
      <c r="G2155" s="1">
        <v>46204</v>
      </c>
      <c r="H2155" t="s">
        <v>64</v>
      </c>
      <c r="I2155" s="2" t="s">
        <v>366</v>
      </c>
      <c r="J2155" t="s">
        <v>289</v>
      </c>
      <c r="K2155">
        <v>9968</v>
      </c>
      <c r="M2155">
        <v>1865307</v>
      </c>
      <c r="N2155">
        <v>20</v>
      </c>
    </row>
    <row r="2156" spans="2:14" hidden="1" x14ac:dyDescent="0.25">
      <c r="B2156" t="s">
        <v>82</v>
      </c>
      <c r="C2156" t="str">
        <f>_xlfn.XLOOKUP(B2156,Tabla2[CODIGO],Tabla2[MATERIAL],"N/A",0)</f>
        <v>proyector 190w</v>
      </c>
      <c r="D2156">
        <v>1</v>
      </c>
      <c r="E2156" t="s">
        <v>42</v>
      </c>
      <c r="F2156" t="s">
        <v>62</v>
      </c>
      <c r="G2156" s="1">
        <v>46204</v>
      </c>
      <c r="H2156" t="s">
        <v>64</v>
      </c>
      <c r="I2156" s="2" t="s">
        <v>369</v>
      </c>
      <c r="J2156" t="s">
        <v>289</v>
      </c>
      <c r="K2156">
        <v>9968</v>
      </c>
      <c r="M2156">
        <v>1865307</v>
      </c>
      <c r="N2156">
        <v>22</v>
      </c>
    </row>
    <row r="2157" spans="2:14" hidden="1" x14ac:dyDescent="0.25">
      <c r="B2157" t="s">
        <v>82</v>
      </c>
      <c r="C2157" t="str">
        <f>_xlfn.XLOOKUP(B2157,Tabla2[CODIGO],Tabla2[MATERIAL],"N/A",0)</f>
        <v>proyector 190w</v>
      </c>
      <c r="D2157">
        <v>1</v>
      </c>
      <c r="E2157" t="s">
        <v>42</v>
      </c>
      <c r="F2157" t="s">
        <v>62</v>
      </c>
      <c r="G2157" s="1">
        <v>46204</v>
      </c>
      <c r="H2157" t="s">
        <v>64</v>
      </c>
      <c r="I2157" s="2" t="s">
        <v>368</v>
      </c>
      <c r="J2157" t="s">
        <v>289</v>
      </c>
      <c r="K2157">
        <v>9968</v>
      </c>
      <c r="M2157">
        <v>1865307</v>
      </c>
      <c r="N2157">
        <v>17</v>
      </c>
    </row>
    <row r="2158" spans="2:14" hidden="1" x14ac:dyDescent="0.25">
      <c r="B2158" t="s">
        <v>82</v>
      </c>
      <c r="C2158" t="str">
        <f>_xlfn.XLOOKUP(B2158,Tabla2[CODIGO],Tabla2[MATERIAL],"N/A",0)</f>
        <v>proyector 190w</v>
      </c>
      <c r="D2158">
        <v>1</v>
      </c>
      <c r="E2158" t="s">
        <v>42</v>
      </c>
      <c r="F2158" t="s">
        <v>62</v>
      </c>
      <c r="G2158" s="1">
        <v>46204</v>
      </c>
      <c r="H2158" t="s">
        <v>64</v>
      </c>
      <c r="I2158" s="2" t="s">
        <v>367</v>
      </c>
      <c r="J2158" t="s">
        <v>289</v>
      </c>
      <c r="K2158">
        <v>9968</v>
      </c>
      <c r="M2158">
        <v>1865307</v>
      </c>
      <c r="N2158">
        <v>21</v>
      </c>
    </row>
    <row r="2159" spans="2:14" hidden="1" x14ac:dyDescent="0.25">
      <c r="B2159" t="s">
        <v>82</v>
      </c>
      <c r="C2159" t="str">
        <f>_xlfn.XLOOKUP(B2159,Tabla2[CODIGO],Tabla2[MATERIAL],"N/A",0)</f>
        <v>proyector 190w</v>
      </c>
      <c r="D2159">
        <v>1</v>
      </c>
      <c r="E2159" t="s">
        <v>42</v>
      </c>
      <c r="F2159" t="s">
        <v>62</v>
      </c>
      <c r="G2159" s="1">
        <v>46204</v>
      </c>
      <c r="H2159" t="s">
        <v>64</v>
      </c>
      <c r="I2159" s="2" t="s">
        <v>363</v>
      </c>
      <c r="J2159" t="s">
        <v>289</v>
      </c>
      <c r="K2159">
        <v>9968</v>
      </c>
      <c r="M2159">
        <v>1865307</v>
      </c>
      <c r="N2159">
        <v>19</v>
      </c>
    </row>
    <row r="2160" spans="2:14" hidden="1" x14ac:dyDescent="0.25">
      <c r="B2160" t="s">
        <v>261</v>
      </c>
      <c r="C2160" t="str">
        <f>_xlfn.XLOOKUP(B2160,Tabla2[CODIGO],Tabla2[MATERIAL],"N/A",0)</f>
        <v>Abrazadera sin salida 6"</v>
      </c>
      <c r="D2160">
        <v>39</v>
      </c>
      <c r="E2160" t="s">
        <v>42</v>
      </c>
      <c r="F2160" t="s">
        <v>486</v>
      </c>
      <c r="G2160" s="1">
        <v>46260</v>
      </c>
      <c r="I2160" s="2"/>
      <c r="J2160" t="s">
        <v>487</v>
      </c>
      <c r="M2160" t="s">
        <v>14</v>
      </c>
      <c r="N2160" t="s">
        <v>14</v>
      </c>
    </row>
    <row r="2161" spans="2:14" hidden="1" x14ac:dyDescent="0.25">
      <c r="B2161" t="s">
        <v>226</v>
      </c>
      <c r="C2161" t="str">
        <f>_xlfn.XLOOKUP(B2161,Tabla2[CODIGO],Tabla2[MATERIAL],"N/A",0)</f>
        <v>Abrazadera una salida 6"</v>
      </c>
      <c r="D2161">
        <v>41</v>
      </c>
      <c r="E2161" t="s">
        <v>42</v>
      </c>
      <c r="F2161" t="s">
        <v>486</v>
      </c>
      <c r="G2161" s="1">
        <v>46260</v>
      </c>
      <c r="I2161" s="2"/>
      <c r="J2161" t="s">
        <v>487</v>
      </c>
      <c r="M2161" t="s">
        <v>14</v>
      </c>
      <c r="N2161" t="s">
        <v>14</v>
      </c>
    </row>
    <row r="2162" spans="2:14" hidden="1" x14ac:dyDescent="0.25">
      <c r="B2162" t="s">
        <v>450</v>
      </c>
      <c r="C2162" t="str">
        <f>_xlfn.XLOOKUP(B2162,Tabla2[CODIGO],Tabla2[MATERIAL],"N/A",0)</f>
        <v>Abrazadera sin salida 7"</v>
      </c>
      <c r="D2162">
        <v>9</v>
      </c>
      <c r="E2162" t="s">
        <v>42</v>
      </c>
      <c r="F2162" t="s">
        <v>486</v>
      </c>
      <c r="G2162" s="1">
        <v>46260</v>
      </c>
      <c r="I2162" s="2"/>
      <c r="J2162" t="s">
        <v>487</v>
      </c>
      <c r="M2162" t="s">
        <v>14</v>
      </c>
      <c r="N2162" t="s">
        <v>14</v>
      </c>
    </row>
    <row r="2163" spans="2:14" hidden="1" x14ac:dyDescent="0.25">
      <c r="B2163" t="s">
        <v>449</v>
      </c>
      <c r="C2163" t="str">
        <f>_xlfn.XLOOKUP(B2163,Tabla2[CODIGO],Tabla2[MATERIAL],"N/A",0)</f>
        <v>Abrazadera una salida 7"</v>
      </c>
      <c r="D2163">
        <v>1</v>
      </c>
      <c r="E2163" t="s">
        <v>42</v>
      </c>
      <c r="F2163" t="s">
        <v>486</v>
      </c>
      <c r="G2163" s="1">
        <v>46260</v>
      </c>
      <c r="I2163" s="2"/>
      <c r="J2163" t="s">
        <v>487</v>
      </c>
      <c r="M2163" t="s">
        <v>14</v>
      </c>
      <c r="N2163" t="s">
        <v>14</v>
      </c>
    </row>
    <row r="2164" spans="2:14" hidden="1" x14ac:dyDescent="0.25">
      <c r="B2164" t="s">
        <v>271</v>
      </c>
      <c r="C2164" t="str">
        <f>_xlfn.XLOOKUP(B2164,Tabla2[CODIGO],Tabla2[MATERIAL],"N/A",0)</f>
        <v>Abrazadera tipo corona 7"</v>
      </c>
      <c r="D2164">
        <v>4</v>
      </c>
      <c r="E2164" t="s">
        <v>42</v>
      </c>
      <c r="F2164" t="s">
        <v>486</v>
      </c>
      <c r="G2164" s="1">
        <v>46260</v>
      </c>
      <c r="I2164" s="2"/>
      <c r="J2164" t="s">
        <v>487</v>
      </c>
      <c r="M2164" t="s">
        <v>14</v>
      </c>
      <c r="N2164" t="s">
        <v>14</v>
      </c>
    </row>
    <row r="2165" spans="2:14" hidden="1" x14ac:dyDescent="0.25">
      <c r="B2165" t="s">
        <v>281</v>
      </c>
      <c r="C2165" t="str">
        <f>_xlfn.XLOOKUP(B2165,Tabla2[CODIGO],Tabla2[MATERIAL],"N/A",0)</f>
        <v>Aislador Carrreto</v>
      </c>
      <c r="D2165">
        <v>33</v>
      </c>
      <c r="E2165" t="s">
        <v>42</v>
      </c>
      <c r="F2165" t="s">
        <v>486</v>
      </c>
      <c r="G2165" s="1">
        <v>46260</v>
      </c>
      <c r="I2165" s="2"/>
      <c r="J2165" t="s">
        <v>487</v>
      </c>
      <c r="M2165" t="s">
        <v>14</v>
      </c>
      <c r="N2165" t="s">
        <v>14</v>
      </c>
    </row>
    <row r="2166" spans="2:14" hidden="1" x14ac:dyDescent="0.25">
      <c r="B2166" t="s">
        <v>319</v>
      </c>
      <c r="C2166" t="str">
        <f>_xlfn.XLOOKUP(B2166,Tabla2[CODIGO],Tabla2[MATERIAL],"N/A",0)</f>
        <v>alambre Cu thhn 14 verde</v>
      </c>
      <c r="D2166">
        <v>50</v>
      </c>
      <c r="E2166" t="s">
        <v>43</v>
      </c>
      <c r="F2166" t="s">
        <v>486</v>
      </c>
      <c r="G2166" s="1">
        <v>46260</v>
      </c>
      <c r="I2166" s="2"/>
      <c r="J2166" t="s">
        <v>487</v>
      </c>
      <c r="M2166" t="s">
        <v>14</v>
      </c>
      <c r="N2166" t="s">
        <v>14</v>
      </c>
    </row>
    <row r="2167" spans="2:14" hidden="1" x14ac:dyDescent="0.25">
      <c r="B2167" t="s">
        <v>217</v>
      </c>
      <c r="C2167" t="str">
        <f>_xlfn.XLOOKUP(B2167,Tabla2[CODIGO],Tabla2[MATERIAL],"N/A",0)</f>
        <v>Brazo Galvanizado 1 1/2" x 2m</v>
      </c>
      <c r="D2167">
        <v>4</v>
      </c>
      <c r="E2167" t="s">
        <v>42</v>
      </c>
      <c r="F2167" t="s">
        <v>486</v>
      </c>
      <c r="G2167" s="1">
        <v>46260</v>
      </c>
      <c r="I2167" s="2"/>
      <c r="J2167" t="s">
        <v>487</v>
      </c>
      <c r="M2167" t="s">
        <v>14</v>
      </c>
      <c r="N2167" t="s">
        <v>14</v>
      </c>
    </row>
    <row r="2168" spans="2:14" hidden="1" x14ac:dyDescent="0.25">
      <c r="B2168" t="s">
        <v>19</v>
      </c>
      <c r="C2168" t="str">
        <f>_xlfn.XLOOKUP(B2168,Tabla2[CODIGO],Tabla2[MATERIAL],"N/A",0)</f>
        <v>Cable Al serie AA 8000 rhw # 6 awg</v>
      </c>
      <c r="D2168">
        <v>460</v>
      </c>
      <c r="E2168" t="s">
        <v>43</v>
      </c>
      <c r="F2168" t="s">
        <v>486</v>
      </c>
      <c r="G2168" s="1">
        <v>46260</v>
      </c>
      <c r="I2168" s="2"/>
      <c r="J2168" t="s">
        <v>487</v>
      </c>
      <c r="M2168" t="s">
        <v>14</v>
      </c>
      <c r="N2168" t="s">
        <v>14</v>
      </c>
    </row>
    <row r="2169" spans="2:14" hidden="1" x14ac:dyDescent="0.25">
      <c r="B2169" t="s">
        <v>21</v>
      </c>
      <c r="C2169" t="str">
        <f>_xlfn.XLOOKUP(B2169,Tabla2[CODIGO],Tabla2[MATERIAL],"N/A",0)</f>
        <v>Cable Encauchetado 3x14 pvc</v>
      </c>
      <c r="D2169">
        <v>363</v>
      </c>
      <c r="E2169" t="s">
        <v>43</v>
      </c>
      <c r="F2169" t="s">
        <v>486</v>
      </c>
      <c r="G2169" s="1">
        <v>46260</v>
      </c>
      <c r="I2169" s="2"/>
      <c r="J2169" t="s">
        <v>487</v>
      </c>
      <c r="M2169" t="s">
        <v>14</v>
      </c>
      <c r="N2169" t="s">
        <v>14</v>
      </c>
    </row>
    <row r="2170" spans="2:14" hidden="1" x14ac:dyDescent="0.25">
      <c r="B2170" t="s">
        <v>194</v>
      </c>
      <c r="C2170" t="str">
        <f>_xlfn.XLOOKUP(B2170,Tabla2[CODIGO],Tabla2[MATERIAL],"N/A",0)</f>
        <v>Cable TPX 2x4 1x4 awg</v>
      </c>
      <c r="D2170">
        <v>90</v>
      </c>
      <c r="E2170" t="s">
        <v>42</v>
      </c>
      <c r="F2170" t="s">
        <v>486</v>
      </c>
      <c r="G2170" s="1">
        <v>46260</v>
      </c>
      <c r="I2170" s="2"/>
      <c r="J2170" t="s">
        <v>487</v>
      </c>
      <c r="M2170" t="s">
        <v>14</v>
      </c>
      <c r="N2170" t="s">
        <v>14</v>
      </c>
    </row>
    <row r="2171" spans="2:14" hidden="1" x14ac:dyDescent="0.25">
      <c r="B2171" t="s">
        <v>475</v>
      </c>
      <c r="C2171" t="str">
        <f>_xlfn.XLOOKUP(B2171,Tabla2[CODIGO],Tabla2[MATERIAL],"N/A",0)</f>
        <v>capacete 2 pulg</v>
      </c>
      <c r="D2171">
        <v>1</v>
      </c>
      <c r="E2171" t="s">
        <v>42</v>
      </c>
      <c r="F2171" t="s">
        <v>486</v>
      </c>
      <c r="G2171" s="1">
        <v>46260</v>
      </c>
      <c r="I2171" s="2"/>
      <c r="J2171" t="s">
        <v>487</v>
      </c>
      <c r="M2171" t="s">
        <v>14</v>
      </c>
      <c r="N2171" t="s">
        <v>14</v>
      </c>
    </row>
    <row r="2172" spans="2:14" hidden="1" x14ac:dyDescent="0.25">
      <c r="B2172" t="s">
        <v>241</v>
      </c>
      <c r="C2172" t="str">
        <f>_xlfn.XLOOKUP(B2172,Tabla2[CODIGO],Tabla2[MATERIAL],"N/A",0)</f>
        <v>capacete tuberia imc 3/4"</v>
      </c>
      <c r="D2172">
        <v>24</v>
      </c>
      <c r="E2172" t="s">
        <v>42</v>
      </c>
      <c r="F2172" t="s">
        <v>486</v>
      </c>
      <c r="G2172" s="1">
        <v>46260</v>
      </c>
      <c r="I2172" s="2"/>
      <c r="J2172" t="s">
        <v>487</v>
      </c>
      <c r="M2172" t="s">
        <v>14</v>
      </c>
      <c r="N2172" t="s">
        <v>14</v>
      </c>
    </row>
    <row r="2173" spans="2:14" hidden="1" x14ac:dyDescent="0.25">
      <c r="B2173" t="s">
        <v>351</v>
      </c>
      <c r="C2173" t="str">
        <f>_xlfn.XLOOKUP(B2173,Tabla2[CODIGO],Tabla2[MATERIAL],"N/A",0)</f>
        <v>concertina inox diametro 45cmx6m</v>
      </c>
      <c r="D2173">
        <v>102</v>
      </c>
      <c r="E2173" t="s">
        <v>43</v>
      </c>
      <c r="F2173" t="s">
        <v>486</v>
      </c>
      <c r="G2173" s="1">
        <v>46260</v>
      </c>
      <c r="I2173" s="2"/>
      <c r="J2173" t="s">
        <v>487</v>
      </c>
      <c r="M2173" t="s">
        <v>14</v>
      </c>
      <c r="N2173" t="s">
        <v>14</v>
      </c>
    </row>
    <row r="2174" spans="2:14" hidden="1" x14ac:dyDescent="0.25">
      <c r="B2174" t="s">
        <v>53</v>
      </c>
      <c r="C2174" t="str">
        <f>_xlfn.XLOOKUP(B2174,Tabla2[CODIGO],Tabla2[MATERIAL],"N/A",0)</f>
        <v>Conector de Perforacion ais kz-ep (EP95) pequeño</v>
      </c>
      <c r="D2174">
        <v>13</v>
      </c>
      <c r="E2174" t="s">
        <v>42</v>
      </c>
      <c r="F2174" t="s">
        <v>486</v>
      </c>
      <c r="G2174" s="1">
        <v>46260</v>
      </c>
      <c r="I2174" s="2"/>
      <c r="J2174" t="s">
        <v>487</v>
      </c>
      <c r="M2174" t="s">
        <v>14</v>
      </c>
      <c r="N2174" t="s">
        <v>14</v>
      </c>
    </row>
    <row r="2175" spans="2:14" hidden="1" x14ac:dyDescent="0.25">
      <c r="B2175" t="s">
        <v>54</v>
      </c>
      <c r="C2175" t="str">
        <f>_xlfn.XLOOKUP(B2175,Tabla2[CODIGO],Tabla2[MATERIAL],"N/A",0)</f>
        <v>Conector resorte 18-8</v>
      </c>
      <c r="D2175">
        <v>49</v>
      </c>
      <c r="E2175" t="s">
        <v>42</v>
      </c>
      <c r="F2175" t="s">
        <v>486</v>
      </c>
      <c r="G2175" s="1">
        <v>46260</v>
      </c>
      <c r="I2175" s="2"/>
      <c r="J2175" t="s">
        <v>487</v>
      </c>
      <c r="M2175" t="s">
        <v>14</v>
      </c>
      <c r="N2175" t="s">
        <v>14</v>
      </c>
    </row>
    <row r="2176" spans="2:14" hidden="1" x14ac:dyDescent="0.25">
      <c r="B2176" t="s">
        <v>210</v>
      </c>
      <c r="C2176" t="str">
        <f>_xlfn.XLOOKUP(B2176,Tabla2[CODIGO],Tabla2[MATERIAL],"N/A",0)</f>
        <v>Conector Varilla cooperw.</v>
      </c>
      <c r="D2176">
        <v>2</v>
      </c>
      <c r="E2176" t="s">
        <v>42</v>
      </c>
      <c r="F2176" t="s">
        <v>486</v>
      </c>
      <c r="G2176" s="1">
        <v>46260</v>
      </c>
      <c r="I2176" s="2"/>
      <c r="J2176" t="s">
        <v>487</v>
      </c>
      <c r="M2176" t="s">
        <v>14</v>
      </c>
      <c r="N2176" t="s">
        <v>14</v>
      </c>
    </row>
    <row r="2177" spans="2:14" hidden="1" x14ac:dyDescent="0.25">
      <c r="B2177" t="s">
        <v>76</v>
      </c>
      <c r="C2177" t="str">
        <f>_xlfn.XLOOKUP(B2177,Tabla2[CODIGO],Tabla2[MATERIAL],"N/A",0)</f>
        <v>Empalme gel ppal 8-4/0 a der 14-2/0 awg (grande)</v>
      </c>
      <c r="D2177">
        <v>13</v>
      </c>
      <c r="E2177" t="s">
        <v>42</v>
      </c>
      <c r="F2177" t="s">
        <v>486</v>
      </c>
      <c r="G2177" s="1">
        <v>46260</v>
      </c>
      <c r="I2177" s="2"/>
      <c r="J2177" t="s">
        <v>487</v>
      </c>
      <c r="M2177" t="s">
        <v>14</v>
      </c>
      <c r="N2177" t="s">
        <v>14</v>
      </c>
    </row>
    <row r="2178" spans="2:14" hidden="1" x14ac:dyDescent="0.25">
      <c r="B2178" t="s">
        <v>77</v>
      </c>
      <c r="C2178" t="str">
        <f>_xlfn.XLOOKUP(B2178,Tabla2[CODIGO],Tabla2[MATERIAL],"N/A",0)</f>
        <v>Empalme gel ppal 4-2/0 a der 14-6 awg (pequeño)</v>
      </c>
      <c r="D2178">
        <v>6</v>
      </c>
      <c r="E2178" t="s">
        <v>42</v>
      </c>
      <c r="F2178" t="s">
        <v>486</v>
      </c>
      <c r="G2178" s="1">
        <v>46260</v>
      </c>
      <c r="I2178" s="2"/>
      <c r="J2178" t="s">
        <v>487</v>
      </c>
      <c r="M2178" t="s">
        <v>14</v>
      </c>
      <c r="N2178" t="s">
        <v>14</v>
      </c>
    </row>
    <row r="2179" spans="2:14" hidden="1" x14ac:dyDescent="0.25">
      <c r="B2179" t="s">
        <v>60</v>
      </c>
      <c r="C2179" t="str">
        <f>_xlfn.XLOOKUP(B2179,Tabla2[CODIGO],Tabla2[MATERIAL],"N/A",0)</f>
        <v>Fotocelda</v>
      </c>
      <c r="D2179">
        <v>1</v>
      </c>
      <c r="E2179" t="s">
        <v>42</v>
      </c>
      <c r="F2179" t="s">
        <v>486</v>
      </c>
      <c r="G2179" s="1">
        <v>46260</v>
      </c>
      <c r="I2179" s="2"/>
      <c r="J2179" t="s">
        <v>487</v>
      </c>
      <c r="M2179" t="s">
        <v>14</v>
      </c>
      <c r="N2179" t="s">
        <v>14</v>
      </c>
    </row>
    <row r="2180" spans="2:14" hidden="1" x14ac:dyDescent="0.25">
      <c r="B2180" t="s">
        <v>212</v>
      </c>
      <c r="C2180" t="str">
        <f>_xlfn.XLOOKUP(B2180,Tabla2[CODIGO],Tabla2[MATERIAL],"N/A",0)</f>
        <v>Grillete galvanizado 1,1/2</v>
      </c>
      <c r="D2180">
        <v>178</v>
      </c>
      <c r="E2180" t="s">
        <v>42</v>
      </c>
      <c r="F2180" t="s">
        <v>486</v>
      </c>
      <c r="G2180" s="1">
        <v>46260</v>
      </c>
      <c r="I2180" s="2"/>
      <c r="J2180" t="s">
        <v>487</v>
      </c>
      <c r="M2180" t="s">
        <v>14</v>
      </c>
      <c r="N2180" t="s">
        <v>14</v>
      </c>
    </row>
    <row r="2181" spans="2:14" hidden="1" x14ac:dyDescent="0.25">
      <c r="B2181" t="s">
        <v>84</v>
      </c>
      <c r="C2181" t="str">
        <f>_xlfn.XLOOKUP(B2181,Tabla2[CODIGO],Tabla2[MATERIAL],"N/A",0)</f>
        <v>Luminaria 110w</v>
      </c>
      <c r="D2181">
        <v>1</v>
      </c>
      <c r="E2181" t="s">
        <v>42</v>
      </c>
      <c r="F2181" t="s">
        <v>486</v>
      </c>
      <c r="G2181" s="1">
        <v>46260</v>
      </c>
      <c r="H2181" t="s">
        <v>64</v>
      </c>
      <c r="I2181" s="2"/>
      <c r="J2181" t="s">
        <v>487</v>
      </c>
      <c r="M2181" t="s">
        <v>14</v>
      </c>
      <c r="N2181" t="s">
        <v>14</v>
      </c>
    </row>
    <row r="2182" spans="2:14" hidden="1" x14ac:dyDescent="0.25">
      <c r="B2182" t="s">
        <v>47</v>
      </c>
      <c r="C2182" t="str">
        <f>_xlfn.XLOOKUP(B2182,Tabla2[CODIGO],Tabla2[MATERIAL],"N/A",0)</f>
        <v>Luminaria 75w</v>
      </c>
      <c r="D2182">
        <v>1</v>
      </c>
      <c r="E2182" t="s">
        <v>42</v>
      </c>
      <c r="F2182" t="s">
        <v>486</v>
      </c>
      <c r="G2182" s="1">
        <v>46260</v>
      </c>
      <c r="H2182" t="s">
        <v>64</v>
      </c>
      <c r="I2182" s="2"/>
      <c r="J2182" t="s">
        <v>487</v>
      </c>
      <c r="M2182" t="s">
        <v>14</v>
      </c>
      <c r="N2182" t="s">
        <v>14</v>
      </c>
    </row>
    <row r="2183" spans="2:14" hidden="1" x14ac:dyDescent="0.25">
      <c r="B2183" t="s">
        <v>214</v>
      </c>
      <c r="C2183" t="str">
        <f>_xlfn.XLOOKUP(B2183,Tabla2[CODIGO],Tabla2[MATERIAL],"N/A",0)</f>
        <v>Marco para caja ap</v>
      </c>
      <c r="D2183">
        <v>9</v>
      </c>
      <c r="E2183" t="s">
        <v>42</v>
      </c>
      <c r="F2183" t="s">
        <v>486</v>
      </c>
      <c r="G2183" s="1">
        <v>46260</v>
      </c>
      <c r="I2183" s="2"/>
      <c r="J2183" t="s">
        <v>487</v>
      </c>
      <c r="M2183" t="s">
        <v>14</v>
      </c>
      <c r="N2183" t="s">
        <v>14</v>
      </c>
    </row>
    <row r="2184" spans="2:14" hidden="1" x14ac:dyDescent="0.25">
      <c r="B2184" t="s">
        <v>78</v>
      </c>
      <c r="C2184" t="str">
        <f>_xlfn.XLOOKUP(B2184,Tabla2[CODIGO],Tabla2[MATERIAL],"N/A",0)</f>
        <v>Tapa Concreto</v>
      </c>
      <c r="D2184">
        <v>9</v>
      </c>
      <c r="E2184" t="s">
        <v>42</v>
      </c>
      <c r="F2184" t="s">
        <v>486</v>
      </c>
      <c r="G2184" s="1">
        <v>46260</v>
      </c>
      <c r="I2184" s="2"/>
      <c r="J2184" t="s">
        <v>487</v>
      </c>
      <c r="M2184" t="s">
        <v>14</v>
      </c>
      <c r="N2184" t="s">
        <v>14</v>
      </c>
    </row>
    <row r="2185" spans="2:14" hidden="1" x14ac:dyDescent="0.25">
      <c r="B2185" t="s">
        <v>50</v>
      </c>
      <c r="C2185" t="str">
        <f>_xlfn.XLOOKUP(B2185,Tabla2[CODIGO],Tabla2[MATERIAL],"N/A",0)</f>
        <v>Percha galv 1 puesto</v>
      </c>
      <c r="D2185">
        <v>39</v>
      </c>
      <c r="E2185" t="s">
        <v>42</v>
      </c>
      <c r="F2185" t="s">
        <v>486</v>
      </c>
      <c r="G2185" s="1">
        <v>46260</v>
      </c>
      <c r="I2185" s="2"/>
      <c r="J2185" t="s">
        <v>487</v>
      </c>
      <c r="M2185" t="s">
        <v>14</v>
      </c>
      <c r="N2185" t="s">
        <v>14</v>
      </c>
    </row>
    <row r="2186" spans="2:14" hidden="1" x14ac:dyDescent="0.25">
      <c r="B2186" t="s">
        <v>82</v>
      </c>
      <c r="C2186" t="str">
        <f>_xlfn.XLOOKUP(B2186,Tabla2[CODIGO],Tabla2[MATERIAL],"N/A",0)</f>
        <v>proyector 190w</v>
      </c>
      <c r="D2186">
        <v>5</v>
      </c>
      <c r="E2186" t="s">
        <v>42</v>
      </c>
      <c r="F2186" t="s">
        <v>486</v>
      </c>
      <c r="G2186" s="1">
        <v>46260</v>
      </c>
      <c r="I2186" s="2"/>
      <c r="J2186" t="s">
        <v>487</v>
      </c>
      <c r="M2186" t="s">
        <v>14</v>
      </c>
      <c r="N2186" t="s">
        <v>14</v>
      </c>
    </row>
    <row r="2187" spans="2:14" hidden="1" x14ac:dyDescent="0.25">
      <c r="B2187" t="s">
        <v>38</v>
      </c>
      <c r="C2187" t="str">
        <f>_xlfn.XLOOKUP(B2187,Tabla2[CODIGO],Tabla2[MATERIAL],"N/A",0)</f>
        <v>Tuberia Conduflex 3/4"</v>
      </c>
      <c r="D2187">
        <v>13</v>
      </c>
      <c r="E2187" t="s">
        <v>43</v>
      </c>
      <c r="F2187" t="s">
        <v>486</v>
      </c>
      <c r="G2187" s="1">
        <v>46260</v>
      </c>
      <c r="I2187" s="2"/>
      <c r="J2187" t="s">
        <v>487</v>
      </c>
      <c r="M2187" t="s">
        <v>14</v>
      </c>
      <c r="N2187" t="s">
        <v>14</v>
      </c>
    </row>
    <row r="2188" spans="2:14" hidden="1" x14ac:dyDescent="0.25">
      <c r="B2188" t="s">
        <v>389</v>
      </c>
      <c r="C2188" t="str">
        <f>_xlfn.XLOOKUP(B2188,Tabla2[CODIGO],Tabla2[MATERIAL],"N/A",0)</f>
        <v>tubo conduit imc 2"</v>
      </c>
      <c r="D2188">
        <v>6</v>
      </c>
      <c r="E2188" t="s">
        <v>42</v>
      </c>
      <c r="F2188" t="s">
        <v>486</v>
      </c>
      <c r="G2188" s="1">
        <v>46260</v>
      </c>
      <c r="I2188" s="2"/>
      <c r="J2188" t="s">
        <v>487</v>
      </c>
      <c r="M2188" t="s">
        <v>14</v>
      </c>
      <c r="N2188" t="s">
        <v>14</v>
      </c>
    </row>
    <row r="2189" spans="2:14" hidden="1" x14ac:dyDescent="0.25">
      <c r="B2189" t="s">
        <v>239</v>
      </c>
      <c r="C2189" t="str">
        <f>_xlfn.XLOOKUP(B2189,Tabla2[CODIGO],Tabla2[MATERIAL],"N/A",0)</f>
        <v>Tubo Conduit imc 3/4"</v>
      </c>
      <c r="D2189">
        <v>17</v>
      </c>
      <c r="E2189" t="s">
        <v>42</v>
      </c>
      <c r="F2189" t="s">
        <v>486</v>
      </c>
      <c r="G2189" s="1">
        <v>46260</v>
      </c>
      <c r="I2189" s="2"/>
      <c r="J2189" t="s">
        <v>487</v>
      </c>
      <c r="M2189" t="s">
        <v>14</v>
      </c>
      <c r="N2189" t="s">
        <v>14</v>
      </c>
    </row>
    <row r="1048438" spans="2:2" x14ac:dyDescent="0.25">
      <c r="B1048438" s="8"/>
    </row>
  </sheetData>
  <phoneticPr fontId="1" type="noConversion"/>
  <pageMargins left="0.7" right="0.7" top="0.75" bottom="0.75" header="0.3" footer="0.3"/>
  <ignoredErrors>
    <ignoredError sqref="I33:I41" numberStoredAsText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52B742-2A0C-4A8A-862B-63249CD07B87}">
          <x14:formula1>
            <xm:f>MATERIALES!$H$5:$H$7</xm:f>
          </x14:formula1>
          <xm:sqref>N69:N76 O6:O2189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E24C-6B78-47CB-B440-BAB9D6B77AD5}">
  <dimension ref="B1:AA18"/>
  <sheetViews>
    <sheetView tabSelected="1" topLeftCell="N10" workbookViewId="0">
      <selection activeCell="D10" sqref="D10"/>
    </sheetView>
  </sheetViews>
  <sheetFormatPr baseColWidth="10" defaultRowHeight="15" x14ac:dyDescent="0.25"/>
  <sheetData>
    <row r="1" spans="2:27" x14ac:dyDescent="0.25">
      <c r="G1" s="40" t="s">
        <v>525</v>
      </c>
      <c r="H1" s="40"/>
      <c r="I1" s="40"/>
      <c r="J1" s="40"/>
    </row>
    <row r="2" spans="2:27" x14ac:dyDescent="0.25">
      <c r="G2" s="41"/>
      <c r="H2" s="41"/>
      <c r="I2" s="41"/>
      <c r="J2" s="41"/>
    </row>
    <row r="3" spans="2:27" x14ac:dyDescent="0.25">
      <c r="B3" s="21" t="s">
        <v>4</v>
      </c>
      <c r="C3" s="25" t="s">
        <v>0</v>
      </c>
      <c r="D3" s="25" t="s">
        <v>1</v>
      </c>
      <c r="E3" s="25" t="s">
        <v>41</v>
      </c>
      <c r="F3" s="25" t="s">
        <v>2</v>
      </c>
      <c r="G3" s="25" t="s">
        <v>9</v>
      </c>
      <c r="H3" s="25" t="s">
        <v>3</v>
      </c>
      <c r="I3" s="25" t="s">
        <v>63</v>
      </c>
      <c r="J3" s="25" t="s">
        <v>6</v>
      </c>
      <c r="K3" s="25" t="s">
        <v>5</v>
      </c>
      <c r="L3" s="25" t="s">
        <v>7</v>
      </c>
      <c r="M3" s="25" t="s">
        <v>12</v>
      </c>
      <c r="N3" s="25" t="s">
        <v>13</v>
      </c>
      <c r="O3" s="22" t="s">
        <v>8</v>
      </c>
    </row>
    <row r="4" spans="2:27" x14ac:dyDescent="0.25">
      <c r="B4" s="10" t="s">
        <v>235</v>
      </c>
      <c r="C4" s="11" t="s">
        <v>236</v>
      </c>
      <c r="D4" s="11">
        <v>9</v>
      </c>
      <c r="E4" s="11" t="s">
        <v>42</v>
      </c>
      <c r="F4" s="11" t="s">
        <v>61</v>
      </c>
      <c r="G4" s="26">
        <v>46182</v>
      </c>
      <c r="H4" s="11"/>
      <c r="I4" s="27"/>
      <c r="J4" s="11" t="s">
        <v>57</v>
      </c>
      <c r="K4" s="11">
        <v>9821</v>
      </c>
      <c r="L4" s="11" t="s">
        <v>44</v>
      </c>
      <c r="M4" s="11"/>
      <c r="N4" s="11"/>
      <c r="O4" s="23" t="s">
        <v>10</v>
      </c>
    </row>
    <row r="5" spans="2:27" x14ac:dyDescent="0.25">
      <c r="B5" s="8" t="s">
        <v>235</v>
      </c>
      <c r="C5" s="12" t="s">
        <v>236</v>
      </c>
      <c r="D5" s="12">
        <v>14</v>
      </c>
      <c r="E5" s="12" t="s">
        <v>42</v>
      </c>
      <c r="F5" s="12" t="s">
        <v>61</v>
      </c>
      <c r="G5" s="28">
        <v>46183</v>
      </c>
      <c r="H5" s="12"/>
      <c r="I5" s="29"/>
      <c r="J5" s="12" t="s">
        <v>57</v>
      </c>
      <c r="K5" s="12">
        <v>9820</v>
      </c>
      <c r="L5" s="12" t="s">
        <v>58</v>
      </c>
      <c r="M5" s="12"/>
      <c r="N5" s="12"/>
      <c r="O5" s="24" t="s">
        <v>10</v>
      </c>
    </row>
    <row r="6" spans="2:27" x14ac:dyDescent="0.25">
      <c r="B6" s="10" t="s">
        <v>216</v>
      </c>
      <c r="C6" s="11" t="s">
        <v>59</v>
      </c>
      <c r="D6" s="11">
        <v>9</v>
      </c>
      <c r="E6" s="11" t="s">
        <v>42</v>
      </c>
      <c r="F6" s="11" t="s">
        <v>61</v>
      </c>
      <c r="G6" s="26">
        <v>46182</v>
      </c>
      <c r="H6" s="11"/>
      <c r="I6" s="27"/>
      <c r="J6" s="11" t="s">
        <v>57</v>
      </c>
      <c r="K6" s="11">
        <v>9821</v>
      </c>
      <c r="L6" s="11" t="s">
        <v>44</v>
      </c>
      <c r="M6" s="11"/>
      <c r="N6" s="11"/>
      <c r="O6" s="23" t="s">
        <v>10</v>
      </c>
    </row>
    <row r="7" spans="2:27" x14ac:dyDescent="0.25">
      <c r="B7" s="8" t="s">
        <v>216</v>
      </c>
      <c r="C7" s="12" t="s">
        <v>59</v>
      </c>
      <c r="D7" s="12">
        <v>14</v>
      </c>
      <c r="E7" s="12" t="s">
        <v>42</v>
      </c>
      <c r="F7" s="12" t="s">
        <v>61</v>
      </c>
      <c r="G7" s="28">
        <v>46183</v>
      </c>
      <c r="H7" s="12"/>
      <c r="I7" s="29"/>
      <c r="J7" s="12" t="s">
        <v>57</v>
      </c>
      <c r="K7" s="12">
        <v>9820</v>
      </c>
      <c r="L7" s="12" t="s">
        <v>58</v>
      </c>
      <c r="M7" s="12"/>
      <c r="N7" s="12"/>
      <c r="O7" s="24" t="s">
        <v>10</v>
      </c>
    </row>
    <row r="8" spans="2:27" x14ac:dyDescent="0.25">
      <c r="B8" s="10" t="s">
        <v>60</v>
      </c>
      <c r="C8" s="11" t="s">
        <v>46</v>
      </c>
      <c r="D8" s="11">
        <v>9</v>
      </c>
      <c r="E8" s="11" t="s">
        <v>42</v>
      </c>
      <c r="F8" s="11" t="s">
        <v>61</v>
      </c>
      <c r="G8" s="26">
        <v>46182</v>
      </c>
      <c r="H8" s="11"/>
      <c r="I8" s="27"/>
      <c r="J8" s="11" t="s">
        <v>57</v>
      </c>
      <c r="K8" s="11">
        <v>9821</v>
      </c>
      <c r="L8" s="11" t="s">
        <v>44</v>
      </c>
      <c r="M8" s="11"/>
      <c r="N8" s="11"/>
      <c r="O8" s="23" t="s">
        <v>10</v>
      </c>
    </row>
    <row r="11" spans="2:27" x14ac:dyDescent="0.25">
      <c r="H11" s="40" t="s">
        <v>524</v>
      </c>
      <c r="I11" s="40"/>
      <c r="J11" s="40"/>
      <c r="K11" s="40"/>
    </row>
    <row r="12" spans="2:27" x14ac:dyDescent="0.25">
      <c r="H12" s="42"/>
      <c r="I12" s="42"/>
      <c r="J12" s="42"/>
      <c r="K12" s="42"/>
    </row>
    <row r="13" spans="2:27" ht="75" x14ac:dyDescent="0.25">
      <c r="B13" s="30" t="s">
        <v>488</v>
      </c>
      <c r="C13" s="31" t="s">
        <v>489</v>
      </c>
      <c r="D13" s="30" t="s">
        <v>41</v>
      </c>
      <c r="E13" s="30" t="s">
        <v>1</v>
      </c>
      <c r="F13" s="30" t="s">
        <v>9</v>
      </c>
      <c r="G13" s="30" t="s">
        <v>490</v>
      </c>
      <c r="H13" s="30" t="s">
        <v>491</v>
      </c>
      <c r="I13" s="30" t="s">
        <v>492</v>
      </c>
      <c r="J13" s="30" t="s">
        <v>493</v>
      </c>
      <c r="K13" s="30" t="s">
        <v>494</v>
      </c>
      <c r="L13" s="30" t="s">
        <v>495</v>
      </c>
      <c r="M13" s="30" t="s">
        <v>496</v>
      </c>
      <c r="N13" s="30" t="s">
        <v>497</v>
      </c>
      <c r="O13" s="30" t="s">
        <v>498</v>
      </c>
      <c r="P13" s="30" t="s">
        <v>499</v>
      </c>
      <c r="Q13" s="30" t="s">
        <v>500</v>
      </c>
      <c r="R13" s="30" t="s">
        <v>501</v>
      </c>
      <c r="S13" s="30" t="s">
        <v>12</v>
      </c>
      <c r="T13" s="30" t="s">
        <v>502</v>
      </c>
      <c r="U13" s="30" t="s">
        <v>503</v>
      </c>
      <c r="V13" s="30" t="s">
        <v>504</v>
      </c>
      <c r="W13" s="30" t="s">
        <v>505</v>
      </c>
      <c r="X13" s="30" t="s">
        <v>506</v>
      </c>
      <c r="Y13" s="30" t="s">
        <v>507</v>
      </c>
      <c r="Z13" s="30" t="s">
        <v>508</v>
      </c>
      <c r="AA13" s="30" t="s">
        <v>509</v>
      </c>
    </row>
    <row r="14" spans="2:27" x14ac:dyDescent="0.25">
      <c r="B14" s="32">
        <v>12</v>
      </c>
      <c r="C14" s="33" t="s">
        <v>510</v>
      </c>
      <c r="D14" s="33" t="s">
        <v>42</v>
      </c>
      <c r="E14" s="33">
        <v>1</v>
      </c>
      <c r="F14" s="34">
        <v>45863</v>
      </c>
      <c r="G14" s="33">
        <v>25</v>
      </c>
      <c r="H14" s="33">
        <v>7</v>
      </c>
      <c r="I14" s="33">
        <v>2025</v>
      </c>
      <c r="J14" s="33" t="s">
        <v>14</v>
      </c>
      <c r="K14" s="33" t="s">
        <v>14</v>
      </c>
      <c r="L14" s="33" t="s">
        <v>511</v>
      </c>
      <c r="M14" s="32" t="s">
        <v>512</v>
      </c>
      <c r="N14" s="33">
        <v>2</v>
      </c>
      <c r="O14" s="33">
        <v>719</v>
      </c>
      <c r="P14" s="33" t="s">
        <v>513</v>
      </c>
      <c r="Q14" s="35" t="s">
        <v>514</v>
      </c>
      <c r="R14" s="33"/>
      <c r="S14" s="33"/>
      <c r="T14" s="33" t="s">
        <v>14</v>
      </c>
      <c r="U14" s="33" t="s">
        <v>14</v>
      </c>
      <c r="V14" s="33"/>
      <c r="W14" s="35" t="s">
        <v>515</v>
      </c>
      <c r="X14" s="35" t="s">
        <v>516</v>
      </c>
      <c r="Y14" s="35"/>
      <c r="Z14" s="35"/>
      <c r="AA14" s="33">
        <v>-1</v>
      </c>
    </row>
    <row r="15" spans="2:27" x14ac:dyDescent="0.25">
      <c r="B15" s="36">
        <v>9</v>
      </c>
      <c r="C15" s="36" t="s">
        <v>517</v>
      </c>
      <c r="D15" s="36" t="s">
        <v>42</v>
      </c>
      <c r="E15" s="36">
        <v>2</v>
      </c>
      <c r="F15" s="37">
        <v>45863</v>
      </c>
      <c r="G15" s="36">
        <v>25</v>
      </c>
      <c r="H15" s="36">
        <v>7</v>
      </c>
      <c r="I15" s="36">
        <v>2025</v>
      </c>
      <c r="J15" s="36" t="s">
        <v>14</v>
      </c>
      <c r="K15" s="36" t="s">
        <v>14</v>
      </c>
      <c r="L15" s="36" t="s">
        <v>511</v>
      </c>
      <c r="M15" s="38" t="s">
        <v>512</v>
      </c>
      <c r="N15" s="36">
        <v>2</v>
      </c>
      <c r="O15" s="36" t="s">
        <v>518</v>
      </c>
      <c r="P15" s="36" t="s">
        <v>519</v>
      </c>
      <c r="Q15" s="39" t="s">
        <v>520</v>
      </c>
      <c r="R15" s="36"/>
      <c r="S15" s="36"/>
      <c r="T15" s="36" t="s">
        <v>14</v>
      </c>
      <c r="U15" s="36" t="s">
        <v>14</v>
      </c>
      <c r="V15" s="36"/>
      <c r="W15" s="39" t="s">
        <v>515</v>
      </c>
      <c r="X15" s="39" t="s">
        <v>516</v>
      </c>
      <c r="Y15" s="39"/>
      <c r="Z15" s="39"/>
      <c r="AA15" s="36">
        <v>-2</v>
      </c>
    </row>
    <row r="16" spans="2:27" x14ac:dyDescent="0.25">
      <c r="B16" s="33">
        <v>9</v>
      </c>
      <c r="C16" s="33" t="s">
        <v>517</v>
      </c>
      <c r="D16" s="33" t="s">
        <v>42</v>
      </c>
      <c r="E16" s="33">
        <v>4</v>
      </c>
      <c r="F16" s="34">
        <v>45855</v>
      </c>
      <c r="G16" s="33">
        <v>17</v>
      </c>
      <c r="H16" s="33">
        <v>7</v>
      </c>
      <c r="I16" s="33">
        <v>2025</v>
      </c>
      <c r="J16" s="33" t="s">
        <v>14</v>
      </c>
      <c r="K16" s="33" t="s">
        <v>14</v>
      </c>
      <c r="L16" s="33" t="s">
        <v>511</v>
      </c>
      <c r="M16" s="32" t="s">
        <v>512</v>
      </c>
      <c r="N16" s="33">
        <v>2</v>
      </c>
      <c r="O16" s="33">
        <v>846</v>
      </c>
      <c r="P16" s="33" t="s">
        <v>521</v>
      </c>
      <c r="Q16" s="35" t="s">
        <v>520</v>
      </c>
      <c r="R16" s="33"/>
      <c r="S16" s="33"/>
      <c r="T16" s="33" t="s">
        <v>14</v>
      </c>
      <c r="U16" s="33" t="s">
        <v>14</v>
      </c>
      <c r="V16" s="33"/>
      <c r="W16" s="35" t="s">
        <v>515</v>
      </c>
      <c r="X16" s="35" t="s">
        <v>516</v>
      </c>
      <c r="Y16" s="35"/>
      <c r="Z16" s="35"/>
      <c r="AA16" s="33">
        <v>-4</v>
      </c>
    </row>
    <row r="17" spans="2:27" x14ac:dyDescent="0.25">
      <c r="B17" s="36">
        <v>10</v>
      </c>
      <c r="C17" s="36" t="s">
        <v>522</v>
      </c>
      <c r="D17" s="36" t="s">
        <v>42</v>
      </c>
      <c r="E17" s="36">
        <v>1</v>
      </c>
      <c r="F17" s="37">
        <v>45863</v>
      </c>
      <c r="G17" s="36">
        <v>25</v>
      </c>
      <c r="H17" s="36">
        <v>7</v>
      </c>
      <c r="I17" s="36">
        <v>2025</v>
      </c>
      <c r="J17" s="36" t="s">
        <v>14</v>
      </c>
      <c r="K17" s="36" t="s">
        <v>14</v>
      </c>
      <c r="L17" s="36" t="s">
        <v>511</v>
      </c>
      <c r="M17" s="38" t="s">
        <v>512</v>
      </c>
      <c r="N17" s="36">
        <v>2</v>
      </c>
      <c r="O17" s="36">
        <v>719</v>
      </c>
      <c r="P17" s="36" t="s">
        <v>513</v>
      </c>
      <c r="Q17" s="39" t="s">
        <v>514</v>
      </c>
      <c r="R17" s="36"/>
      <c r="S17" s="36"/>
      <c r="T17" s="36" t="s">
        <v>14</v>
      </c>
      <c r="U17" s="36" t="s">
        <v>14</v>
      </c>
      <c r="V17" s="36"/>
      <c r="W17" s="39" t="s">
        <v>515</v>
      </c>
      <c r="X17" s="39" t="s">
        <v>516</v>
      </c>
      <c r="Y17" s="39"/>
      <c r="Z17" s="39"/>
      <c r="AA17" s="36">
        <v>-1</v>
      </c>
    </row>
    <row r="18" spans="2:27" x14ac:dyDescent="0.25">
      <c r="B18" s="33">
        <v>10</v>
      </c>
      <c r="C18" s="33" t="s">
        <v>522</v>
      </c>
      <c r="D18" s="33" t="s">
        <v>42</v>
      </c>
      <c r="E18" s="33">
        <v>1</v>
      </c>
      <c r="F18" s="34">
        <v>45909</v>
      </c>
      <c r="G18" s="33">
        <v>9</v>
      </c>
      <c r="H18" s="33">
        <v>9</v>
      </c>
      <c r="I18" s="33">
        <v>2025</v>
      </c>
      <c r="J18" s="33" t="s">
        <v>14</v>
      </c>
      <c r="K18" s="33" t="s">
        <v>14</v>
      </c>
      <c r="L18" s="33" t="s">
        <v>511</v>
      </c>
      <c r="M18" s="32" t="s">
        <v>512</v>
      </c>
      <c r="N18" s="33">
        <v>2</v>
      </c>
      <c r="O18" s="33">
        <v>1127</v>
      </c>
      <c r="P18" s="33" t="s">
        <v>523</v>
      </c>
      <c r="Q18" s="35" t="s">
        <v>520</v>
      </c>
      <c r="R18" s="33"/>
      <c r="S18" s="33"/>
      <c r="T18" s="33" t="s">
        <v>14</v>
      </c>
      <c r="U18" s="33" t="s">
        <v>14</v>
      </c>
      <c r="V18" s="33"/>
      <c r="W18" s="35" t="s">
        <v>515</v>
      </c>
      <c r="X18" s="35" t="s">
        <v>516</v>
      </c>
      <c r="Y18" s="35"/>
      <c r="Z18" s="35"/>
      <c r="AA18" s="33">
        <v>-1</v>
      </c>
    </row>
  </sheetData>
  <mergeCells count="2">
    <mergeCell ref="G1:J2"/>
    <mergeCell ref="H11:K12"/>
  </mergeCells>
  <conditionalFormatting sqref="AA14:AA18">
    <cfRule type="cellIs" dxfId="22" priority="1" operator="lessThan">
      <formula>0</formula>
    </cfRule>
    <cfRule type="cellIs" dxfId="21" priority="2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A83480-5A78-4AEA-84E4-0A7CFA963BFF}">
          <x14:formula1>
            <xm:f>MATERIALES!$H$5:$H$7</xm:f>
          </x14:formula1>
          <xm:sqref>O4:O8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F8B6-8DB8-4CCC-8837-137A4248DAB8}">
  <dimension ref="B3:I27"/>
  <sheetViews>
    <sheetView topLeftCell="B10" workbookViewId="0">
      <selection activeCell="G16" sqref="G16"/>
    </sheetView>
  </sheetViews>
  <sheetFormatPr baseColWidth="10" defaultRowHeight="15" x14ac:dyDescent="0.25"/>
  <cols>
    <col min="2" max="2" width="32.42578125" customWidth="1"/>
    <col min="3" max="3" width="11.28515625" customWidth="1"/>
    <col min="4" max="4" width="12.140625" customWidth="1"/>
    <col min="5" max="5" width="15.28515625" customWidth="1"/>
    <col min="6" max="6" width="5" bestFit="1" customWidth="1"/>
    <col min="7" max="7" width="45.42578125" bestFit="1" customWidth="1"/>
    <col min="8" max="8" width="22.85546875" bestFit="1" customWidth="1"/>
    <col min="9" max="9" width="10.85546875" bestFit="1" customWidth="1"/>
    <col min="10" max="10" width="12.5703125" bestFit="1" customWidth="1"/>
    <col min="11" max="11" width="19.28515625" bestFit="1" customWidth="1"/>
    <col min="12" max="12" width="23.85546875" bestFit="1" customWidth="1"/>
    <col min="13" max="13" width="24.28515625" bestFit="1" customWidth="1"/>
    <col min="14" max="16" width="5" bestFit="1" customWidth="1"/>
    <col min="17" max="17" width="11.140625" bestFit="1" customWidth="1"/>
    <col min="18" max="18" width="12.7109375" bestFit="1" customWidth="1"/>
    <col min="19" max="20" width="12.5703125" bestFit="1" customWidth="1"/>
    <col min="21" max="21" width="5" bestFit="1" customWidth="1"/>
    <col min="22" max="22" width="15.7109375" bestFit="1" customWidth="1"/>
    <col min="23" max="23" width="12.5703125" bestFit="1" customWidth="1"/>
  </cols>
  <sheetData>
    <row r="3" spans="2:9" x14ac:dyDescent="0.25">
      <c r="G3" s="4" t="s">
        <v>6</v>
      </c>
      <c r="H3" t="s">
        <v>57</v>
      </c>
    </row>
    <row r="4" spans="2:9" x14ac:dyDescent="0.25">
      <c r="B4" s="17"/>
      <c r="C4" s="17"/>
      <c r="D4" s="17"/>
      <c r="E4" s="17"/>
    </row>
    <row r="5" spans="2:9" x14ac:dyDescent="0.25">
      <c r="D5" t="s">
        <v>57</v>
      </c>
      <c r="G5" s="4" t="s">
        <v>245</v>
      </c>
      <c r="H5" s="4" t="s">
        <v>246</v>
      </c>
    </row>
    <row r="6" spans="2:9" x14ac:dyDescent="0.25">
      <c r="B6" s="13" t="s">
        <v>243</v>
      </c>
      <c r="C6" s="13" t="s">
        <v>16</v>
      </c>
      <c r="D6" s="13" t="s">
        <v>62</v>
      </c>
      <c r="E6" s="13" t="s">
        <v>477</v>
      </c>
      <c r="G6" s="20" t="s">
        <v>478</v>
      </c>
      <c r="H6" s="6" t="s">
        <v>16</v>
      </c>
      <c r="I6" s="6" t="s">
        <v>62</v>
      </c>
    </row>
    <row r="7" spans="2:9" x14ac:dyDescent="0.25">
      <c r="B7" s="14" t="s">
        <v>15</v>
      </c>
      <c r="C7" s="15">
        <v>2</v>
      </c>
      <c r="D7" s="15"/>
      <c r="E7" s="15">
        <f>+C7-D7</f>
        <v>2</v>
      </c>
      <c r="G7" s="5" t="s">
        <v>15</v>
      </c>
      <c r="H7" s="44">
        <v>2</v>
      </c>
      <c r="I7" s="44"/>
    </row>
    <row r="8" spans="2:9" x14ac:dyDescent="0.25">
      <c r="B8" s="14" t="s">
        <v>18</v>
      </c>
      <c r="C8" s="15">
        <v>2</v>
      </c>
      <c r="D8" s="15"/>
      <c r="E8" s="15">
        <f t="shared" ref="E8:E27" si="0">+C8-D8</f>
        <v>2</v>
      </c>
      <c r="G8" s="5" t="s">
        <v>18</v>
      </c>
      <c r="H8" s="44">
        <v>2</v>
      </c>
      <c r="I8" s="44"/>
    </row>
    <row r="9" spans="2:9" x14ac:dyDescent="0.25">
      <c r="B9" s="14" t="s">
        <v>218</v>
      </c>
      <c r="C9" s="15">
        <v>9</v>
      </c>
      <c r="D9" s="15">
        <v>9</v>
      </c>
      <c r="E9" s="15">
        <f t="shared" si="0"/>
        <v>0</v>
      </c>
      <c r="G9" s="5" t="s">
        <v>218</v>
      </c>
      <c r="H9" s="44">
        <v>9</v>
      </c>
      <c r="I9" s="44">
        <v>9</v>
      </c>
    </row>
    <row r="10" spans="2:9" x14ac:dyDescent="0.25">
      <c r="B10" s="14" t="s">
        <v>20</v>
      </c>
      <c r="C10" s="15">
        <v>76</v>
      </c>
      <c r="D10" s="15">
        <v>76</v>
      </c>
      <c r="E10" s="15">
        <f t="shared" si="0"/>
        <v>0</v>
      </c>
      <c r="G10" s="5" t="s">
        <v>20</v>
      </c>
      <c r="H10" s="44">
        <v>76</v>
      </c>
      <c r="I10" s="44">
        <v>76</v>
      </c>
    </row>
    <row r="11" spans="2:9" x14ac:dyDescent="0.25">
      <c r="B11" s="14" t="s">
        <v>196</v>
      </c>
      <c r="C11" s="15">
        <v>120</v>
      </c>
      <c r="D11" s="15">
        <v>110</v>
      </c>
      <c r="E11" s="15">
        <f t="shared" si="0"/>
        <v>10</v>
      </c>
      <c r="G11" s="5" t="s">
        <v>196</v>
      </c>
      <c r="H11" s="44">
        <v>120</v>
      </c>
      <c r="I11" s="44">
        <v>110</v>
      </c>
    </row>
    <row r="12" spans="2:9" x14ac:dyDescent="0.25">
      <c r="B12" s="14" t="s">
        <v>25</v>
      </c>
      <c r="C12" s="15">
        <v>6</v>
      </c>
      <c r="D12" s="15"/>
      <c r="E12" s="15">
        <f t="shared" si="0"/>
        <v>6</v>
      </c>
      <c r="G12" s="5" t="s">
        <v>25</v>
      </c>
      <c r="H12" s="44">
        <v>6</v>
      </c>
      <c r="I12" s="44"/>
    </row>
    <row r="13" spans="2:9" x14ac:dyDescent="0.25">
      <c r="B13" s="14" t="s">
        <v>26</v>
      </c>
      <c r="C13" s="15">
        <v>12</v>
      </c>
      <c r="D13" s="15">
        <v>6</v>
      </c>
      <c r="E13" s="15">
        <f t="shared" si="0"/>
        <v>6</v>
      </c>
      <c r="G13" s="5" t="s">
        <v>26</v>
      </c>
      <c r="H13" s="44">
        <v>12</v>
      </c>
      <c r="I13" s="44">
        <v>6</v>
      </c>
    </row>
    <row r="14" spans="2:9" x14ac:dyDescent="0.25">
      <c r="B14" s="14" t="s">
        <v>27</v>
      </c>
      <c r="C14" s="15">
        <v>33</v>
      </c>
      <c r="D14" s="15">
        <v>42</v>
      </c>
      <c r="E14" s="15">
        <f t="shared" si="0"/>
        <v>-9</v>
      </c>
      <c r="G14" s="5" t="s">
        <v>27</v>
      </c>
      <c r="H14" s="44">
        <v>33</v>
      </c>
      <c r="I14" s="44">
        <v>42</v>
      </c>
    </row>
    <row r="15" spans="2:9" x14ac:dyDescent="0.25">
      <c r="B15" s="14" t="s">
        <v>29</v>
      </c>
      <c r="C15" s="15">
        <v>16</v>
      </c>
      <c r="D15" s="15">
        <v>18</v>
      </c>
      <c r="E15" s="15">
        <f t="shared" si="0"/>
        <v>-2</v>
      </c>
      <c r="G15" s="5" t="s">
        <v>29</v>
      </c>
      <c r="H15" s="44">
        <v>16</v>
      </c>
      <c r="I15" s="44">
        <v>18</v>
      </c>
    </row>
    <row r="16" spans="2:9" x14ac:dyDescent="0.25">
      <c r="B16" s="14" t="s">
        <v>28</v>
      </c>
      <c r="C16" s="15">
        <v>6</v>
      </c>
      <c r="D16" s="15">
        <v>10</v>
      </c>
      <c r="E16" s="15">
        <f t="shared" si="0"/>
        <v>-4</v>
      </c>
      <c r="G16" s="5" t="s">
        <v>28</v>
      </c>
      <c r="H16" s="44">
        <v>6</v>
      </c>
      <c r="I16" s="44">
        <v>10</v>
      </c>
    </row>
    <row r="17" spans="2:9" x14ac:dyDescent="0.25">
      <c r="B17" s="14" t="s">
        <v>46</v>
      </c>
      <c r="C17" s="15">
        <v>9</v>
      </c>
      <c r="D17" s="15">
        <v>9</v>
      </c>
      <c r="E17" s="15">
        <f t="shared" si="0"/>
        <v>0</v>
      </c>
      <c r="G17" s="5" t="s">
        <v>46</v>
      </c>
      <c r="H17" s="44">
        <v>9</v>
      </c>
      <c r="I17" s="44">
        <v>9</v>
      </c>
    </row>
    <row r="18" spans="2:9" x14ac:dyDescent="0.25">
      <c r="B18" s="14" t="s">
        <v>203</v>
      </c>
      <c r="C18" s="15"/>
      <c r="D18" s="15">
        <v>2</v>
      </c>
      <c r="E18" s="15">
        <f t="shared" si="0"/>
        <v>-2</v>
      </c>
      <c r="G18" s="5" t="s">
        <v>203</v>
      </c>
      <c r="H18" s="44"/>
      <c r="I18" s="44">
        <v>2</v>
      </c>
    </row>
    <row r="19" spans="2:9" x14ac:dyDescent="0.25">
      <c r="B19" s="14" t="s">
        <v>24</v>
      </c>
      <c r="C19" s="15">
        <v>6</v>
      </c>
      <c r="D19" s="15"/>
      <c r="E19" s="15">
        <f t="shared" si="0"/>
        <v>6</v>
      </c>
      <c r="G19" s="5" t="s">
        <v>24</v>
      </c>
      <c r="H19" s="44">
        <v>6</v>
      </c>
      <c r="I19" s="44"/>
    </row>
    <row r="20" spans="2:9" x14ac:dyDescent="0.25">
      <c r="B20" s="14" t="s">
        <v>32</v>
      </c>
      <c r="C20" s="15">
        <v>2</v>
      </c>
      <c r="D20" s="15">
        <v>2</v>
      </c>
      <c r="E20" s="15">
        <f t="shared" si="0"/>
        <v>0</v>
      </c>
      <c r="G20" s="5" t="s">
        <v>32</v>
      </c>
      <c r="H20" s="44">
        <v>2</v>
      </c>
      <c r="I20" s="44">
        <v>2</v>
      </c>
    </row>
    <row r="21" spans="2:9" x14ac:dyDescent="0.25">
      <c r="B21" s="14" t="s">
        <v>48</v>
      </c>
      <c r="C21" s="15">
        <v>9</v>
      </c>
      <c r="D21" s="15">
        <v>9</v>
      </c>
      <c r="E21" s="15">
        <f t="shared" si="0"/>
        <v>0</v>
      </c>
      <c r="G21" s="5" t="s">
        <v>48</v>
      </c>
      <c r="H21" s="44">
        <v>9</v>
      </c>
      <c r="I21" s="44">
        <v>9</v>
      </c>
    </row>
    <row r="22" spans="2:9" x14ac:dyDescent="0.25">
      <c r="B22" s="14" t="s">
        <v>33</v>
      </c>
      <c r="C22" s="15">
        <v>2</v>
      </c>
      <c r="D22" s="15"/>
      <c r="E22" s="15">
        <f t="shared" si="0"/>
        <v>2</v>
      </c>
      <c r="G22" s="5" t="s">
        <v>33</v>
      </c>
      <c r="H22" s="44">
        <v>2</v>
      </c>
      <c r="I22" s="44"/>
    </row>
    <row r="23" spans="2:9" x14ac:dyDescent="0.25">
      <c r="B23" s="14" t="s">
        <v>467</v>
      </c>
      <c r="C23" s="15"/>
      <c r="D23" s="15">
        <v>2</v>
      </c>
      <c r="E23" s="15">
        <f t="shared" si="0"/>
        <v>-2</v>
      </c>
      <c r="G23" s="5" t="s">
        <v>467</v>
      </c>
      <c r="H23" s="44"/>
      <c r="I23" s="44">
        <v>2</v>
      </c>
    </row>
    <row r="24" spans="2:9" x14ac:dyDescent="0.25">
      <c r="B24" s="14" t="s">
        <v>39</v>
      </c>
      <c r="C24" s="15">
        <v>2</v>
      </c>
      <c r="D24" s="15">
        <v>2</v>
      </c>
      <c r="E24" s="15">
        <f t="shared" si="0"/>
        <v>0</v>
      </c>
      <c r="G24" s="5" t="s">
        <v>39</v>
      </c>
      <c r="H24" s="44">
        <v>2</v>
      </c>
      <c r="I24" s="44">
        <v>2</v>
      </c>
    </row>
    <row r="25" spans="2:9" x14ac:dyDescent="0.25">
      <c r="B25" s="14" t="s">
        <v>40</v>
      </c>
      <c r="C25" s="15">
        <v>2</v>
      </c>
      <c r="D25" s="15">
        <v>2</v>
      </c>
      <c r="E25" s="15">
        <f t="shared" si="0"/>
        <v>0</v>
      </c>
      <c r="G25" s="5" t="s">
        <v>40</v>
      </c>
      <c r="H25" s="44">
        <v>2</v>
      </c>
      <c r="I25" s="44">
        <v>2</v>
      </c>
    </row>
    <row r="26" spans="2:9" x14ac:dyDescent="0.25">
      <c r="B26" s="14" t="s">
        <v>34</v>
      </c>
      <c r="C26" s="15">
        <v>4</v>
      </c>
      <c r="D26" s="15">
        <v>2</v>
      </c>
      <c r="E26" s="15">
        <f t="shared" si="0"/>
        <v>2</v>
      </c>
      <c r="G26" s="5" t="s">
        <v>34</v>
      </c>
      <c r="H26" s="44">
        <v>4</v>
      </c>
      <c r="I26" s="44">
        <v>2</v>
      </c>
    </row>
    <row r="27" spans="2:9" x14ac:dyDescent="0.25">
      <c r="B27" s="14" t="s">
        <v>209</v>
      </c>
      <c r="C27" s="15"/>
      <c r="D27" s="15">
        <v>2</v>
      </c>
      <c r="E27" s="15">
        <f t="shared" si="0"/>
        <v>-2</v>
      </c>
      <c r="G27" s="5" t="s">
        <v>209</v>
      </c>
      <c r="H27" s="44"/>
      <c r="I27" s="44">
        <v>2</v>
      </c>
    </row>
  </sheetData>
  <conditionalFormatting sqref="E7:E27">
    <cfRule type="cellIs" dxfId="20" priority="1" operator="lessThan">
      <formula>0</formula>
    </cfRule>
    <cfRule type="cellIs" dxfId="19" priority="2" operator="greaterThan">
      <formula>0</formula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1BD8-1766-4ABC-9E7D-C9730F526FFF}">
  <dimension ref="B2:I49"/>
  <sheetViews>
    <sheetView workbookViewId="0">
      <selection activeCell="C54" sqref="C54"/>
    </sheetView>
  </sheetViews>
  <sheetFormatPr baseColWidth="10" defaultRowHeight="15" x14ac:dyDescent="0.25"/>
  <cols>
    <col min="1" max="1" width="13.7109375" customWidth="1"/>
    <col min="2" max="2" width="35.42578125" customWidth="1"/>
    <col min="3" max="3" width="16.140625" customWidth="1"/>
    <col min="4" max="5" width="12.5703125" customWidth="1"/>
    <col min="6" max="6" width="5" bestFit="1" customWidth="1"/>
    <col min="7" max="7" width="45.42578125" bestFit="1" customWidth="1"/>
    <col min="8" max="8" width="22.85546875" bestFit="1" customWidth="1"/>
    <col min="9" max="9" width="10.85546875" bestFit="1" customWidth="1"/>
    <col min="10" max="10" width="18.85546875" bestFit="1" customWidth="1"/>
    <col min="11" max="11" width="19.28515625" bestFit="1" customWidth="1"/>
    <col min="12" max="16" width="5" bestFit="1" customWidth="1"/>
    <col min="17" max="17" width="11.140625" bestFit="1" customWidth="1"/>
    <col min="18" max="18" width="12.7109375" bestFit="1" customWidth="1"/>
    <col min="19" max="20" width="12.5703125" bestFit="1" customWidth="1"/>
    <col min="21" max="21" width="5" bestFit="1" customWidth="1"/>
    <col min="22" max="22" width="15.7109375" bestFit="1" customWidth="1"/>
    <col min="23" max="23" width="12.5703125" bestFit="1" customWidth="1"/>
  </cols>
  <sheetData>
    <row r="2" spans="2:9" x14ac:dyDescent="0.25">
      <c r="G2" s="4" t="s">
        <v>6</v>
      </c>
      <c r="H2" t="s">
        <v>166</v>
      </c>
    </row>
    <row r="4" spans="2:9" x14ac:dyDescent="0.25">
      <c r="D4" t="s">
        <v>166</v>
      </c>
      <c r="G4" s="4" t="s">
        <v>245</v>
      </c>
      <c r="H4" s="4" t="s">
        <v>246</v>
      </c>
    </row>
    <row r="5" spans="2:9" x14ac:dyDescent="0.25">
      <c r="B5" s="13" t="s">
        <v>243</v>
      </c>
      <c r="C5" s="13" t="s">
        <v>16</v>
      </c>
      <c r="D5" s="13" t="s">
        <v>62</v>
      </c>
      <c r="E5" s="13" t="s">
        <v>477</v>
      </c>
      <c r="G5" s="20" t="s">
        <v>478</v>
      </c>
      <c r="H5" s="6" t="s">
        <v>16</v>
      </c>
      <c r="I5" s="6" t="s">
        <v>62</v>
      </c>
    </row>
    <row r="6" spans="2:9" x14ac:dyDescent="0.25">
      <c r="B6" s="14" t="s">
        <v>262</v>
      </c>
      <c r="C6" s="15">
        <v>29</v>
      </c>
      <c r="D6" s="15">
        <v>16</v>
      </c>
      <c r="E6" s="15">
        <f>+C6-D6</f>
        <v>13</v>
      </c>
      <c r="G6" s="5" t="s">
        <v>262</v>
      </c>
      <c r="H6" s="44">
        <v>29</v>
      </c>
      <c r="I6" s="44">
        <v>16</v>
      </c>
    </row>
    <row r="7" spans="2:9" x14ac:dyDescent="0.25">
      <c r="B7" s="14" t="s">
        <v>263</v>
      </c>
      <c r="C7" s="15">
        <v>12</v>
      </c>
      <c r="D7" s="15">
        <v>26</v>
      </c>
      <c r="E7" s="15">
        <f t="shared" ref="E7:E49" si="0">+C7-D7</f>
        <v>-14</v>
      </c>
      <c r="G7" s="5" t="s">
        <v>263</v>
      </c>
      <c r="H7" s="44">
        <v>12</v>
      </c>
      <c r="I7" s="44">
        <v>26</v>
      </c>
    </row>
    <row r="8" spans="2:9" x14ac:dyDescent="0.25">
      <c r="B8" s="14" t="s">
        <v>482</v>
      </c>
      <c r="C8" s="15">
        <v>6</v>
      </c>
      <c r="D8" s="15">
        <v>2</v>
      </c>
      <c r="E8" s="15">
        <f t="shared" si="0"/>
        <v>4</v>
      </c>
      <c r="G8" s="5" t="s">
        <v>482</v>
      </c>
      <c r="H8" s="44">
        <v>6</v>
      </c>
      <c r="I8" s="44">
        <v>2</v>
      </c>
    </row>
    <row r="9" spans="2:9" x14ac:dyDescent="0.25">
      <c r="B9" s="14" t="s">
        <v>249</v>
      </c>
      <c r="C9" s="15"/>
      <c r="D9" s="15">
        <v>1</v>
      </c>
      <c r="E9" s="15">
        <f t="shared" si="0"/>
        <v>-1</v>
      </c>
      <c r="G9" s="5" t="s">
        <v>249</v>
      </c>
      <c r="H9" s="44"/>
      <c r="I9" s="44">
        <v>1</v>
      </c>
    </row>
    <row r="10" spans="2:9" x14ac:dyDescent="0.25">
      <c r="B10" s="14" t="s">
        <v>191</v>
      </c>
      <c r="C10" s="15">
        <v>77</v>
      </c>
      <c r="D10" s="15">
        <v>28</v>
      </c>
      <c r="E10" s="15">
        <f t="shared" si="0"/>
        <v>49</v>
      </c>
      <c r="G10" s="5" t="s">
        <v>191</v>
      </c>
      <c r="H10" s="44">
        <v>77</v>
      </c>
      <c r="I10" s="44">
        <v>28</v>
      </c>
    </row>
    <row r="11" spans="2:9" x14ac:dyDescent="0.25">
      <c r="B11" s="14" t="s">
        <v>15</v>
      </c>
      <c r="C11" s="15"/>
      <c r="D11" s="15">
        <v>12</v>
      </c>
      <c r="E11" s="15">
        <f t="shared" si="0"/>
        <v>-12</v>
      </c>
      <c r="G11" s="5" t="s">
        <v>15</v>
      </c>
      <c r="H11" s="44"/>
      <c r="I11" s="44">
        <v>12</v>
      </c>
    </row>
    <row r="12" spans="2:9" x14ac:dyDescent="0.25">
      <c r="B12" s="14" t="s">
        <v>18</v>
      </c>
      <c r="C12" s="15">
        <v>24</v>
      </c>
      <c r="D12" s="15">
        <v>24</v>
      </c>
      <c r="E12" s="15">
        <f t="shared" si="0"/>
        <v>0</v>
      </c>
      <c r="G12" s="5" t="s">
        <v>18</v>
      </c>
      <c r="H12" s="44">
        <v>24</v>
      </c>
      <c r="I12" s="44">
        <v>24</v>
      </c>
    </row>
    <row r="13" spans="2:9" x14ac:dyDescent="0.25">
      <c r="B13" s="14" t="s">
        <v>320</v>
      </c>
      <c r="C13" s="15">
        <v>80</v>
      </c>
      <c r="D13" s="15">
        <v>93</v>
      </c>
      <c r="E13" s="15">
        <f t="shared" si="0"/>
        <v>-13</v>
      </c>
      <c r="G13" s="5" t="s">
        <v>320</v>
      </c>
      <c r="H13" s="44">
        <v>80</v>
      </c>
      <c r="I13" s="44">
        <v>93</v>
      </c>
    </row>
    <row r="14" spans="2:9" x14ac:dyDescent="0.25">
      <c r="B14" s="14" t="s">
        <v>193</v>
      </c>
      <c r="C14" s="15">
        <v>16</v>
      </c>
      <c r="D14" s="15">
        <v>14</v>
      </c>
      <c r="E14" s="15">
        <f t="shared" si="0"/>
        <v>2</v>
      </c>
      <c r="G14" s="5" t="s">
        <v>193</v>
      </c>
      <c r="H14" s="44">
        <v>16</v>
      </c>
      <c r="I14" s="44">
        <v>14</v>
      </c>
    </row>
    <row r="15" spans="2:9" x14ac:dyDescent="0.25">
      <c r="B15" s="14" t="s">
        <v>218</v>
      </c>
      <c r="C15" s="15">
        <v>57</v>
      </c>
      <c r="D15" s="15">
        <v>58</v>
      </c>
      <c r="E15" s="15">
        <f t="shared" si="0"/>
        <v>-1</v>
      </c>
      <c r="G15" s="5" t="s">
        <v>218</v>
      </c>
      <c r="H15" s="44">
        <v>57</v>
      </c>
      <c r="I15" s="44">
        <v>58</v>
      </c>
    </row>
    <row r="16" spans="2:9" x14ac:dyDescent="0.25">
      <c r="B16" s="14" t="s">
        <v>350</v>
      </c>
      <c r="C16" s="15">
        <v>160</v>
      </c>
      <c r="D16" s="15">
        <v>372</v>
      </c>
      <c r="E16" s="15">
        <f t="shared" si="0"/>
        <v>-212</v>
      </c>
      <c r="G16" s="5" t="s">
        <v>350</v>
      </c>
      <c r="H16" s="44">
        <v>160</v>
      </c>
      <c r="I16" s="44">
        <v>372</v>
      </c>
    </row>
    <row r="17" spans="2:9" x14ac:dyDescent="0.25">
      <c r="B17" s="14" t="s">
        <v>196</v>
      </c>
      <c r="C17" s="15">
        <v>469</v>
      </c>
      <c r="D17" s="15">
        <v>247</v>
      </c>
      <c r="E17" s="15">
        <f t="shared" si="0"/>
        <v>222</v>
      </c>
      <c r="G17" s="5" t="s">
        <v>196</v>
      </c>
      <c r="H17" s="44">
        <v>469</v>
      </c>
      <c r="I17" s="44">
        <v>247</v>
      </c>
    </row>
    <row r="18" spans="2:9" x14ac:dyDescent="0.25">
      <c r="B18" s="14" t="s">
        <v>195</v>
      </c>
      <c r="C18" s="15">
        <v>561</v>
      </c>
      <c r="D18" s="15">
        <v>463</v>
      </c>
      <c r="E18" s="15">
        <f t="shared" si="0"/>
        <v>98</v>
      </c>
      <c r="G18" s="5" t="s">
        <v>195</v>
      </c>
      <c r="H18" s="44">
        <v>561</v>
      </c>
      <c r="I18" s="44">
        <v>463</v>
      </c>
    </row>
    <row r="19" spans="2:9" x14ac:dyDescent="0.25">
      <c r="B19" s="14" t="s">
        <v>242</v>
      </c>
      <c r="C19" s="15">
        <v>20</v>
      </c>
      <c r="D19" s="15">
        <v>3</v>
      </c>
      <c r="E19" s="15">
        <f t="shared" si="0"/>
        <v>17</v>
      </c>
      <c r="G19" s="5" t="s">
        <v>242</v>
      </c>
      <c r="H19" s="44">
        <v>20</v>
      </c>
      <c r="I19" s="44">
        <v>3</v>
      </c>
    </row>
    <row r="20" spans="2:9" x14ac:dyDescent="0.25">
      <c r="B20" s="14" t="s">
        <v>266</v>
      </c>
      <c r="C20" s="15">
        <v>1</v>
      </c>
      <c r="D20" s="15">
        <v>1</v>
      </c>
      <c r="E20" s="15">
        <f t="shared" si="0"/>
        <v>0</v>
      </c>
      <c r="G20" s="5" t="s">
        <v>266</v>
      </c>
      <c r="H20" s="44">
        <v>1</v>
      </c>
      <c r="I20" s="44">
        <v>1</v>
      </c>
    </row>
    <row r="21" spans="2:9" x14ac:dyDescent="0.25">
      <c r="B21" s="14" t="s">
        <v>267</v>
      </c>
      <c r="C21" s="15">
        <v>3</v>
      </c>
      <c r="D21" s="15">
        <v>1</v>
      </c>
      <c r="E21" s="15">
        <f t="shared" si="0"/>
        <v>2</v>
      </c>
      <c r="G21" s="5" t="s">
        <v>267</v>
      </c>
      <c r="H21" s="44">
        <v>3</v>
      </c>
      <c r="I21" s="44">
        <v>1</v>
      </c>
    </row>
    <row r="22" spans="2:9" x14ac:dyDescent="0.25">
      <c r="B22" s="14" t="s">
        <v>25</v>
      </c>
      <c r="C22" s="15">
        <v>27</v>
      </c>
      <c r="D22" s="15">
        <v>48</v>
      </c>
      <c r="E22" s="15">
        <f t="shared" si="0"/>
        <v>-21</v>
      </c>
      <c r="G22" s="5" t="s">
        <v>25</v>
      </c>
      <c r="H22" s="44">
        <v>27</v>
      </c>
      <c r="I22" s="44">
        <v>48</v>
      </c>
    </row>
    <row r="23" spans="2:9" x14ac:dyDescent="0.25">
      <c r="B23" s="14" t="s">
        <v>26</v>
      </c>
      <c r="C23" s="15">
        <v>235</v>
      </c>
      <c r="D23" s="15">
        <v>152</v>
      </c>
      <c r="E23" s="15">
        <f t="shared" si="0"/>
        <v>83</v>
      </c>
      <c r="G23" s="5" t="s">
        <v>26</v>
      </c>
      <c r="H23" s="44">
        <v>154</v>
      </c>
      <c r="I23" s="44">
        <v>152</v>
      </c>
    </row>
    <row r="24" spans="2:9" x14ac:dyDescent="0.25">
      <c r="B24" s="14" t="s">
        <v>27</v>
      </c>
      <c r="C24" s="15">
        <v>213</v>
      </c>
      <c r="D24" s="15">
        <v>74</v>
      </c>
      <c r="E24" s="15">
        <f t="shared" si="0"/>
        <v>139</v>
      </c>
      <c r="G24" s="5" t="s">
        <v>27</v>
      </c>
      <c r="H24" s="44">
        <v>123</v>
      </c>
      <c r="I24" s="44">
        <v>74</v>
      </c>
    </row>
    <row r="25" spans="2:9" x14ac:dyDescent="0.25">
      <c r="B25" s="14" t="s">
        <v>211</v>
      </c>
      <c r="C25" s="15">
        <v>54</v>
      </c>
      <c r="D25" s="15">
        <v>18</v>
      </c>
      <c r="E25" s="15">
        <f t="shared" si="0"/>
        <v>36</v>
      </c>
      <c r="G25" s="5" t="s">
        <v>211</v>
      </c>
      <c r="H25" s="44">
        <v>28</v>
      </c>
      <c r="I25" s="44">
        <v>18</v>
      </c>
    </row>
    <row r="26" spans="2:9" x14ac:dyDescent="0.25">
      <c r="B26" s="14" t="s">
        <v>238</v>
      </c>
      <c r="C26" s="15">
        <v>10</v>
      </c>
      <c r="D26" s="15">
        <v>6.8999999999999995</v>
      </c>
      <c r="E26" s="15">
        <f t="shared" si="0"/>
        <v>3.1000000000000005</v>
      </c>
      <c r="G26" s="5" t="s">
        <v>238</v>
      </c>
      <c r="H26" s="44">
        <v>10</v>
      </c>
      <c r="I26" s="44">
        <v>6.8999999999999995</v>
      </c>
    </row>
    <row r="27" spans="2:9" x14ac:dyDescent="0.25">
      <c r="B27" s="14" t="s">
        <v>200</v>
      </c>
      <c r="C27" s="15">
        <v>10</v>
      </c>
      <c r="D27" s="15">
        <v>18</v>
      </c>
      <c r="E27" s="15">
        <f t="shared" si="0"/>
        <v>-8</v>
      </c>
      <c r="G27" s="5" t="s">
        <v>200</v>
      </c>
      <c r="H27" s="44">
        <v>10</v>
      </c>
      <c r="I27" s="44">
        <v>18</v>
      </c>
    </row>
    <row r="28" spans="2:9" x14ac:dyDescent="0.25">
      <c r="B28" s="14" t="s">
        <v>28</v>
      </c>
      <c r="C28" s="15">
        <v>48</v>
      </c>
      <c r="D28" s="15">
        <v>48</v>
      </c>
      <c r="E28" s="15">
        <f t="shared" si="0"/>
        <v>0</v>
      </c>
      <c r="G28" s="5" t="s">
        <v>28</v>
      </c>
      <c r="H28" s="44">
        <v>48</v>
      </c>
      <c r="I28" s="44">
        <v>48</v>
      </c>
    </row>
    <row r="29" spans="2:9" x14ac:dyDescent="0.25">
      <c r="B29" s="14" t="s">
        <v>46</v>
      </c>
      <c r="C29" s="15">
        <v>100</v>
      </c>
      <c r="D29" s="15">
        <v>100</v>
      </c>
      <c r="E29" s="15">
        <f t="shared" si="0"/>
        <v>0</v>
      </c>
      <c r="G29" s="5" t="s">
        <v>46</v>
      </c>
      <c r="H29" s="44">
        <v>100</v>
      </c>
      <c r="I29" s="44">
        <v>100</v>
      </c>
    </row>
    <row r="30" spans="2:9" x14ac:dyDescent="0.25">
      <c r="B30" s="14" t="s">
        <v>203</v>
      </c>
      <c r="C30" s="15">
        <v>146</v>
      </c>
      <c r="D30" s="15">
        <v>86</v>
      </c>
      <c r="E30" s="15">
        <f t="shared" si="0"/>
        <v>60</v>
      </c>
      <c r="G30" s="5" t="s">
        <v>203</v>
      </c>
      <c r="H30" s="44">
        <v>146</v>
      </c>
      <c r="I30" s="44">
        <v>86</v>
      </c>
    </row>
    <row r="31" spans="2:9" x14ac:dyDescent="0.25">
      <c r="B31" s="14" t="s">
        <v>24</v>
      </c>
      <c r="C31" s="15">
        <v>22</v>
      </c>
      <c r="D31" s="15">
        <v>52</v>
      </c>
      <c r="E31" s="15">
        <f t="shared" si="0"/>
        <v>-30</v>
      </c>
      <c r="G31" s="5" t="s">
        <v>24</v>
      </c>
      <c r="H31" s="44">
        <v>22</v>
      </c>
      <c r="I31" s="44">
        <v>52</v>
      </c>
    </row>
    <row r="32" spans="2:9" x14ac:dyDescent="0.25">
      <c r="B32" s="14" t="s">
        <v>32</v>
      </c>
      <c r="C32" s="15">
        <v>12</v>
      </c>
      <c r="D32" s="15">
        <v>17</v>
      </c>
      <c r="E32" s="15">
        <f t="shared" si="0"/>
        <v>-5</v>
      </c>
      <c r="G32" s="5" t="s">
        <v>32</v>
      </c>
      <c r="H32" s="44">
        <v>12</v>
      </c>
      <c r="I32" s="44">
        <v>17</v>
      </c>
    </row>
    <row r="33" spans="2:9" x14ac:dyDescent="0.25">
      <c r="B33" s="14" t="s">
        <v>220</v>
      </c>
      <c r="C33" s="15">
        <v>18</v>
      </c>
      <c r="D33" s="15">
        <v>17</v>
      </c>
      <c r="E33" s="15">
        <f t="shared" si="0"/>
        <v>1</v>
      </c>
      <c r="G33" s="5" t="s">
        <v>220</v>
      </c>
      <c r="H33" s="44">
        <v>18</v>
      </c>
      <c r="I33" s="44">
        <v>17</v>
      </c>
    </row>
    <row r="34" spans="2:9" x14ac:dyDescent="0.25">
      <c r="B34" s="14" t="s">
        <v>48</v>
      </c>
      <c r="C34" s="15">
        <v>40</v>
      </c>
      <c r="D34" s="15">
        <v>40</v>
      </c>
      <c r="E34" s="15">
        <f t="shared" si="0"/>
        <v>0</v>
      </c>
      <c r="G34" s="5" t="s">
        <v>48</v>
      </c>
      <c r="H34" s="44">
        <v>40</v>
      </c>
      <c r="I34" s="44">
        <v>40</v>
      </c>
    </row>
    <row r="35" spans="2:9" x14ac:dyDescent="0.25">
      <c r="B35" s="14" t="s">
        <v>215</v>
      </c>
      <c r="C35" s="15">
        <v>24</v>
      </c>
      <c r="D35" s="15">
        <v>8</v>
      </c>
      <c r="E35" s="15">
        <f t="shared" si="0"/>
        <v>16</v>
      </c>
      <c r="G35" s="5" t="s">
        <v>215</v>
      </c>
      <c r="H35" s="44">
        <v>24</v>
      </c>
      <c r="I35" s="44">
        <v>8</v>
      </c>
    </row>
    <row r="36" spans="2:9" x14ac:dyDescent="0.25">
      <c r="B36" s="14" t="s">
        <v>33</v>
      </c>
      <c r="C36" s="15">
        <v>29</v>
      </c>
      <c r="D36" s="15">
        <v>22</v>
      </c>
      <c r="E36" s="15">
        <f t="shared" si="0"/>
        <v>7</v>
      </c>
      <c r="G36" s="5" t="s">
        <v>33</v>
      </c>
      <c r="H36" s="44">
        <v>29</v>
      </c>
      <c r="I36" s="44">
        <v>22</v>
      </c>
    </row>
    <row r="37" spans="2:9" x14ac:dyDescent="0.25">
      <c r="B37" s="14" t="s">
        <v>205</v>
      </c>
      <c r="C37" s="15">
        <v>29</v>
      </c>
      <c r="D37" s="15"/>
      <c r="E37" s="15">
        <f t="shared" si="0"/>
        <v>29</v>
      </c>
      <c r="G37" s="5" t="s">
        <v>205</v>
      </c>
      <c r="H37" s="44">
        <v>29</v>
      </c>
      <c r="I37" s="44"/>
    </row>
    <row r="38" spans="2:9" x14ac:dyDescent="0.25">
      <c r="B38" s="14" t="s">
        <v>467</v>
      </c>
      <c r="C38" s="15"/>
      <c r="D38" s="15">
        <v>22</v>
      </c>
      <c r="E38" s="15">
        <f t="shared" si="0"/>
        <v>-22</v>
      </c>
      <c r="G38" s="5" t="s">
        <v>467</v>
      </c>
      <c r="H38" s="44"/>
      <c r="I38" s="44">
        <v>22</v>
      </c>
    </row>
    <row r="39" spans="2:9" x14ac:dyDescent="0.25">
      <c r="B39" s="14" t="s">
        <v>462</v>
      </c>
      <c r="C39" s="15">
        <v>12</v>
      </c>
      <c r="D39" s="15">
        <v>13</v>
      </c>
      <c r="E39" s="15">
        <f t="shared" si="0"/>
        <v>-1</v>
      </c>
      <c r="G39" s="5" t="s">
        <v>462</v>
      </c>
      <c r="H39" s="44">
        <v>12</v>
      </c>
      <c r="I39" s="44">
        <v>13</v>
      </c>
    </row>
    <row r="40" spans="2:9" x14ac:dyDescent="0.25">
      <c r="B40" s="14" t="s">
        <v>83</v>
      </c>
      <c r="C40" s="15">
        <v>42</v>
      </c>
      <c r="D40" s="15">
        <v>36</v>
      </c>
      <c r="E40" s="15">
        <f t="shared" si="0"/>
        <v>6</v>
      </c>
      <c r="G40" s="5" t="s">
        <v>83</v>
      </c>
      <c r="H40" s="44">
        <v>42</v>
      </c>
      <c r="I40" s="44">
        <v>36</v>
      </c>
    </row>
    <row r="41" spans="2:9" x14ac:dyDescent="0.25">
      <c r="B41" s="14" t="s">
        <v>291</v>
      </c>
      <c r="C41" s="15">
        <v>6</v>
      </c>
      <c r="D41" s="15">
        <v>6</v>
      </c>
      <c r="E41" s="15">
        <f t="shared" si="0"/>
        <v>0</v>
      </c>
      <c r="G41" s="5" t="s">
        <v>291</v>
      </c>
      <c r="H41" s="44">
        <v>6</v>
      </c>
      <c r="I41" s="44">
        <v>6</v>
      </c>
    </row>
    <row r="42" spans="2:9" x14ac:dyDescent="0.25">
      <c r="B42" s="14" t="s">
        <v>40</v>
      </c>
      <c r="C42" s="15">
        <v>24</v>
      </c>
      <c r="D42" s="15">
        <v>15</v>
      </c>
      <c r="E42" s="15">
        <f t="shared" si="0"/>
        <v>9</v>
      </c>
      <c r="G42" s="5" t="s">
        <v>40</v>
      </c>
      <c r="H42" s="44">
        <v>24</v>
      </c>
      <c r="I42" s="44">
        <v>15</v>
      </c>
    </row>
    <row r="43" spans="2:9" x14ac:dyDescent="0.25">
      <c r="B43" s="14" t="s">
        <v>207</v>
      </c>
      <c r="C43" s="15">
        <v>98</v>
      </c>
      <c r="D43" s="15">
        <v>4</v>
      </c>
      <c r="E43" s="15">
        <f t="shared" si="0"/>
        <v>94</v>
      </c>
      <c r="G43" s="5" t="s">
        <v>207</v>
      </c>
      <c r="H43" s="44">
        <v>98</v>
      </c>
      <c r="I43" s="44">
        <v>4</v>
      </c>
    </row>
    <row r="44" spans="2:9" x14ac:dyDescent="0.25">
      <c r="B44" s="14" t="s">
        <v>34</v>
      </c>
      <c r="C44" s="15"/>
      <c r="D44" s="15">
        <v>10.7</v>
      </c>
      <c r="E44" s="15">
        <f t="shared" si="0"/>
        <v>-10.7</v>
      </c>
      <c r="G44" s="5" t="s">
        <v>34</v>
      </c>
      <c r="H44" s="44"/>
      <c r="I44" s="44">
        <v>10.7</v>
      </c>
    </row>
    <row r="45" spans="2:9" x14ac:dyDescent="0.25">
      <c r="B45" s="14" t="s">
        <v>390</v>
      </c>
      <c r="C45" s="15"/>
      <c r="D45" s="15">
        <v>8</v>
      </c>
      <c r="E45" s="15">
        <f t="shared" si="0"/>
        <v>-8</v>
      </c>
      <c r="G45" s="5" t="s">
        <v>390</v>
      </c>
      <c r="H45" s="44"/>
      <c r="I45" s="44">
        <v>8</v>
      </c>
    </row>
    <row r="46" spans="2:9" x14ac:dyDescent="0.25">
      <c r="B46" s="14" t="s">
        <v>240</v>
      </c>
      <c r="C46" s="15">
        <v>40</v>
      </c>
      <c r="D46" s="15">
        <v>13</v>
      </c>
      <c r="E46" s="15">
        <f t="shared" si="0"/>
        <v>27</v>
      </c>
      <c r="G46" s="5" t="s">
        <v>240</v>
      </c>
      <c r="H46" s="44">
        <v>40</v>
      </c>
      <c r="I46" s="44">
        <v>13</v>
      </c>
    </row>
    <row r="47" spans="2:9" x14ac:dyDescent="0.25">
      <c r="B47" s="14" t="s">
        <v>354</v>
      </c>
      <c r="C47" s="15"/>
      <c r="D47" s="15">
        <v>34</v>
      </c>
      <c r="E47" s="15">
        <f t="shared" si="0"/>
        <v>-34</v>
      </c>
      <c r="G47" s="5" t="s">
        <v>354</v>
      </c>
      <c r="H47" s="44"/>
      <c r="I47" s="44">
        <v>34</v>
      </c>
    </row>
    <row r="48" spans="2:9" x14ac:dyDescent="0.25">
      <c r="B48" s="14" t="s">
        <v>209</v>
      </c>
      <c r="C48" s="15">
        <v>119</v>
      </c>
      <c r="D48" s="15">
        <v>26</v>
      </c>
      <c r="E48" s="15">
        <f t="shared" si="0"/>
        <v>93</v>
      </c>
      <c r="G48" s="5" t="s">
        <v>209</v>
      </c>
      <c r="H48" s="44">
        <v>119</v>
      </c>
      <c r="I48" s="44">
        <v>26</v>
      </c>
    </row>
    <row r="49" spans="2:9" x14ac:dyDescent="0.25">
      <c r="B49" s="14" t="s">
        <v>199</v>
      </c>
      <c r="C49" s="15">
        <v>23</v>
      </c>
      <c r="D49" s="15">
        <v>20</v>
      </c>
      <c r="E49" s="15">
        <f t="shared" si="0"/>
        <v>3</v>
      </c>
      <c r="G49" s="5" t="s">
        <v>199</v>
      </c>
      <c r="H49" s="44">
        <v>23</v>
      </c>
      <c r="I49" s="44">
        <v>20</v>
      </c>
    </row>
  </sheetData>
  <conditionalFormatting sqref="E6:E49">
    <cfRule type="cellIs" dxfId="18" priority="1" operator="lessThan">
      <formula>0</formula>
    </cfRule>
    <cfRule type="cellIs" dxfId="17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4237-14AC-4A13-8B11-5E74592D9A36}">
  <dimension ref="B2:I50"/>
  <sheetViews>
    <sheetView topLeftCell="A4" workbookViewId="0">
      <selection activeCell="G15" sqref="G15"/>
    </sheetView>
  </sheetViews>
  <sheetFormatPr baseColWidth="10" defaultRowHeight="15" x14ac:dyDescent="0.25"/>
  <cols>
    <col min="1" max="1" width="15.5703125" customWidth="1"/>
    <col min="2" max="2" width="45.42578125" bestFit="1" customWidth="1"/>
    <col min="3" max="5" width="12.5703125" customWidth="1"/>
    <col min="6" max="6" width="5" bestFit="1" customWidth="1"/>
    <col min="7" max="7" width="34.5703125" customWidth="1"/>
    <col min="8" max="8" width="22.85546875" bestFit="1" customWidth="1"/>
    <col min="9" max="9" width="10.85546875" bestFit="1" customWidth="1"/>
    <col min="10" max="11" width="12.5703125" bestFit="1" customWidth="1"/>
    <col min="12" max="16" width="5" bestFit="1" customWidth="1"/>
    <col min="17" max="17" width="11.140625" bestFit="1" customWidth="1"/>
    <col min="18" max="18" width="12.7109375" bestFit="1" customWidth="1"/>
    <col min="19" max="20" width="12.5703125" bestFit="1" customWidth="1"/>
    <col min="21" max="21" width="5" bestFit="1" customWidth="1"/>
    <col min="22" max="22" width="15.7109375" bestFit="1" customWidth="1"/>
    <col min="23" max="23" width="12.5703125" bestFit="1" customWidth="1"/>
  </cols>
  <sheetData>
    <row r="2" spans="2:9" x14ac:dyDescent="0.25">
      <c r="G2" s="4" t="s">
        <v>6</v>
      </c>
      <c r="H2" t="s">
        <v>289</v>
      </c>
    </row>
    <row r="4" spans="2:9" x14ac:dyDescent="0.25">
      <c r="D4" t="s">
        <v>485</v>
      </c>
      <c r="G4" s="4" t="s">
        <v>245</v>
      </c>
      <c r="H4" s="4" t="s">
        <v>246</v>
      </c>
    </row>
    <row r="5" spans="2:9" x14ac:dyDescent="0.25">
      <c r="B5" s="13" t="s">
        <v>243</v>
      </c>
      <c r="C5" s="13" t="s">
        <v>16</v>
      </c>
      <c r="D5" s="13" t="s">
        <v>62</v>
      </c>
      <c r="E5" s="13" t="s">
        <v>477</v>
      </c>
      <c r="G5" s="20" t="s">
        <v>478</v>
      </c>
      <c r="H5" s="6" t="s">
        <v>16</v>
      </c>
      <c r="I5" s="6" t="s">
        <v>62</v>
      </c>
    </row>
    <row r="6" spans="2:9" x14ac:dyDescent="0.25">
      <c r="B6" s="14" t="s">
        <v>262</v>
      </c>
      <c r="C6" s="15">
        <v>63</v>
      </c>
      <c r="D6" s="15">
        <v>36</v>
      </c>
      <c r="E6" s="15">
        <f>+C6-D6</f>
        <v>27</v>
      </c>
      <c r="G6" s="5" t="s">
        <v>262</v>
      </c>
      <c r="H6" s="44">
        <v>63</v>
      </c>
      <c r="I6" s="44">
        <v>36</v>
      </c>
    </row>
    <row r="7" spans="2:9" x14ac:dyDescent="0.25">
      <c r="B7" s="14" t="s">
        <v>191</v>
      </c>
      <c r="C7" s="15">
        <v>14</v>
      </c>
      <c r="D7" s="15">
        <v>16</v>
      </c>
      <c r="E7" s="15">
        <f t="shared" ref="E7:E50" si="0">+C7-D7</f>
        <v>-2</v>
      </c>
      <c r="G7" s="5" t="s">
        <v>191</v>
      </c>
      <c r="H7" s="44">
        <v>14</v>
      </c>
      <c r="I7" s="44">
        <v>16</v>
      </c>
    </row>
    <row r="8" spans="2:9" x14ac:dyDescent="0.25">
      <c r="B8" s="14" t="s">
        <v>15</v>
      </c>
      <c r="C8" s="15">
        <v>22</v>
      </c>
      <c r="D8" s="15">
        <v>2</v>
      </c>
      <c r="E8" s="15">
        <f t="shared" si="0"/>
        <v>20</v>
      </c>
      <c r="G8" s="5" t="s">
        <v>15</v>
      </c>
      <c r="H8" s="44">
        <v>22</v>
      </c>
      <c r="I8" s="44">
        <v>2</v>
      </c>
    </row>
    <row r="9" spans="2:9" x14ac:dyDescent="0.25">
      <c r="B9" s="14" t="s">
        <v>18</v>
      </c>
      <c r="C9" s="15">
        <v>32</v>
      </c>
      <c r="D9" s="15">
        <v>12</v>
      </c>
      <c r="E9" s="15">
        <f t="shared" si="0"/>
        <v>20</v>
      </c>
      <c r="G9" s="5" t="s">
        <v>18</v>
      </c>
      <c r="H9" s="44">
        <v>32</v>
      </c>
      <c r="I9" s="44">
        <v>12</v>
      </c>
    </row>
    <row r="10" spans="2:9" x14ac:dyDescent="0.25">
      <c r="B10" s="14" t="s">
        <v>320</v>
      </c>
      <c r="C10" s="15">
        <v>210</v>
      </c>
      <c r="D10" s="15">
        <v>166</v>
      </c>
      <c r="E10" s="15">
        <f t="shared" si="0"/>
        <v>44</v>
      </c>
      <c r="G10" s="5" t="s">
        <v>320</v>
      </c>
      <c r="H10" s="44">
        <v>210</v>
      </c>
      <c r="I10" s="44">
        <v>166</v>
      </c>
    </row>
    <row r="11" spans="2:9" x14ac:dyDescent="0.25">
      <c r="B11" s="14" t="s">
        <v>193</v>
      </c>
      <c r="C11" s="15">
        <v>3</v>
      </c>
      <c r="D11" s="15">
        <v>10</v>
      </c>
      <c r="E11" s="15">
        <f t="shared" si="0"/>
        <v>-7</v>
      </c>
      <c r="G11" s="5" t="s">
        <v>193</v>
      </c>
      <c r="H11" s="44">
        <v>3</v>
      </c>
      <c r="I11" s="44">
        <v>10</v>
      </c>
    </row>
    <row r="12" spans="2:9" x14ac:dyDescent="0.25">
      <c r="B12" s="14" t="s">
        <v>322</v>
      </c>
      <c r="C12" s="15">
        <v>2</v>
      </c>
      <c r="D12" s="15">
        <v>5</v>
      </c>
      <c r="E12" s="15">
        <f t="shared" si="0"/>
        <v>-3</v>
      </c>
      <c r="G12" s="5" t="s">
        <v>322</v>
      </c>
      <c r="H12" s="44">
        <v>2</v>
      </c>
      <c r="I12" s="44">
        <v>5</v>
      </c>
    </row>
    <row r="13" spans="2:9" x14ac:dyDescent="0.25">
      <c r="B13" s="14" t="s">
        <v>218</v>
      </c>
      <c r="C13" s="15">
        <v>98</v>
      </c>
      <c r="D13" s="15">
        <v>95</v>
      </c>
      <c r="E13" s="15">
        <f t="shared" si="0"/>
        <v>3</v>
      </c>
      <c r="G13" s="5" t="s">
        <v>218</v>
      </c>
      <c r="H13" s="44">
        <v>98</v>
      </c>
      <c r="I13" s="44">
        <v>95</v>
      </c>
    </row>
    <row r="14" spans="2:9" x14ac:dyDescent="0.25">
      <c r="B14" s="14" t="s">
        <v>350</v>
      </c>
      <c r="C14" s="15">
        <v>210</v>
      </c>
      <c r="D14" s="15">
        <v>491</v>
      </c>
      <c r="E14" s="15">
        <f t="shared" si="0"/>
        <v>-281</v>
      </c>
      <c r="G14" s="5" t="s">
        <v>350</v>
      </c>
      <c r="H14" s="44">
        <v>210</v>
      </c>
      <c r="I14" s="44">
        <v>491</v>
      </c>
    </row>
    <row r="15" spans="2:9" x14ac:dyDescent="0.25">
      <c r="B15" s="14" t="s">
        <v>469</v>
      </c>
      <c r="C15" s="15">
        <v>30</v>
      </c>
      <c r="D15" s="15">
        <v>32</v>
      </c>
      <c r="E15" s="15">
        <f t="shared" si="0"/>
        <v>-2</v>
      </c>
      <c r="G15" s="5" t="s">
        <v>469</v>
      </c>
      <c r="H15" s="44">
        <v>30</v>
      </c>
      <c r="I15" s="44">
        <v>32</v>
      </c>
    </row>
    <row r="16" spans="2:9" x14ac:dyDescent="0.25">
      <c r="B16" s="14" t="s">
        <v>20</v>
      </c>
      <c r="C16" s="15">
        <v>460</v>
      </c>
      <c r="D16" s="15"/>
      <c r="E16" s="15">
        <f t="shared" si="0"/>
        <v>460</v>
      </c>
      <c r="G16" s="5" t="s">
        <v>20</v>
      </c>
      <c r="H16" s="44">
        <v>460</v>
      </c>
      <c r="I16" s="44"/>
    </row>
    <row r="17" spans="2:9" x14ac:dyDescent="0.25">
      <c r="B17" s="14" t="s">
        <v>196</v>
      </c>
      <c r="C17" s="15">
        <v>442</v>
      </c>
      <c r="D17" s="15">
        <v>410</v>
      </c>
      <c r="E17" s="15">
        <f t="shared" si="0"/>
        <v>32</v>
      </c>
      <c r="G17" s="5" t="s">
        <v>196</v>
      </c>
      <c r="H17" s="44">
        <v>442</v>
      </c>
      <c r="I17" s="44">
        <v>410</v>
      </c>
    </row>
    <row r="18" spans="2:9" x14ac:dyDescent="0.25">
      <c r="B18" s="14" t="s">
        <v>195</v>
      </c>
      <c r="C18" s="15">
        <v>155</v>
      </c>
      <c r="D18" s="15">
        <v>98</v>
      </c>
      <c r="E18" s="15">
        <f t="shared" si="0"/>
        <v>57</v>
      </c>
      <c r="G18" s="5" t="s">
        <v>195</v>
      </c>
      <c r="H18" s="44">
        <v>155</v>
      </c>
      <c r="I18" s="44">
        <v>98</v>
      </c>
    </row>
    <row r="19" spans="2:9" x14ac:dyDescent="0.25">
      <c r="B19" s="14" t="s">
        <v>476</v>
      </c>
      <c r="C19" s="15">
        <v>1</v>
      </c>
      <c r="D19" s="15"/>
      <c r="E19" s="15">
        <f t="shared" si="0"/>
        <v>1</v>
      </c>
      <c r="G19" s="5" t="s">
        <v>476</v>
      </c>
      <c r="H19" s="44">
        <v>1</v>
      </c>
      <c r="I19" s="44"/>
    </row>
    <row r="20" spans="2:9" x14ac:dyDescent="0.25">
      <c r="B20" s="14" t="s">
        <v>242</v>
      </c>
      <c r="C20" s="15">
        <v>14</v>
      </c>
      <c r="D20" s="15">
        <v>5</v>
      </c>
      <c r="E20" s="15">
        <f t="shared" si="0"/>
        <v>9</v>
      </c>
      <c r="G20" s="5" t="s">
        <v>242</v>
      </c>
      <c r="H20" s="44">
        <v>14</v>
      </c>
      <c r="I20" s="44">
        <v>5</v>
      </c>
    </row>
    <row r="21" spans="2:9" x14ac:dyDescent="0.25">
      <c r="B21" s="14" t="s">
        <v>266</v>
      </c>
      <c r="C21" s="15">
        <v>8</v>
      </c>
      <c r="D21" s="15">
        <v>3</v>
      </c>
      <c r="E21" s="15">
        <f t="shared" si="0"/>
        <v>5</v>
      </c>
      <c r="G21" s="5" t="s">
        <v>266</v>
      </c>
      <c r="H21" s="44">
        <v>8</v>
      </c>
      <c r="I21" s="44">
        <v>3</v>
      </c>
    </row>
    <row r="22" spans="2:9" x14ac:dyDescent="0.25">
      <c r="B22" s="14" t="s">
        <v>25</v>
      </c>
      <c r="C22" s="15">
        <v>27</v>
      </c>
      <c r="D22" s="15">
        <v>27</v>
      </c>
      <c r="E22" s="15">
        <f t="shared" si="0"/>
        <v>0</v>
      </c>
      <c r="G22" s="5" t="s">
        <v>25</v>
      </c>
      <c r="H22" s="44">
        <v>27</v>
      </c>
      <c r="I22" s="44">
        <v>27</v>
      </c>
    </row>
    <row r="23" spans="2:9" x14ac:dyDescent="0.25">
      <c r="B23" s="14" t="s">
        <v>352</v>
      </c>
      <c r="C23" s="15">
        <v>96</v>
      </c>
      <c r="D23" s="15"/>
      <c r="E23" s="15">
        <f t="shared" si="0"/>
        <v>96</v>
      </c>
      <c r="G23" s="5" t="s">
        <v>352</v>
      </c>
      <c r="H23" s="44">
        <v>96</v>
      </c>
      <c r="I23" s="44"/>
    </row>
    <row r="24" spans="2:9" x14ac:dyDescent="0.25">
      <c r="B24" s="14" t="s">
        <v>26</v>
      </c>
      <c r="C24" s="15">
        <v>117</v>
      </c>
      <c r="D24" s="15">
        <v>152</v>
      </c>
      <c r="E24" s="15">
        <f t="shared" si="0"/>
        <v>-35</v>
      </c>
      <c r="G24" s="5" t="s">
        <v>26</v>
      </c>
      <c r="H24" s="44">
        <v>117</v>
      </c>
      <c r="I24" s="44">
        <v>152</v>
      </c>
    </row>
    <row r="25" spans="2:9" x14ac:dyDescent="0.25">
      <c r="B25" s="14" t="s">
        <v>27</v>
      </c>
      <c r="C25" s="15">
        <v>126</v>
      </c>
      <c r="D25" s="15">
        <v>117</v>
      </c>
      <c r="E25" s="15">
        <f t="shared" si="0"/>
        <v>9</v>
      </c>
      <c r="G25" s="5" t="s">
        <v>27</v>
      </c>
      <c r="H25" s="44">
        <v>126</v>
      </c>
      <c r="I25" s="44">
        <v>117</v>
      </c>
    </row>
    <row r="26" spans="2:9" x14ac:dyDescent="0.25">
      <c r="B26" s="14" t="s">
        <v>211</v>
      </c>
      <c r="C26" s="15">
        <v>29</v>
      </c>
      <c r="D26" s="15">
        <v>37</v>
      </c>
      <c r="E26" s="15">
        <f t="shared" si="0"/>
        <v>-8</v>
      </c>
      <c r="G26" s="5" t="s">
        <v>211</v>
      </c>
      <c r="H26" s="44">
        <v>29</v>
      </c>
      <c r="I26" s="44">
        <v>37</v>
      </c>
    </row>
    <row r="27" spans="2:9" x14ac:dyDescent="0.25">
      <c r="B27" s="14" t="s">
        <v>200</v>
      </c>
      <c r="C27" s="15">
        <v>3</v>
      </c>
      <c r="D27" s="15">
        <v>10</v>
      </c>
      <c r="E27" s="15">
        <f t="shared" si="0"/>
        <v>-7</v>
      </c>
      <c r="G27" s="5" t="s">
        <v>200</v>
      </c>
      <c r="H27" s="44">
        <v>3</v>
      </c>
      <c r="I27" s="44">
        <v>10</v>
      </c>
    </row>
    <row r="28" spans="2:9" x14ac:dyDescent="0.25">
      <c r="B28" s="14" t="s">
        <v>28</v>
      </c>
      <c r="C28" s="15">
        <v>106</v>
      </c>
      <c r="D28" s="15">
        <v>86</v>
      </c>
      <c r="E28" s="15">
        <f t="shared" si="0"/>
        <v>20</v>
      </c>
      <c r="G28" s="5" t="s">
        <v>28</v>
      </c>
      <c r="H28" s="44">
        <v>106</v>
      </c>
      <c r="I28" s="44">
        <v>86</v>
      </c>
    </row>
    <row r="29" spans="2:9" x14ac:dyDescent="0.25">
      <c r="B29" s="14" t="s">
        <v>46</v>
      </c>
      <c r="C29" s="15">
        <v>151</v>
      </c>
      <c r="D29" s="15">
        <v>150</v>
      </c>
      <c r="E29" s="15">
        <f t="shared" si="0"/>
        <v>1</v>
      </c>
      <c r="G29" s="5" t="s">
        <v>46</v>
      </c>
      <c r="H29" s="44">
        <v>151</v>
      </c>
      <c r="I29" s="44">
        <v>150</v>
      </c>
    </row>
    <row r="30" spans="2:9" x14ac:dyDescent="0.25">
      <c r="B30" s="14" t="s">
        <v>203</v>
      </c>
      <c r="C30" s="15">
        <v>162</v>
      </c>
      <c r="D30" s="15">
        <v>48</v>
      </c>
      <c r="E30" s="15">
        <f t="shared" si="0"/>
        <v>114</v>
      </c>
      <c r="G30" s="5" t="s">
        <v>203</v>
      </c>
      <c r="H30" s="44">
        <v>162</v>
      </c>
      <c r="I30" s="44">
        <v>48</v>
      </c>
    </row>
    <row r="31" spans="2:9" x14ac:dyDescent="0.25">
      <c r="B31" s="14" t="s">
        <v>24</v>
      </c>
      <c r="C31" s="15">
        <v>45</v>
      </c>
      <c r="D31" s="15">
        <v>27</v>
      </c>
      <c r="E31" s="15">
        <f t="shared" si="0"/>
        <v>18</v>
      </c>
      <c r="G31" s="5" t="s">
        <v>24</v>
      </c>
      <c r="H31" s="44">
        <v>45</v>
      </c>
      <c r="I31" s="44">
        <v>27</v>
      </c>
    </row>
    <row r="32" spans="2:9" x14ac:dyDescent="0.25">
      <c r="B32" s="14" t="s">
        <v>32</v>
      </c>
      <c r="C32" s="15">
        <v>8</v>
      </c>
      <c r="D32" s="15">
        <v>7</v>
      </c>
      <c r="E32" s="15">
        <f t="shared" si="0"/>
        <v>1</v>
      </c>
      <c r="G32" s="5" t="s">
        <v>32</v>
      </c>
      <c r="H32" s="44">
        <v>8</v>
      </c>
      <c r="I32" s="44">
        <v>7</v>
      </c>
    </row>
    <row r="33" spans="2:9" x14ac:dyDescent="0.25">
      <c r="B33" s="14" t="s">
        <v>220</v>
      </c>
      <c r="C33" s="15">
        <v>19</v>
      </c>
      <c r="D33" s="15">
        <v>19</v>
      </c>
      <c r="E33" s="15">
        <f t="shared" si="0"/>
        <v>0</v>
      </c>
      <c r="G33" s="5" t="s">
        <v>220</v>
      </c>
      <c r="H33" s="44">
        <v>19</v>
      </c>
      <c r="I33" s="44">
        <v>19</v>
      </c>
    </row>
    <row r="34" spans="2:9" x14ac:dyDescent="0.25">
      <c r="B34" s="14" t="s">
        <v>48</v>
      </c>
      <c r="C34" s="15">
        <v>82</v>
      </c>
      <c r="D34" s="15">
        <v>81</v>
      </c>
      <c r="E34" s="15">
        <f t="shared" si="0"/>
        <v>1</v>
      </c>
      <c r="G34" s="5" t="s">
        <v>48</v>
      </c>
      <c r="H34" s="44">
        <v>82</v>
      </c>
      <c r="I34" s="44">
        <v>81</v>
      </c>
    </row>
    <row r="35" spans="2:9" x14ac:dyDescent="0.25">
      <c r="B35" s="14" t="s">
        <v>215</v>
      </c>
      <c r="C35" s="15">
        <v>27</v>
      </c>
      <c r="D35" s="15">
        <v>35</v>
      </c>
      <c r="E35" s="15">
        <f t="shared" si="0"/>
        <v>-8</v>
      </c>
      <c r="G35" s="5" t="s">
        <v>215</v>
      </c>
      <c r="H35" s="44">
        <v>27</v>
      </c>
      <c r="I35" s="44">
        <v>35</v>
      </c>
    </row>
    <row r="36" spans="2:9" x14ac:dyDescent="0.25">
      <c r="B36" s="14" t="s">
        <v>33</v>
      </c>
      <c r="C36" s="15">
        <v>32</v>
      </c>
      <c r="D36" s="15">
        <v>12</v>
      </c>
      <c r="E36" s="15">
        <f t="shared" si="0"/>
        <v>20</v>
      </c>
      <c r="G36" s="5" t="s">
        <v>33</v>
      </c>
      <c r="H36" s="44">
        <v>32</v>
      </c>
      <c r="I36" s="44">
        <v>12</v>
      </c>
    </row>
    <row r="37" spans="2:9" x14ac:dyDescent="0.25">
      <c r="B37" s="14" t="s">
        <v>205</v>
      </c>
      <c r="C37" s="15"/>
      <c r="D37" s="15">
        <v>3</v>
      </c>
      <c r="E37" s="15">
        <f t="shared" si="0"/>
        <v>-3</v>
      </c>
      <c r="G37" s="5" t="s">
        <v>205</v>
      </c>
      <c r="H37" s="44"/>
      <c r="I37" s="44">
        <v>3</v>
      </c>
    </row>
    <row r="38" spans="2:9" x14ac:dyDescent="0.25">
      <c r="B38" s="14" t="s">
        <v>467</v>
      </c>
      <c r="C38" s="15">
        <v>38</v>
      </c>
      <c r="D38" s="15">
        <v>45</v>
      </c>
      <c r="E38" s="15">
        <f t="shared" si="0"/>
        <v>-7</v>
      </c>
      <c r="G38" s="5" t="s">
        <v>467</v>
      </c>
      <c r="H38" s="44">
        <v>38</v>
      </c>
      <c r="I38" s="44">
        <v>45</v>
      </c>
    </row>
    <row r="39" spans="2:9" x14ac:dyDescent="0.25">
      <c r="B39" s="14" t="s">
        <v>462</v>
      </c>
      <c r="C39" s="15">
        <v>1</v>
      </c>
      <c r="D39" s="15">
        <v>1</v>
      </c>
      <c r="E39" s="15">
        <f t="shared" si="0"/>
        <v>0</v>
      </c>
      <c r="G39" s="5" t="s">
        <v>462</v>
      </c>
      <c r="H39" s="44">
        <v>1</v>
      </c>
      <c r="I39" s="44">
        <v>1</v>
      </c>
    </row>
    <row r="40" spans="2:9" x14ac:dyDescent="0.25">
      <c r="B40" s="14" t="s">
        <v>461</v>
      </c>
      <c r="C40" s="15"/>
      <c r="D40" s="15">
        <v>1</v>
      </c>
      <c r="E40" s="15">
        <f t="shared" si="0"/>
        <v>-1</v>
      </c>
      <c r="G40" s="5" t="s">
        <v>461</v>
      </c>
      <c r="H40" s="44"/>
      <c r="I40" s="44">
        <v>1</v>
      </c>
    </row>
    <row r="41" spans="2:9" x14ac:dyDescent="0.25">
      <c r="B41" s="14" t="s">
        <v>83</v>
      </c>
      <c r="C41" s="15">
        <v>38</v>
      </c>
      <c r="D41" s="15">
        <v>38</v>
      </c>
      <c r="E41" s="15">
        <f t="shared" si="0"/>
        <v>0</v>
      </c>
      <c r="G41" s="5" t="s">
        <v>83</v>
      </c>
      <c r="H41" s="44">
        <v>38</v>
      </c>
      <c r="I41" s="44">
        <v>38</v>
      </c>
    </row>
    <row r="42" spans="2:9" x14ac:dyDescent="0.25">
      <c r="B42" s="14" t="s">
        <v>291</v>
      </c>
      <c r="C42" s="15">
        <v>12</v>
      </c>
      <c r="D42" s="15">
        <v>12</v>
      </c>
      <c r="E42" s="15">
        <f t="shared" si="0"/>
        <v>0</v>
      </c>
      <c r="G42" s="5" t="s">
        <v>291</v>
      </c>
      <c r="H42" s="44">
        <v>12</v>
      </c>
      <c r="I42" s="44">
        <v>12</v>
      </c>
    </row>
    <row r="43" spans="2:9" x14ac:dyDescent="0.25">
      <c r="B43" s="14" t="s">
        <v>40</v>
      </c>
      <c r="C43" s="15">
        <v>27</v>
      </c>
      <c r="D43" s="15">
        <v>35</v>
      </c>
      <c r="E43" s="15">
        <f t="shared" si="0"/>
        <v>-8</v>
      </c>
      <c r="G43" s="5" t="s">
        <v>40</v>
      </c>
      <c r="H43" s="44">
        <v>27</v>
      </c>
      <c r="I43" s="44">
        <v>35</v>
      </c>
    </row>
    <row r="44" spans="2:9" x14ac:dyDescent="0.25">
      <c r="B44" s="14" t="s">
        <v>207</v>
      </c>
      <c r="C44" s="15">
        <v>4</v>
      </c>
      <c r="D44" s="15">
        <v>16</v>
      </c>
      <c r="E44" s="15">
        <f t="shared" si="0"/>
        <v>-12</v>
      </c>
      <c r="G44" s="5" t="s">
        <v>207</v>
      </c>
      <c r="H44" s="44">
        <v>4</v>
      </c>
      <c r="I44" s="44">
        <v>16</v>
      </c>
    </row>
    <row r="45" spans="2:9" x14ac:dyDescent="0.25">
      <c r="B45" s="14" t="s">
        <v>34</v>
      </c>
      <c r="C45" s="15">
        <v>36</v>
      </c>
      <c r="D45" s="15">
        <v>17.899999999999999</v>
      </c>
      <c r="E45" s="15">
        <f t="shared" si="0"/>
        <v>18.100000000000001</v>
      </c>
      <c r="G45" s="5" t="s">
        <v>34</v>
      </c>
      <c r="H45" s="44">
        <v>36</v>
      </c>
      <c r="I45" s="44">
        <v>17.899999999999999</v>
      </c>
    </row>
    <row r="46" spans="2:9" x14ac:dyDescent="0.25">
      <c r="B46" s="14" t="s">
        <v>390</v>
      </c>
      <c r="C46" s="15">
        <v>2</v>
      </c>
      <c r="D46" s="15">
        <v>2</v>
      </c>
      <c r="E46" s="15">
        <f t="shared" si="0"/>
        <v>0</v>
      </c>
      <c r="G46" s="5" t="s">
        <v>390</v>
      </c>
      <c r="H46" s="44">
        <v>2</v>
      </c>
      <c r="I46" s="44">
        <v>2</v>
      </c>
    </row>
    <row r="47" spans="2:9" x14ac:dyDescent="0.25">
      <c r="B47" s="14" t="s">
        <v>240</v>
      </c>
      <c r="C47" s="15">
        <v>14</v>
      </c>
      <c r="D47" s="15">
        <v>16</v>
      </c>
      <c r="E47" s="15">
        <f t="shared" si="0"/>
        <v>-2</v>
      </c>
      <c r="G47" s="5" t="s">
        <v>240</v>
      </c>
      <c r="H47" s="44">
        <v>14</v>
      </c>
      <c r="I47" s="44">
        <v>16</v>
      </c>
    </row>
    <row r="48" spans="2:9" x14ac:dyDescent="0.25">
      <c r="B48" s="14" t="s">
        <v>354</v>
      </c>
      <c r="C48" s="15">
        <v>6</v>
      </c>
      <c r="D48" s="15">
        <v>10</v>
      </c>
      <c r="E48" s="15">
        <f t="shared" si="0"/>
        <v>-4</v>
      </c>
      <c r="G48" s="5" t="s">
        <v>354</v>
      </c>
      <c r="H48" s="44">
        <v>6</v>
      </c>
      <c r="I48" s="44">
        <v>10</v>
      </c>
    </row>
    <row r="49" spans="2:9" x14ac:dyDescent="0.25">
      <c r="B49" s="14" t="s">
        <v>209</v>
      </c>
      <c r="C49" s="15">
        <v>124</v>
      </c>
      <c r="D49" s="15">
        <v>71</v>
      </c>
      <c r="E49" s="15">
        <f t="shared" si="0"/>
        <v>53</v>
      </c>
      <c r="G49" s="5" t="s">
        <v>209</v>
      </c>
      <c r="H49" s="44">
        <v>124</v>
      </c>
      <c r="I49" s="44">
        <v>71</v>
      </c>
    </row>
    <row r="50" spans="2:9" x14ac:dyDescent="0.25">
      <c r="B50" s="14" t="s">
        <v>199</v>
      </c>
      <c r="C50" s="15">
        <v>12</v>
      </c>
      <c r="D50" s="15">
        <v>31</v>
      </c>
      <c r="E50" s="15">
        <f t="shared" si="0"/>
        <v>-19</v>
      </c>
      <c r="G50" s="5" t="s">
        <v>199</v>
      </c>
      <c r="H50" s="44">
        <v>12</v>
      </c>
      <c r="I50" s="44">
        <v>31</v>
      </c>
    </row>
  </sheetData>
  <conditionalFormatting sqref="E6:E50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DDD7-8B8A-4BDB-B1C1-D0D9FB264812}">
  <dimension ref="B3:L60"/>
  <sheetViews>
    <sheetView workbookViewId="0">
      <selection activeCell="L5" sqref="L5:L10"/>
    </sheetView>
  </sheetViews>
  <sheetFormatPr baseColWidth="10" defaultRowHeight="15" x14ac:dyDescent="0.25"/>
  <cols>
    <col min="2" max="2" width="45.42578125" bestFit="1" customWidth="1"/>
    <col min="3" max="3" width="22.85546875" bestFit="1" customWidth="1"/>
    <col min="4" max="4" width="10.85546875" bestFit="1" customWidth="1"/>
    <col min="5" max="5" width="11.28515625" bestFit="1" customWidth="1"/>
    <col min="6" max="6" width="12.5703125" bestFit="1" customWidth="1"/>
    <col min="7" max="7" width="12.5703125" customWidth="1"/>
    <col min="8" max="8" width="35.140625" customWidth="1"/>
    <col min="9" max="10" width="13" customWidth="1"/>
    <col min="11" max="11" width="14.7109375" customWidth="1"/>
  </cols>
  <sheetData>
    <row r="3" spans="2:12" x14ac:dyDescent="0.25">
      <c r="B3" s="4" t="s">
        <v>245</v>
      </c>
      <c r="C3" s="4" t="s">
        <v>246</v>
      </c>
    </row>
    <row r="4" spans="2:12" x14ac:dyDescent="0.25">
      <c r="B4" s="4" t="s">
        <v>243</v>
      </c>
      <c r="C4" t="s">
        <v>16</v>
      </c>
      <c r="D4" t="s">
        <v>62</v>
      </c>
      <c r="E4" t="s">
        <v>486</v>
      </c>
      <c r="F4" t="s">
        <v>244</v>
      </c>
      <c r="H4" s="18" t="s">
        <v>478</v>
      </c>
      <c r="I4" s="18" t="s">
        <v>16</v>
      </c>
      <c r="J4" s="18" t="s">
        <v>62</v>
      </c>
      <c r="K4" s="19" t="s">
        <v>474</v>
      </c>
      <c r="L4" s="13" t="s">
        <v>477</v>
      </c>
    </row>
    <row r="5" spans="2:12" x14ac:dyDescent="0.25">
      <c r="B5" s="5" t="s">
        <v>262</v>
      </c>
      <c r="C5" s="43">
        <v>92</v>
      </c>
      <c r="D5" s="43">
        <v>52</v>
      </c>
      <c r="E5" s="43">
        <v>39</v>
      </c>
      <c r="F5" s="43">
        <v>183</v>
      </c>
      <c r="H5" s="14" t="s">
        <v>262</v>
      </c>
      <c r="I5" s="15">
        <v>92</v>
      </c>
      <c r="J5" s="15">
        <v>52</v>
      </c>
      <c r="K5">
        <v>39</v>
      </c>
      <c r="L5" s="15">
        <f>+I5-J5-K5</f>
        <v>1</v>
      </c>
    </row>
    <row r="6" spans="2:12" x14ac:dyDescent="0.25">
      <c r="B6" s="5" t="s">
        <v>263</v>
      </c>
      <c r="C6" s="43">
        <v>12</v>
      </c>
      <c r="D6" s="43">
        <v>26</v>
      </c>
      <c r="E6" s="43">
        <v>9</v>
      </c>
      <c r="F6" s="43">
        <v>47</v>
      </c>
      <c r="H6" s="14" t="s">
        <v>263</v>
      </c>
      <c r="I6" s="15">
        <v>12</v>
      </c>
      <c r="J6" s="15">
        <v>26</v>
      </c>
      <c r="K6">
        <v>9</v>
      </c>
      <c r="L6" s="15">
        <f t="shared" ref="L6:L56" si="0">+I6-J6-K6</f>
        <v>-23</v>
      </c>
    </row>
    <row r="7" spans="2:12" x14ac:dyDescent="0.25">
      <c r="B7" s="5" t="s">
        <v>482</v>
      </c>
      <c r="C7" s="43">
        <v>6</v>
      </c>
      <c r="D7" s="43">
        <v>2</v>
      </c>
      <c r="E7" s="43">
        <v>4</v>
      </c>
      <c r="F7" s="43">
        <v>12</v>
      </c>
      <c r="H7" s="14" t="s">
        <v>482</v>
      </c>
      <c r="I7" s="15">
        <v>6</v>
      </c>
      <c r="J7" s="15">
        <v>2</v>
      </c>
      <c r="K7">
        <v>4</v>
      </c>
      <c r="L7" s="15">
        <f t="shared" si="0"/>
        <v>0</v>
      </c>
    </row>
    <row r="8" spans="2:12" x14ac:dyDescent="0.25">
      <c r="B8" s="5" t="s">
        <v>249</v>
      </c>
      <c r="C8" s="43"/>
      <c r="D8" s="43">
        <v>1</v>
      </c>
      <c r="E8" s="43"/>
      <c r="F8" s="43">
        <v>1</v>
      </c>
      <c r="H8" s="14" t="s">
        <v>249</v>
      </c>
      <c r="I8" s="15"/>
      <c r="J8" s="15">
        <v>1</v>
      </c>
      <c r="L8" s="15">
        <f t="shared" si="0"/>
        <v>-1</v>
      </c>
    </row>
    <row r="9" spans="2:12" x14ac:dyDescent="0.25">
      <c r="B9" s="5" t="s">
        <v>191</v>
      </c>
      <c r="C9" s="43">
        <v>91</v>
      </c>
      <c r="D9" s="43">
        <v>44</v>
      </c>
      <c r="E9" s="43">
        <v>41</v>
      </c>
      <c r="F9" s="43">
        <v>176</v>
      </c>
      <c r="H9" s="14" t="s">
        <v>191</v>
      </c>
      <c r="I9" s="15">
        <v>91</v>
      </c>
      <c r="J9" s="15">
        <v>44</v>
      </c>
      <c r="K9">
        <v>41</v>
      </c>
      <c r="L9" s="15">
        <f t="shared" si="0"/>
        <v>6</v>
      </c>
    </row>
    <row r="10" spans="2:12" x14ac:dyDescent="0.25">
      <c r="B10" s="5" t="s">
        <v>15</v>
      </c>
      <c r="C10" s="43">
        <v>24</v>
      </c>
      <c r="D10" s="43">
        <v>14</v>
      </c>
      <c r="E10" s="43">
        <v>1</v>
      </c>
      <c r="F10" s="43">
        <v>39</v>
      </c>
      <c r="H10" s="14" t="s">
        <v>15</v>
      </c>
      <c r="I10" s="15">
        <v>24</v>
      </c>
      <c r="J10" s="15">
        <v>14</v>
      </c>
      <c r="K10">
        <v>1</v>
      </c>
      <c r="L10" s="15">
        <f t="shared" si="0"/>
        <v>9</v>
      </c>
    </row>
    <row r="11" spans="2:12" x14ac:dyDescent="0.25">
      <c r="B11" s="5" t="s">
        <v>18</v>
      </c>
      <c r="C11" s="43">
        <v>58</v>
      </c>
      <c r="D11" s="43">
        <v>36</v>
      </c>
      <c r="E11" s="43">
        <v>33</v>
      </c>
      <c r="F11" s="43">
        <v>127</v>
      </c>
      <c r="H11" s="14" t="s">
        <v>18</v>
      </c>
      <c r="I11" s="15">
        <v>58</v>
      </c>
      <c r="J11" s="15">
        <v>36</v>
      </c>
      <c r="K11">
        <v>33</v>
      </c>
      <c r="L11" s="15">
        <f t="shared" si="0"/>
        <v>-11</v>
      </c>
    </row>
    <row r="12" spans="2:12" x14ac:dyDescent="0.25">
      <c r="B12" s="5" t="s">
        <v>320</v>
      </c>
      <c r="C12" s="43">
        <v>290</v>
      </c>
      <c r="D12" s="43">
        <v>259</v>
      </c>
      <c r="E12" s="43">
        <v>50</v>
      </c>
      <c r="F12" s="43">
        <v>599</v>
      </c>
      <c r="H12" s="14" t="s">
        <v>320</v>
      </c>
      <c r="I12" s="15">
        <v>290</v>
      </c>
      <c r="J12" s="15">
        <v>259</v>
      </c>
      <c r="K12">
        <v>50</v>
      </c>
      <c r="L12" s="15">
        <f t="shared" si="0"/>
        <v>-19</v>
      </c>
    </row>
    <row r="13" spans="2:12" x14ac:dyDescent="0.25">
      <c r="B13" s="5" t="s">
        <v>193</v>
      </c>
      <c r="C13" s="43">
        <v>19</v>
      </c>
      <c r="D13" s="43">
        <v>24</v>
      </c>
      <c r="E13" s="43"/>
      <c r="F13" s="43">
        <v>43</v>
      </c>
      <c r="H13" s="14" t="s">
        <v>193</v>
      </c>
      <c r="I13" s="15">
        <v>19</v>
      </c>
      <c r="J13" s="15">
        <v>24</v>
      </c>
      <c r="L13" s="15">
        <f t="shared" si="0"/>
        <v>-5</v>
      </c>
    </row>
    <row r="14" spans="2:12" x14ac:dyDescent="0.25">
      <c r="B14" s="5" t="s">
        <v>322</v>
      </c>
      <c r="C14" s="43">
        <v>2</v>
      </c>
      <c r="D14" s="43">
        <v>5</v>
      </c>
      <c r="E14" s="43"/>
      <c r="F14" s="43">
        <v>7</v>
      </c>
      <c r="H14" s="14" t="s">
        <v>322</v>
      </c>
      <c r="I14" s="15">
        <v>2</v>
      </c>
      <c r="J14" s="15">
        <v>5</v>
      </c>
      <c r="L14" s="15">
        <f t="shared" si="0"/>
        <v>-3</v>
      </c>
    </row>
    <row r="15" spans="2:12" x14ac:dyDescent="0.25">
      <c r="B15" s="5" t="s">
        <v>218</v>
      </c>
      <c r="C15" s="43">
        <v>164</v>
      </c>
      <c r="D15" s="43">
        <v>162</v>
      </c>
      <c r="E15" s="43">
        <v>4</v>
      </c>
      <c r="F15" s="43">
        <v>330</v>
      </c>
      <c r="H15" s="14" t="s">
        <v>218</v>
      </c>
      <c r="I15" s="15">
        <v>164</v>
      </c>
      <c r="J15" s="15">
        <v>162</v>
      </c>
      <c r="K15">
        <v>4</v>
      </c>
      <c r="L15" s="15">
        <f t="shared" si="0"/>
        <v>-2</v>
      </c>
    </row>
    <row r="16" spans="2:12" x14ac:dyDescent="0.25">
      <c r="B16" s="5" t="s">
        <v>350</v>
      </c>
      <c r="C16" s="43">
        <v>370</v>
      </c>
      <c r="D16" s="43">
        <v>863</v>
      </c>
      <c r="E16" s="43"/>
      <c r="F16" s="43">
        <v>1233</v>
      </c>
      <c r="H16" s="14" t="s">
        <v>350</v>
      </c>
      <c r="I16" s="15">
        <v>370</v>
      </c>
      <c r="J16" s="15">
        <v>863</v>
      </c>
      <c r="L16" s="15">
        <f t="shared" si="0"/>
        <v>-493</v>
      </c>
    </row>
    <row r="17" spans="2:12" x14ac:dyDescent="0.25">
      <c r="B17" s="5" t="s">
        <v>469</v>
      </c>
      <c r="C17" s="43">
        <v>30</v>
      </c>
      <c r="D17" s="43">
        <v>32</v>
      </c>
      <c r="E17" s="43"/>
      <c r="F17" s="43">
        <v>62</v>
      </c>
      <c r="H17" s="14" t="s">
        <v>469</v>
      </c>
      <c r="I17" s="15">
        <v>30</v>
      </c>
      <c r="J17" s="15">
        <v>32</v>
      </c>
      <c r="L17" s="15">
        <f t="shared" si="0"/>
        <v>-2</v>
      </c>
    </row>
    <row r="18" spans="2:12" x14ac:dyDescent="0.25">
      <c r="B18" s="5" t="s">
        <v>20</v>
      </c>
      <c r="C18" s="43">
        <v>536</v>
      </c>
      <c r="D18" s="43">
        <v>76</v>
      </c>
      <c r="E18" s="43">
        <v>460</v>
      </c>
      <c r="F18" s="43">
        <v>1072</v>
      </c>
      <c r="H18" s="14" t="s">
        <v>20</v>
      </c>
      <c r="I18" s="15">
        <v>536</v>
      </c>
      <c r="J18" s="15">
        <v>76</v>
      </c>
      <c r="K18">
        <v>460</v>
      </c>
      <c r="L18" s="15">
        <f t="shared" si="0"/>
        <v>0</v>
      </c>
    </row>
    <row r="19" spans="2:12" x14ac:dyDescent="0.25">
      <c r="B19" s="5" t="s">
        <v>196</v>
      </c>
      <c r="C19" s="43">
        <v>1031</v>
      </c>
      <c r="D19" s="43">
        <v>767</v>
      </c>
      <c r="E19" s="43">
        <v>363</v>
      </c>
      <c r="F19" s="43">
        <v>2161</v>
      </c>
      <c r="H19" s="14" t="s">
        <v>196</v>
      </c>
      <c r="I19" s="15">
        <v>1031</v>
      </c>
      <c r="J19" s="15">
        <v>767</v>
      </c>
      <c r="K19">
        <v>363</v>
      </c>
      <c r="L19" s="15">
        <f t="shared" si="0"/>
        <v>-99</v>
      </c>
    </row>
    <row r="20" spans="2:12" x14ac:dyDescent="0.25">
      <c r="B20" s="5" t="s">
        <v>195</v>
      </c>
      <c r="C20" s="43">
        <v>716</v>
      </c>
      <c r="D20" s="43">
        <v>561</v>
      </c>
      <c r="E20" s="43">
        <v>90</v>
      </c>
      <c r="F20" s="43">
        <v>1367</v>
      </c>
      <c r="H20" s="14" t="s">
        <v>195</v>
      </c>
      <c r="I20" s="15">
        <v>716</v>
      </c>
      <c r="J20" s="15">
        <v>561</v>
      </c>
      <c r="K20">
        <v>90</v>
      </c>
      <c r="L20" s="15">
        <f t="shared" si="0"/>
        <v>65</v>
      </c>
    </row>
    <row r="21" spans="2:12" x14ac:dyDescent="0.25">
      <c r="B21" s="5" t="s">
        <v>476</v>
      </c>
      <c r="C21" s="43">
        <v>1</v>
      </c>
      <c r="D21" s="43"/>
      <c r="E21" s="43">
        <v>1</v>
      </c>
      <c r="F21" s="43">
        <v>2</v>
      </c>
      <c r="H21" s="14" t="s">
        <v>476</v>
      </c>
      <c r="I21" s="15">
        <v>1</v>
      </c>
      <c r="J21" s="15">
        <v>0</v>
      </c>
      <c r="K21">
        <v>1</v>
      </c>
      <c r="L21" s="15">
        <f t="shared" si="0"/>
        <v>0</v>
      </c>
    </row>
    <row r="22" spans="2:12" x14ac:dyDescent="0.25">
      <c r="B22" s="5" t="s">
        <v>242</v>
      </c>
      <c r="C22" s="43">
        <v>34</v>
      </c>
      <c r="D22" s="43">
        <v>8</v>
      </c>
      <c r="E22" s="43">
        <v>24</v>
      </c>
      <c r="F22" s="43">
        <v>66</v>
      </c>
      <c r="H22" s="14" t="s">
        <v>242</v>
      </c>
      <c r="I22" s="15">
        <v>34</v>
      </c>
      <c r="J22" s="15">
        <v>8</v>
      </c>
      <c r="K22">
        <v>24</v>
      </c>
      <c r="L22" s="15">
        <f t="shared" si="0"/>
        <v>2</v>
      </c>
    </row>
    <row r="23" spans="2:12" x14ac:dyDescent="0.25">
      <c r="B23" s="5" t="s">
        <v>266</v>
      </c>
      <c r="C23" s="43">
        <v>9</v>
      </c>
      <c r="D23" s="43">
        <v>4</v>
      </c>
      <c r="E23" s="43"/>
      <c r="F23" s="43">
        <v>13</v>
      </c>
      <c r="H23" s="14" t="s">
        <v>266</v>
      </c>
      <c r="I23" s="15">
        <v>9</v>
      </c>
      <c r="J23" s="15">
        <v>9</v>
      </c>
      <c r="L23" s="15">
        <f t="shared" si="0"/>
        <v>0</v>
      </c>
    </row>
    <row r="24" spans="2:12" x14ac:dyDescent="0.25">
      <c r="B24" s="5" t="s">
        <v>267</v>
      </c>
      <c r="C24" s="43">
        <v>3</v>
      </c>
      <c r="D24" s="43">
        <v>1</v>
      </c>
      <c r="E24" s="43"/>
      <c r="F24" s="43">
        <v>4</v>
      </c>
      <c r="H24" s="14" t="s">
        <v>267</v>
      </c>
      <c r="I24" s="15">
        <v>3</v>
      </c>
      <c r="J24" s="15">
        <v>3</v>
      </c>
      <c r="L24" s="15">
        <f t="shared" si="0"/>
        <v>0</v>
      </c>
    </row>
    <row r="25" spans="2:12" x14ac:dyDescent="0.25">
      <c r="B25" s="5" t="s">
        <v>25</v>
      </c>
      <c r="C25" s="43">
        <v>60</v>
      </c>
      <c r="D25" s="43">
        <v>75</v>
      </c>
      <c r="E25" s="43"/>
      <c r="F25" s="43">
        <v>135</v>
      </c>
      <c r="H25" s="14" t="s">
        <v>25</v>
      </c>
      <c r="I25" s="15">
        <v>60</v>
      </c>
      <c r="J25" s="15">
        <v>75</v>
      </c>
      <c r="L25" s="15">
        <f t="shared" si="0"/>
        <v>-15</v>
      </c>
    </row>
    <row r="26" spans="2:12" x14ac:dyDescent="0.25">
      <c r="B26" s="5" t="s">
        <v>352</v>
      </c>
      <c r="C26" s="43">
        <v>96</v>
      </c>
      <c r="D26" s="43"/>
      <c r="E26" s="43">
        <v>102</v>
      </c>
      <c r="F26" s="43">
        <v>198</v>
      </c>
      <c r="H26" s="14" t="s">
        <v>352</v>
      </c>
      <c r="I26" s="15">
        <v>96</v>
      </c>
      <c r="J26" s="15">
        <v>0</v>
      </c>
      <c r="K26">
        <v>102</v>
      </c>
      <c r="L26" s="15">
        <f t="shared" si="0"/>
        <v>-6</v>
      </c>
    </row>
    <row r="27" spans="2:12" x14ac:dyDescent="0.25">
      <c r="B27" s="5" t="s">
        <v>26</v>
      </c>
      <c r="C27" s="43">
        <v>283</v>
      </c>
      <c r="D27" s="43">
        <v>310</v>
      </c>
      <c r="E27" s="43">
        <v>13</v>
      </c>
      <c r="F27" s="43">
        <v>606</v>
      </c>
      <c r="H27" s="14" t="s">
        <v>26</v>
      </c>
      <c r="I27" s="15">
        <v>283</v>
      </c>
      <c r="J27" s="15">
        <v>310</v>
      </c>
      <c r="K27">
        <v>13</v>
      </c>
      <c r="L27" s="15">
        <f t="shared" si="0"/>
        <v>-40</v>
      </c>
    </row>
    <row r="28" spans="2:12" x14ac:dyDescent="0.25">
      <c r="B28" s="5" t="s">
        <v>27</v>
      </c>
      <c r="C28" s="43">
        <v>282</v>
      </c>
      <c r="D28" s="43">
        <v>233</v>
      </c>
      <c r="E28" s="43">
        <v>49</v>
      </c>
      <c r="F28" s="43">
        <v>564</v>
      </c>
      <c r="H28" s="14" t="s">
        <v>27</v>
      </c>
      <c r="I28" s="15">
        <v>282</v>
      </c>
      <c r="J28" s="15">
        <v>233</v>
      </c>
      <c r="K28">
        <v>49</v>
      </c>
      <c r="L28" s="15">
        <f t="shared" si="0"/>
        <v>0</v>
      </c>
    </row>
    <row r="29" spans="2:12" x14ac:dyDescent="0.25">
      <c r="B29" s="5" t="s">
        <v>211</v>
      </c>
      <c r="C29" s="43">
        <v>57</v>
      </c>
      <c r="D29" s="43">
        <v>55</v>
      </c>
      <c r="E29" s="43">
        <v>2</v>
      </c>
      <c r="F29" s="43">
        <v>114</v>
      </c>
      <c r="H29" s="14" t="s">
        <v>211</v>
      </c>
      <c r="I29" s="15">
        <v>57</v>
      </c>
      <c r="J29" s="15">
        <v>55</v>
      </c>
      <c r="K29">
        <v>2</v>
      </c>
      <c r="L29" s="15">
        <f t="shared" si="0"/>
        <v>0</v>
      </c>
    </row>
    <row r="30" spans="2:12" x14ac:dyDescent="0.25">
      <c r="B30" s="5" t="s">
        <v>238</v>
      </c>
      <c r="C30" s="43">
        <v>10</v>
      </c>
      <c r="D30" s="43">
        <v>6.8999999999999995</v>
      </c>
      <c r="E30" s="43"/>
      <c r="F30" s="43">
        <v>16.899999999999999</v>
      </c>
      <c r="H30" s="14" t="s">
        <v>238</v>
      </c>
      <c r="I30" s="15">
        <v>10</v>
      </c>
      <c r="J30" s="15">
        <v>10</v>
      </c>
      <c r="L30" s="15">
        <f t="shared" si="0"/>
        <v>0</v>
      </c>
    </row>
    <row r="31" spans="2:12" x14ac:dyDescent="0.25">
      <c r="B31" s="5" t="s">
        <v>200</v>
      </c>
      <c r="C31" s="43">
        <v>13</v>
      </c>
      <c r="D31" s="43">
        <v>28</v>
      </c>
      <c r="E31" s="43"/>
      <c r="F31" s="43">
        <v>41</v>
      </c>
      <c r="H31" s="14" t="s">
        <v>200</v>
      </c>
      <c r="I31" s="15">
        <v>13</v>
      </c>
      <c r="J31" s="15">
        <v>28</v>
      </c>
      <c r="L31" s="15">
        <f t="shared" si="0"/>
        <v>-15</v>
      </c>
    </row>
    <row r="32" spans="2:12" x14ac:dyDescent="0.25">
      <c r="B32" s="5" t="s">
        <v>29</v>
      </c>
      <c r="C32" s="43">
        <v>16</v>
      </c>
      <c r="D32" s="43">
        <v>18</v>
      </c>
      <c r="E32" s="43">
        <v>6</v>
      </c>
      <c r="F32" s="43">
        <v>40</v>
      </c>
      <c r="H32" s="14" t="s">
        <v>29</v>
      </c>
      <c r="I32" s="15">
        <v>16</v>
      </c>
      <c r="J32" s="15">
        <v>18</v>
      </c>
      <c r="K32">
        <v>6</v>
      </c>
      <c r="L32" s="15">
        <f t="shared" si="0"/>
        <v>-8</v>
      </c>
    </row>
    <row r="33" spans="2:12" x14ac:dyDescent="0.25">
      <c r="B33" s="5" t="s">
        <v>28</v>
      </c>
      <c r="C33" s="43">
        <v>160</v>
      </c>
      <c r="D33" s="43">
        <v>144</v>
      </c>
      <c r="E33" s="43">
        <v>13</v>
      </c>
      <c r="F33" s="43">
        <v>317</v>
      </c>
      <c r="H33" s="14" t="s">
        <v>28</v>
      </c>
      <c r="I33" s="15">
        <v>160</v>
      </c>
      <c r="J33" s="15">
        <v>144</v>
      </c>
      <c r="K33">
        <v>13</v>
      </c>
      <c r="L33" s="15">
        <f t="shared" si="0"/>
        <v>3</v>
      </c>
    </row>
    <row r="34" spans="2:12" x14ac:dyDescent="0.25">
      <c r="B34" s="5" t="s">
        <v>46</v>
      </c>
      <c r="C34" s="43">
        <v>260</v>
      </c>
      <c r="D34" s="43">
        <v>259</v>
      </c>
      <c r="E34" s="43">
        <v>1</v>
      </c>
      <c r="F34" s="43">
        <v>520</v>
      </c>
      <c r="H34" s="14" t="s">
        <v>46</v>
      </c>
      <c r="I34" s="15">
        <v>260</v>
      </c>
      <c r="J34" s="15">
        <v>259</v>
      </c>
      <c r="K34">
        <v>1</v>
      </c>
      <c r="L34" s="15">
        <f t="shared" si="0"/>
        <v>0</v>
      </c>
    </row>
    <row r="35" spans="2:12" x14ac:dyDescent="0.25">
      <c r="B35" s="5" t="s">
        <v>203</v>
      </c>
      <c r="C35" s="43">
        <v>308</v>
      </c>
      <c r="D35" s="43">
        <v>136</v>
      </c>
      <c r="E35" s="43">
        <v>178</v>
      </c>
      <c r="F35" s="43">
        <v>622</v>
      </c>
      <c r="H35" s="14" t="s">
        <v>203</v>
      </c>
      <c r="I35" s="15">
        <v>308</v>
      </c>
      <c r="J35" s="15">
        <v>136</v>
      </c>
      <c r="K35">
        <v>178</v>
      </c>
      <c r="L35" s="15">
        <f t="shared" si="0"/>
        <v>-6</v>
      </c>
    </row>
    <row r="36" spans="2:12" x14ac:dyDescent="0.25">
      <c r="B36" s="5" t="s">
        <v>24</v>
      </c>
      <c r="C36" s="43">
        <v>73</v>
      </c>
      <c r="D36" s="43">
        <v>79</v>
      </c>
      <c r="E36" s="43"/>
      <c r="F36" s="43">
        <v>152</v>
      </c>
      <c r="H36" s="14" t="s">
        <v>24</v>
      </c>
      <c r="I36" s="15">
        <v>73</v>
      </c>
      <c r="J36" s="15">
        <v>79</v>
      </c>
      <c r="L36" s="15">
        <f t="shared" si="0"/>
        <v>-6</v>
      </c>
    </row>
    <row r="37" spans="2:12" x14ac:dyDescent="0.25">
      <c r="B37" s="5" t="s">
        <v>32</v>
      </c>
      <c r="C37" s="43">
        <v>22</v>
      </c>
      <c r="D37" s="43">
        <v>26</v>
      </c>
      <c r="E37" s="43"/>
      <c r="F37" s="43">
        <v>48</v>
      </c>
      <c r="H37" s="14" t="s">
        <v>32</v>
      </c>
      <c r="I37" s="15">
        <v>22</v>
      </c>
      <c r="J37" s="15">
        <v>26</v>
      </c>
      <c r="L37" s="15">
        <f t="shared" si="0"/>
        <v>-4</v>
      </c>
    </row>
    <row r="38" spans="2:12" x14ac:dyDescent="0.25">
      <c r="B38" s="5" t="s">
        <v>220</v>
      </c>
      <c r="C38" s="43">
        <v>37</v>
      </c>
      <c r="D38" s="43">
        <v>36</v>
      </c>
      <c r="E38" s="43">
        <v>1</v>
      </c>
      <c r="F38" s="43">
        <v>74</v>
      </c>
      <c r="H38" s="14" t="s">
        <v>220</v>
      </c>
      <c r="I38" s="15">
        <v>37</v>
      </c>
      <c r="J38" s="15">
        <v>36</v>
      </c>
      <c r="K38">
        <v>1</v>
      </c>
      <c r="L38" s="15">
        <f t="shared" si="0"/>
        <v>0</v>
      </c>
    </row>
    <row r="39" spans="2:12" x14ac:dyDescent="0.25">
      <c r="B39" s="5" t="s">
        <v>48</v>
      </c>
      <c r="C39" s="43">
        <v>131</v>
      </c>
      <c r="D39" s="43">
        <v>130</v>
      </c>
      <c r="E39" s="43">
        <v>1</v>
      </c>
      <c r="F39" s="43">
        <v>262</v>
      </c>
      <c r="H39" s="14" t="s">
        <v>48</v>
      </c>
      <c r="I39" s="15">
        <v>131</v>
      </c>
      <c r="J39" s="15">
        <v>130</v>
      </c>
      <c r="K39">
        <v>1</v>
      </c>
      <c r="L39" s="15">
        <f t="shared" si="0"/>
        <v>0</v>
      </c>
    </row>
    <row r="40" spans="2:12" x14ac:dyDescent="0.25">
      <c r="B40" s="5" t="s">
        <v>215</v>
      </c>
      <c r="C40" s="43">
        <v>51</v>
      </c>
      <c r="D40" s="43">
        <v>43</v>
      </c>
      <c r="E40" s="43">
        <v>9</v>
      </c>
      <c r="F40" s="43">
        <v>103</v>
      </c>
      <c r="H40" s="14" t="s">
        <v>215</v>
      </c>
      <c r="I40" s="15">
        <v>51</v>
      </c>
      <c r="J40" s="15">
        <v>43</v>
      </c>
      <c r="K40">
        <v>9</v>
      </c>
      <c r="L40" s="15">
        <f t="shared" si="0"/>
        <v>-1</v>
      </c>
    </row>
    <row r="41" spans="2:12" x14ac:dyDescent="0.25">
      <c r="B41" s="5" t="s">
        <v>33</v>
      </c>
      <c r="C41" s="43">
        <v>63</v>
      </c>
      <c r="D41" s="43">
        <v>34</v>
      </c>
      <c r="E41" s="43">
        <v>39</v>
      </c>
      <c r="F41" s="43">
        <v>136</v>
      </c>
      <c r="H41" s="14" t="s">
        <v>33</v>
      </c>
      <c r="I41" s="15">
        <v>63</v>
      </c>
      <c r="J41" s="15">
        <v>34</v>
      </c>
      <c r="K41">
        <v>39</v>
      </c>
      <c r="L41" s="15">
        <f t="shared" si="0"/>
        <v>-10</v>
      </c>
    </row>
    <row r="42" spans="2:12" x14ac:dyDescent="0.25">
      <c r="B42" s="5" t="s">
        <v>205</v>
      </c>
      <c r="C42" s="43">
        <v>29</v>
      </c>
      <c r="D42" s="43">
        <v>3</v>
      </c>
      <c r="E42" s="43"/>
      <c r="F42" s="43">
        <v>32</v>
      </c>
      <c r="H42" s="14" t="s">
        <v>205</v>
      </c>
      <c r="I42" s="15">
        <v>29</v>
      </c>
      <c r="J42" s="15">
        <v>3</v>
      </c>
      <c r="L42" s="15">
        <f t="shared" si="0"/>
        <v>26</v>
      </c>
    </row>
    <row r="43" spans="2:12" x14ac:dyDescent="0.25">
      <c r="B43" s="5" t="s">
        <v>467</v>
      </c>
      <c r="C43" s="43">
        <v>38</v>
      </c>
      <c r="D43" s="43">
        <v>69</v>
      </c>
      <c r="E43" s="43"/>
      <c r="F43" s="43">
        <v>107</v>
      </c>
      <c r="H43" s="14" t="s">
        <v>467</v>
      </c>
      <c r="I43" s="15">
        <v>38</v>
      </c>
      <c r="J43" s="15">
        <v>69</v>
      </c>
      <c r="L43" s="15">
        <f t="shared" si="0"/>
        <v>-31</v>
      </c>
    </row>
    <row r="44" spans="2:12" x14ac:dyDescent="0.25">
      <c r="B44" s="5" t="s">
        <v>462</v>
      </c>
      <c r="C44" s="43">
        <v>13</v>
      </c>
      <c r="D44" s="43">
        <v>14</v>
      </c>
      <c r="E44" s="43"/>
      <c r="F44" s="43">
        <v>27</v>
      </c>
      <c r="H44" s="14" t="s">
        <v>462</v>
      </c>
      <c r="I44" s="15">
        <v>13</v>
      </c>
      <c r="J44" s="15">
        <v>14</v>
      </c>
      <c r="L44" s="15">
        <f t="shared" si="0"/>
        <v>-1</v>
      </c>
    </row>
    <row r="45" spans="2:12" x14ac:dyDescent="0.25">
      <c r="B45" s="5" t="s">
        <v>461</v>
      </c>
      <c r="C45" s="43"/>
      <c r="D45" s="43">
        <v>1</v>
      </c>
      <c r="E45" s="43"/>
      <c r="F45" s="43">
        <v>1</v>
      </c>
      <c r="H45" s="14" t="s">
        <v>461</v>
      </c>
      <c r="I45" s="15">
        <v>1</v>
      </c>
      <c r="J45" s="15">
        <v>1</v>
      </c>
      <c r="L45" s="15">
        <f t="shared" si="0"/>
        <v>0</v>
      </c>
    </row>
    <row r="46" spans="2:12" x14ac:dyDescent="0.25">
      <c r="B46" s="5" t="s">
        <v>83</v>
      </c>
      <c r="C46" s="43">
        <v>80</v>
      </c>
      <c r="D46" s="43">
        <v>74</v>
      </c>
      <c r="E46" s="43">
        <v>5</v>
      </c>
      <c r="F46" s="43">
        <v>159</v>
      </c>
      <c r="H46" s="14" t="s">
        <v>83</v>
      </c>
      <c r="I46" s="15">
        <v>80</v>
      </c>
      <c r="J46" s="15">
        <v>74</v>
      </c>
      <c r="K46">
        <v>5</v>
      </c>
      <c r="L46" s="15">
        <f t="shared" si="0"/>
        <v>1</v>
      </c>
    </row>
    <row r="47" spans="2:12" x14ac:dyDescent="0.25">
      <c r="B47" s="5" t="s">
        <v>291</v>
      </c>
      <c r="C47" s="43">
        <v>18</v>
      </c>
      <c r="D47" s="43">
        <v>18</v>
      </c>
      <c r="E47" s="43"/>
      <c r="F47" s="43">
        <v>36</v>
      </c>
      <c r="H47" s="14" t="s">
        <v>291</v>
      </c>
      <c r="I47" s="15">
        <v>18</v>
      </c>
      <c r="J47" s="15">
        <v>18</v>
      </c>
      <c r="L47" s="15">
        <f t="shared" si="0"/>
        <v>0</v>
      </c>
    </row>
    <row r="48" spans="2:12" x14ac:dyDescent="0.25">
      <c r="B48" s="5" t="s">
        <v>39</v>
      </c>
      <c r="C48" s="43">
        <v>2</v>
      </c>
      <c r="D48" s="43">
        <v>2</v>
      </c>
      <c r="E48" s="43"/>
      <c r="F48" s="43">
        <v>4</v>
      </c>
      <c r="H48" s="14" t="s">
        <v>39</v>
      </c>
      <c r="I48" s="15">
        <v>2</v>
      </c>
      <c r="J48" s="15">
        <v>2</v>
      </c>
      <c r="L48" s="15">
        <f t="shared" si="0"/>
        <v>0</v>
      </c>
    </row>
    <row r="49" spans="2:12" x14ac:dyDescent="0.25">
      <c r="B49" s="5" t="s">
        <v>40</v>
      </c>
      <c r="C49" s="43">
        <v>53</v>
      </c>
      <c r="D49" s="43">
        <v>52</v>
      </c>
      <c r="E49" s="43">
        <v>9</v>
      </c>
      <c r="F49" s="43">
        <v>114</v>
      </c>
      <c r="H49" s="14" t="s">
        <v>40</v>
      </c>
      <c r="I49" s="15">
        <v>53</v>
      </c>
      <c r="J49" s="15">
        <v>52</v>
      </c>
      <c r="K49">
        <v>9</v>
      </c>
      <c r="L49" s="15">
        <f t="shared" si="0"/>
        <v>-8</v>
      </c>
    </row>
    <row r="50" spans="2:12" x14ac:dyDescent="0.25">
      <c r="B50" s="5" t="s">
        <v>207</v>
      </c>
      <c r="C50" s="43">
        <v>102</v>
      </c>
      <c r="D50" s="43">
        <v>20</v>
      </c>
      <c r="E50" s="43"/>
      <c r="F50" s="43">
        <v>122</v>
      </c>
      <c r="H50" s="14" t="s">
        <v>207</v>
      </c>
      <c r="I50" s="15">
        <v>102</v>
      </c>
      <c r="J50" s="15">
        <v>20</v>
      </c>
      <c r="L50" s="15">
        <f t="shared" si="0"/>
        <v>82</v>
      </c>
    </row>
    <row r="51" spans="2:12" x14ac:dyDescent="0.25">
      <c r="B51" s="5" t="s">
        <v>34</v>
      </c>
      <c r="C51" s="43">
        <v>40</v>
      </c>
      <c r="D51" s="43">
        <v>30.600000000000009</v>
      </c>
      <c r="E51" s="43">
        <v>13</v>
      </c>
      <c r="F51" s="43">
        <v>83.600000000000009</v>
      </c>
      <c r="H51" s="14" t="s">
        <v>34</v>
      </c>
      <c r="I51" s="15">
        <v>40</v>
      </c>
      <c r="J51" s="15">
        <v>27.5</v>
      </c>
      <c r="K51">
        <v>13</v>
      </c>
      <c r="L51" s="15">
        <f t="shared" si="0"/>
        <v>-0.5</v>
      </c>
    </row>
    <row r="52" spans="2:12" x14ac:dyDescent="0.25">
      <c r="B52" s="5" t="s">
        <v>390</v>
      </c>
      <c r="C52" s="43">
        <v>2</v>
      </c>
      <c r="D52" s="43">
        <v>10</v>
      </c>
      <c r="E52" s="43">
        <v>6</v>
      </c>
      <c r="F52" s="43">
        <v>18</v>
      </c>
      <c r="H52" s="14" t="s">
        <v>390</v>
      </c>
      <c r="I52" s="15">
        <v>2</v>
      </c>
      <c r="J52" s="15">
        <v>10</v>
      </c>
      <c r="K52">
        <v>6</v>
      </c>
      <c r="L52" s="15">
        <f t="shared" si="0"/>
        <v>-14</v>
      </c>
    </row>
    <row r="53" spans="2:12" x14ac:dyDescent="0.25">
      <c r="B53" s="5" t="s">
        <v>240</v>
      </c>
      <c r="C53" s="43">
        <v>54</v>
      </c>
      <c r="D53" s="43">
        <v>29</v>
      </c>
      <c r="E53" s="43">
        <v>17</v>
      </c>
      <c r="F53" s="43">
        <v>100</v>
      </c>
      <c r="H53" s="14" t="s">
        <v>240</v>
      </c>
      <c r="I53" s="15">
        <v>54</v>
      </c>
      <c r="J53" s="15">
        <v>33</v>
      </c>
      <c r="K53">
        <v>17</v>
      </c>
      <c r="L53" s="15">
        <f t="shared" si="0"/>
        <v>4</v>
      </c>
    </row>
    <row r="54" spans="2:12" x14ac:dyDescent="0.25">
      <c r="B54" s="5" t="s">
        <v>354</v>
      </c>
      <c r="C54" s="43">
        <v>6</v>
      </c>
      <c r="D54" s="43">
        <v>44</v>
      </c>
      <c r="E54" s="43"/>
      <c r="F54" s="43">
        <v>50</v>
      </c>
      <c r="H54" s="14" t="s">
        <v>354</v>
      </c>
      <c r="I54" s="15">
        <v>6</v>
      </c>
      <c r="J54" s="15">
        <v>44</v>
      </c>
      <c r="L54" s="15">
        <f t="shared" si="0"/>
        <v>-38</v>
      </c>
    </row>
    <row r="55" spans="2:12" x14ac:dyDescent="0.25">
      <c r="B55" s="5" t="s">
        <v>209</v>
      </c>
      <c r="C55" s="43">
        <v>243</v>
      </c>
      <c r="D55" s="43">
        <v>99</v>
      </c>
      <c r="E55" s="43"/>
      <c r="F55" s="43">
        <v>342</v>
      </c>
      <c r="H55" s="14" t="s">
        <v>209</v>
      </c>
      <c r="I55" s="15">
        <v>243</v>
      </c>
      <c r="J55" s="15">
        <v>99</v>
      </c>
      <c r="L55" s="15">
        <f t="shared" si="0"/>
        <v>144</v>
      </c>
    </row>
    <row r="56" spans="2:12" x14ac:dyDescent="0.25">
      <c r="B56" s="5" t="s">
        <v>199</v>
      </c>
      <c r="C56" s="43">
        <v>35</v>
      </c>
      <c r="D56" s="43">
        <v>51</v>
      </c>
      <c r="E56" s="43"/>
      <c r="F56" s="43">
        <v>86</v>
      </c>
      <c r="H56" s="14" t="s">
        <v>199</v>
      </c>
      <c r="I56" s="15">
        <v>35</v>
      </c>
      <c r="J56" s="15">
        <v>51</v>
      </c>
      <c r="L56" s="15">
        <f t="shared" si="0"/>
        <v>-16</v>
      </c>
    </row>
    <row r="57" spans="2:12" x14ac:dyDescent="0.25">
      <c r="B57" s="5" t="s">
        <v>244</v>
      </c>
      <c r="C57" s="43">
        <v>6125</v>
      </c>
      <c r="D57" s="43">
        <v>5066.5</v>
      </c>
      <c r="E57" s="43">
        <v>1583</v>
      </c>
      <c r="F57" s="43">
        <v>12774.5</v>
      </c>
    </row>
    <row r="60" spans="2:12" x14ac:dyDescent="0.25">
      <c r="E60">
        <f>17+16</f>
        <v>33</v>
      </c>
    </row>
  </sheetData>
  <conditionalFormatting sqref="L5:L56">
    <cfRule type="cellIs" dxfId="14" priority="1" operator="lessThan">
      <formula>0</formula>
    </cfRule>
    <cfRule type="cellIs" dxfId="13" priority="8" operator="lessThan">
      <formula>0</formula>
    </cfRule>
    <cfRule type="cellIs" dxfId="12" priority="9" operator="greaterThan">
      <formula>0</formula>
    </cfRule>
  </conditionalFormatting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351F-1F05-4E98-B109-269C2B3E97AB}">
  <dimension ref="A3:R178"/>
  <sheetViews>
    <sheetView workbookViewId="0">
      <pane xSplit="1" ySplit="6" topLeftCell="B11" activePane="bottomRight" state="frozen"/>
      <selection pane="topRight" activeCell="B1" sqref="B1"/>
      <selection pane="bottomLeft" activeCell="A7" sqref="A7"/>
      <selection pane="bottomRight" activeCell="D178" sqref="D178"/>
    </sheetView>
  </sheetViews>
  <sheetFormatPr baseColWidth="10" defaultRowHeight="15" x14ac:dyDescent="0.25"/>
  <cols>
    <col min="2" max="2" width="45.42578125" bestFit="1" customWidth="1"/>
    <col min="9" max="9" width="45.42578125" bestFit="1" customWidth="1"/>
    <col min="10" max="10" width="14.42578125" customWidth="1"/>
    <col min="11" max="12" width="13" customWidth="1"/>
  </cols>
  <sheetData>
    <row r="3" spans="1:18" x14ac:dyDescent="0.25">
      <c r="R3" t="s">
        <v>277</v>
      </c>
    </row>
    <row r="4" spans="1:18" x14ac:dyDescent="0.25">
      <c r="R4" t="s">
        <v>278</v>
      </c>
    </row>
    <row r="6" spans="1:18" x14ac:dyDescent="0.25">
      <c r="A6" t="s">
        <v>4</v>
      </c>
      <c r="B6" t="s">
        <v>0</v>
      </c>
      <c r="C6" t="s">
        <v>276</v>
      </c>
      <c r="D6" t="s">
        <v>279</v>
      </c>
      <c r="E6" t="s">
        <v>272</v>
      </c>
      <c r="F6" t="s">
        <v>280</v>
      </c>
      <c r="H6" t="s">
        <v>282</v>
      </c>
      <c r="I6" t="s">
        <v>283</v>
      </c>
      <c r="J6" t="s">
        <v>273</v>
      </c>
      <c r="K6" t="s">
        <v>274</v>
      </c>
      <c r="L6" t="s">
        <v>285</v>
      </c>
      <c r="M6" t="s">
        <v>275</v>
      </c>
    </row>
    <row r="7" spans="1:18" hidden="1" x14ac:dyDescent="0.25">
      <c r="A7" t="s">
        <v>226</v>
      </c>
      <c r="B7" t="str">
        <f>_xlfn.XLOOKUP(Tabla24[[#This Row],[CODIGO]],Tabla2[CODIGO],Tabla2[MATERIAL],"N/A",0)</f>
        <v>Abrazadera una salida 6"</v>
      </c>
      <c r="C7" t="s">
        <v>278</v>
      </c>
      <c r="D7" s="6">
        <v>16</v>
      </c>
      <c r="E7" s="7">
        <v>46211</v>
      </c>
      <c r="F7" s="6">
        <v>9962</v>
      </c>
      <c r="H7" s="10" t="s">
        <v>226</v>
      </c>
      <c r="I7" s="11" t="str">
        <f>_xlfn.XLOOKUP(Tabla24[[#This Row],[CODIGO]],Tabla2[CODIGO],Tabla2[MATERIAL],"N/A",0)</f>
        <v>Abrazadera una salida 6"</v>
      </c>
      <c r="J7">
        <f>SUMIFS(Tabla24[Cantidad],Tabla24[CODIGO],Tabla4[[#This Row],[codigo]],Tabla24[Movimiento],"Ingreso")</f>
        <v>22</v>
      </c>
      <c r="K7">
        <f>SUMIFS(Tabla24[Cantidad],Tabla24[CODIGO],Tabla4[[#This Row],[codigo]],Tabla24[Movimiento],"Salida")</f>
        <v>36</v>
      </c>
      <c r="M7">
        <f>+Tabla4[[#This Row],[total salida]]-Tabla4[[#This Row],[instalado]]</f>
        <v>36</v>
      </c>
    </row>
    <row r="8" spans="1:18" hidden="1" x14ac:dyDescent="0.25">
      <c r="A8" t="s">
        <v>261</v>
      </c>
      <c r="B8" t="str">
        <f>_xlfn.XLOOKUP(Tabla24[[#This Row],[CODIGO]],Tabla2[CODIGO],Tabla2[MATERIAL],"N/A",0)</f>
        <v>Abrazadera sin salida 6"</v>
      </c>
      <c r="C8" t="s">
        <v>278</v>
      </c>
      <c r="D8" s="6">
        <v>14</v>
      </c>
      <c r="E8" s="7">
        <v>46211</v>
      </c>
      <c r="F8" s="6">
        <v>9962</v>
      </c>
      <c r="H8" s="8" t="s">
        <v>261</v>
      </c>
      <c r="I8" s="12" t="str">
        <f>_xlfn.XLOOKUP(Tabla24[[#This Row],[CODIGO]],Tabla2[CODIGO],Tabla2[MATERIAL],"N/A",0)</f>
        <v>Abrazadera sin salida 6"</v>
      </c>
      <c r="J8">
        <f>SUMIFS(Tabla24[Cantidad],Tabla24[CODIGO],Tabla4[[#This Row],[codigo]],Tabla24[Movimiento],"Ingreso")</f>
        <v>18</v>
      </c>
      <c r="K8">
        <f>SUMIFS(Tabla24[Cantidad],Tabla24[CODIGO],Tabla4[[#This Row],[codigo]],Tabla24[Movimiento],"Salida")</f>
        <v>30</v>
      </c>
      <c r="L8">
        <v>14</v>
      </c>
      <c r="M8">
        <f>+Tabla4[[#This Row],[total salida]]-Tabla4[[#This Row],[instalado]]</f>
        <v>16</v>
      </c>
    </row>
    <row r="9" spans="1:18" hidden="1" x14ac:dyDescent="0.25">
      <c r="A9" t="s">
        <v>50</v>
      </c>
      <c r="B9" t="str">
        <f>_xlfn.XLOOKUP(Tabla24[[#This Row],[CODIGO]],Tabla2[CODIGO],Tabla2[MATERIAL],"N/A",0)</f>
        <v>Percha galv 1 puesto</v>
      </c>
      <c r="C9" t="s">
        <v>278</v>
      </c>
      <c r="D9" s="6">
        <v>20</v>
      </c>
      <c r="E9" s="7">
        <v>46211</v>
      </c>
      <c r="F9" s="6">
        <v>9962</v>
      </c>
      <c r="H9" s="10" t="s">
        <v>50</v>
      </c>
      <c r="I9" s="11" t="str">
        <f>_xlfn.XLOOKUP(Tabla24[[#This Row],[CODIGO]],Tabla2[CODIGO],Tabla2[MATERIAL],"N/A",0)</f>
        <v>Percha galv 1 puesto</v>
      </c>
      <c r="J9">
        <f>SUMIFS(Tabla24[Cantidad],Tabla24[CODIGO],Tabla4[[#This Row],[codigo]],Tabla24[Movimiento],"Ingreso")</f>
        <v>13</v>
      </c>
      <c r="K9">
        <f>SUMIFS(Tabla24[Cantidad],Tabla24[CODIGO],Tabla4[[#This Row],[codigo]],Tabla24[Movimiento],"Salida")</f>
        <v>30</v>
      </c>
      <c r="M9">
        <f>+Tabla4[[#This Row],[total salida]]-Tabla4[[#This Row],[instalado]]</f>
        <v>30</v>
      </c>
    </row>
    <row r="10" spans="1:18" hidden="1" x14ac:dyDescent="0.25">
      <c r="A10" t="s">
        <v>281</v>
      </c>
      <c r="B10" t="str">
        <f>_xlfn.XLOOKUP(Tabla24[[#This Row],[CODIGO]],Tabla2[CODIGO],Tabla2[MATERIAL],"N/A",0)</f>
        <v>Aislador Carrreto</v>
      </c>
      <c r="C10" t="s">
        <v>278</v>
      </c>
      <c r="D10" s="6">
        <v>20</v>
      </c>
      <c r="E10" s="7">
        <v>46211</v>
      </c>
      <c r="F10" s="6">
        <v>9962</v>
      </c>
      <c r="H10" s="8" t="s">
        <v>281</v>
      </c>
      <c r="I10" s="12" t="str">
        <f>_xlfn.XLOOKUP(Tabla24[[#This Row],[CODIGO]],Tabla2[CODIGO],Tabla2[MATERIAL],"N/A",0)</f>
        <v>Aislador Carrreto</v>
      </c>
      <c r="J10">
        <f>SUMIFS(Tabla24[Cantidad],Tabla24[CODIGO],Tabla4[[#This Row],[codigo]],Tabla24[Movimiento],"Ingreso")</f>
        <v>8</v>
      </c>
      <c r="K10">
        <f>SUMIFS(Tabla24[Cantidad],Tabla24[CODIGO],Tabla4[[#This Row],[codigo]],Tabla24[Movimiento],"Salida")</f>
        <v>30</v>
      </c>
      <c r="M10">
        <f>+Tabla4[[#This Row],[total salida]]-Tabla4[[#This Row],[instalado]]</f>
        <v>30</v>
      </c>
    </row>
    <row r="11" spans="1:18" x14ac:dyDescent="0.25">
      <c r="A11" t="s">
        <v>53</v>
      </c>
      <c r="B11" t="str">
        <f>_xlfn.XLOOKUP(Tabla24[[#This Row],[CODIGO]],Tabla2[CODIGO],Tabla2[MATERIAL],"N/A",0)</f>
        <v>Conector de Perforacion ais kz-ep (EP95) pequeño</v>
      </c>
      <c r="C11" t="s">
        <v>278</v>
      </c>
      <c r="D11" s="6">
        <v>50</v>
      </c>
      <c r="E11" s="7">
        <v>46211</v>
      </c>
      <c r="F11" s="6">
        <v>9962</v>
      </c>
      <c r="H11" s="10" t="s">
        <v>53</v>
      </c>
      <c r="I11" s="11" t="str">
        <f>_xlfn.XLOOKUP(Tabla24[[#This Row],[CODIGO]],Tabla2[CODIGO],Tabla2[MATERIAL],"N/A",0)</f>
        <v>Conector de Perforacion ais kz-ep (EP95) pequeño</v>
      </c>
      <c r="J11">
        <f>SUMIFS(Tabla24[Cantidad],Tabla24[CODIGO],Tabla4[[#This Row],[codigo]],Tabla24[Movimiento],"Ingreso")</f>
        <v>69</v>
      </c>
      <c r="K11">
        <f>SUMIFS(Tabla24[Cantidad],Tabla24[CODIGO],Tabla4[[#This Row],[codigo]],Tabla24[Movimiento],"Salida")</f>
        <v>168</v>
      </c>
      <c r="M11">
        <f>+Tabla4[[#This Row],[total salida]]-Tabla4[[#This Row],[instalado]]</f>
        <v>168</v>
      </c>
    </row>
    <row r="12" spans="1:18" hidden="1" x14ac:dyDescent="0.25">
      <c r="A12" t="s">
        <v>54</v>
      </c>
      <c r="B12" t="str">
        <f>_xlfn.XLOOKUP(Tabla24[[#This Row],[CODIGO]],Tabla2[CODIGO],Tabla2[MATERIAL],"N/A",0)</f>
        <v>Conector resorte 18-8</v>
      </c>
      <c r="C12" t="s">
        <v>278</v>
      </c>
      <c r="D12" s="6">
        <v>6</v>
      </c>
      <c r="E12" s="7">
        <v>46211</v>
      </c>
      <c r="F12" s="6">
        <v>9962</v>
      </c>
      <c r="H12" s="8" t="s">
        <v>54</v>
      </c>
      <c r="I12" s="12" t="str">
        <f>_xlfn.XLOOKUP(Tabla24[[#This Row],[CODIGO]],Tabla2[CODIGO],Tabla2[MATERIAL],"N/A",0)</f>
        <v>Conector resorte 18-8</v>
      </c>
      <c r="J12">
        <f>SUMIFS(Tabla24[Cantidad],Tabla24[CODIGO],Tabla4[[#This Row],[codigo]],Tabla24[Movimiento],"Ingreso")</f>
        <v>87</v>
      </c>
      <c r="K12">
        <f>SUMIFS(Tabla24[Cantidad],Tabla24[CODIGO],Tabla4[[#This Row],[codigo]],Tabla24[Movimiento],"Salida")</f>
        <v>129</v>
      </c>
      <c r="M12">
        <f>+Tabla4[[#This Row],[total salida]]-Tabla4[[#This Row],[instalado]]</f>
        <v>129</v>
      </c>
    </row>
    <row r="13" spans="1:18" hidden="1" x14ac:dyDescent="0.25">
      <c r="A13" t="s">
        <v>194</v>
      </c>
      <c r="B13" t="str">
        <f>_xlfn.XLOOKUP(Tabla24[[#This Row],[CODIGO]],Tabla2[CODIGO],Tabla2[MATERIAL],"N/A",0)</f>
        <v>Cable TPX 2x4 1x4 awg</v>
      </c>
      <c r="C13" t="s">
        <v>278</v>
      </c>
      <c r="D13" s="6">
        <v>270</v>
      </c>
      <c r="E13" s="7">
        <v>46211</v>
      </c>
      <c r="F13" s="6">
        <v>9962</v>
      </c>
      <c r="H13" s="10" t="s">
        <v>194</v>
      </c>
      <c r="I13" s="11" t="str">
        <f>_xlfn.XLOOKUP(Tabla24[[#This Row],[CODIGO]],Tabla2[CODIGO],Tabla2[MATERIAL],"N/A",0)</f>
        <v>Cable TPX 2x4 1x4 awg</v>
      </c>
      <c r="J13">
        <f>SUMIFS(Tabla24[Cantidad],Tabla24[CODIGO],Tabla4[[#This Row],[codigo]],Tabla24[Movimiento],"Ingreso")</f>
        <v>155</v>
      </c>
      <c r="K13">
        <f>SUMIFS(Tabla24[Cantidad],Tabla24[CODIGO],Tabla4[[#This Row],[codigo]],Tabla24[Movimiento],"Salida")</f>
        <v>432</v>
      </c>
      <c r="L13">
        <v>47</v>
      </c>
      <c r="M13">
        <f>+Tabla4[[#This Row],[total salida]]-Tabla4[[#This Row],[instalado]]</f>
        <v>385</v>
      </c>
    </row>
    <row r="14" spans="1:18" hidden="1" x14ac:dyDescent="0.25">
      <c r="A14" t="s">
        <v>21</v>
      </c>
      <c r="B14" t="str">
        <f>_xlfn.XLOOKUP(Tabla24[[#This Row],[CODIGO]],Tabla2[CODIGO],Tabla2[MATERIAL],"N/A",0)</f>
        <v>Cable Encauchetado 3x14 pvc</v>
      </c>
      <c r="C14" t="s">
        <v>278</v>
      </c>
      <c r="D14" s="6">
        <v>20</v>
      </c>
      <c r="E14" s="7">
        <v>46211</v>
      </c>
      <c r="F14" s="6">
        <v>9962</v>
      </c>
      <c r="H14" s="8" t="s">
        <v>21</v>
      </c>
      <c r="I14" s="12" t="str">
        <f>_xlfn.XLOOKUP(Tabla24[[#This Row],[CODIGO]],Tabla2[CODIGO],Tabla2[MATERIAL],"N/A",0)</f>
        <v>Cable Encauchetado 3x14 pvc</v>
      </c>
      <c r="J14">
        <f>SUMIFS(Tabla24[Cantidad],Tabla24[CODIGO],Tabla4[[#This Row],[codigo]],Tabla24[Movimiento],"Ingreso")</f>
        <v>280</v>
      </c>
      <c r="K14">
        <f>SUMIFS(Tabla24[Cantidad],Tabla24[CODIGO],Tabla4[[#This Row],[codigo]],Tabla24[Movimiento],"Salida")</f>
        <v>526</v>
      </c>
      <c r="M14">
        <f>+Tabla4[[#This Row],[total salida]]-Tabla4[[#This Row],[instalado]]</f>
        <v>526</v>
      </c>
    </row>
    <row r="15" spans="1:18" hidden="1" x14ac:dyDescent="0.25">
      <c r="A15" t="s">
        <v>212</v>
      </c>
      <c r="B15" t="str">
        <f>_xlfn.XLOOKUP(Tabla24[[#This Row],[CODIGO]],Tabla2[CODIGO],Tabla2[MATERIAL],"N/A",0)</f>
        <v>Grillete galvanizado 1,1/2</v>
      </c>
      <c r="C15" t="s">
        <v>278</v>
      </c>
      <c r="D15" s="6">
        <v>24</v>
      </c>
      <c r="E15" s="7">
        <v>46211</v>
      </c>
      <c r="F15" s="6">
        <v>9962</v>
      </c>
      <c r="H15" s="10" t="s">
        <v>212</v>
      </c>
      <c r="I15" s="11" t="str">
        <f>_xlfn.XLOOKUP(Tabla24[[#This Row],[CODIGO]],Tabla2[CODIGO],Tabla2[MATERIAL],"N/A",0)</f>
        <v>Grillete galvanizado 1,1/2</v>
      </c>
      <c r="J15">
        <f>SUMIFS(Tabla24[Cantidad],Tabla24[CODIGO],Tabla4[[#This Row],[codigo]],Tabla24[Movimiento],"Ingreso")</f>
        <v>68</v>
      </c>
      <c r="K15">
        <f>SUMIFS(Tabla24[Cantidad],Tabla24[CODIGO],Tabla4[[#This Row],[codigo]],Tabla24[Movimiento],"Salida")</f>
        <v>92</v>
      </c>
      <c r="M15">
        <f>+Tabla4[[#This Row],[total salida]]-Tabla4[[#This Row],[instalado]]</f>
        <v>92</v>
      </c>
    </row>
    <row r="16" spans="1:18" hidden="1" x14ac:dyDescent="0.25">
      <c r="A16" t="s">
        <v>60</v>
      </c>
      <c r="B16" t="str">
        <f>_xlfn.XLOOKUP(Tabla24[[#This Row],[CODIGO]],Tabla2[CODIGO],Tabla2[MATERIAL],"N/A",0)</f>
        <v>Fotocelda</v>
      </c>
      <c r="C16" t="s">
        <v>278</v>
      </c>
      <c r="D16" s="6">
        <v>13</v>
      </c>
      <c r="E16" s="7">
        <v>46211</v>
      </c>
      <c r="F16" s="6">
        <v>9962</v>
      </c>
      <c r="H16" s="8" t="s">
        <v>60</v>
      </c>
      <c r="I16" s="12" t="str">
        <f>_xlfn.XLOOKUP(Tabla24[[#This Row],[CODIGO]],Tabla2[CODIGO],Tabla2[MATERIAL],"N/A",0)</f>
        <v>Fotocelda</v>
      </c>
      <c r="J16">
        <f>SUMIFS(Tabla24[Cantidad],Tabla24[CODIGO],Tabla4[[#This Row],[codigo]],Tabla24[Movimiento],"Ingreso")</f>
        <v>68</v>
      </c>
      <c r="K16">
        <f>SUMIFS(Tabla24[Cantidad],Tabla24[CODIGO],Tabla4[[#This Row],[codigo]],Tabla24[Movimiento],"Salida")</f>
        <v>81</v>
      </c>
      <c r="M16">
        <f>+Tabla4[[#This Row],[total salida]]-Tabla4[[#This Row],[instalado]]</f>
        <v>81</v>
      </c>
    </row>
    <row r="17" spans="1:13" hidden="1" x14ac:dyDescent="0.25">
      <c r="A17" t="s">
        <v>84</v>
      </c>
      <c r="B17" t="str">
        <f>_xlfn.XLOOKUP(Tabla24[[#This Row],[CODIGO]],Tabla2[CODIGO],Tabla2[MATERIAL],"N/A",0)</f>
        <v>Luminaria 110w</v>
      </c>
      <c r="C17" t="s">
        <v>278</v>
      </c>
      <c r="D17" s="6">
        <v>12</v>
      </c>
      <c r="E17" s="7">
        <v>46211</v>
      </c>
      <c r="F17" s="6">
        <v>9962</v>
      </c>
      <c r="H17" s="10" t="s">
        <v>84</v>
      </c>
      <c r="I17" s="11" t="str">
        <f>_xlfn.XLOOKUP(Tabla24[[#This Row],[CODIGO]],Tabla2[CODIGO],Tabla2[MATERIAL],"N/A",0)</f>
        <v>Luminaria 110w</v>
      </c>
      <c r="J17">
        <f>SUMIFS(Tabla24[Cantidad],Tabla24[CODIGO],Tabla4[[#This Row],[codigo]],Tabla24[Movimiento],"Ingreso")</f>
        <v>4</v>
      </c>
      <c r="K17">
        <f>SUMIFS(Tabla24[Cantidad],Tabla24[CODIGO],Tabla4[[#This Row],[codigo]],Tabla24[Movimiento],"Salida")</f>
        <v>16</v>
      </c>
      <c r="L17">
        <v>5</v>
      </c>
      <c r="M17">
        <f>+Tabla4[[#This Row],[total salida]]-Tabla4[[#This Row],[instalado]]</f>
        <v>11</v>
      </c>
    </row>
    <row r="18" spans="1:13" hidden="1" x14ac:dyDescent="0.25">
      <c r="A18" t="s">
        <v>82</v>
      </c>
      <c r="B18" t="str">
        <f>_xlfn.XLOOKUP(Tabla24[[#This Row],[CODIGO]],Tabla2[CODIGO],Tabla2[MATERIAL],"N/A",0)</f>
        <v>proyector 190w</v>
      </c>
      <c r="C18" t="s">
        <v>278</v>
      </c>
      <c r="D18" s="6">
        <v>1</v>
      </c>
      <c r="E18" s="7">
        <v>46211</v>
      </c>
      <c r="F18" s="6">
        <v>9959</v>
      </c>
      <c r="H18" s="8" t="s">
        <v>82</v>
      </c>
      <c r="I18" s="12" t="str">
        <f>_xlfn.XLOOKUP(Tabla24[[#This Row],[CODIGO]],Tabla2[CODIGO],Tabla2[MATERIAL],"N/A",0)</f>
        <v>proyector 190w</v>
      </c>
      <c r="J18">
        <f>SUMIFS(Tabla24[Cantidad],Tabla24[CODIGO],Tabla4[[#This Row],[codigo]],Tabla24[Movimiento],"Ingreso")</f>
        <v>1</v>
      </c>
      <c r="K18">
        <f>SUMIFS(Tabla24[Cantidad],Tabla24[CODIGO],Tabla4[[#This Row],[codigo]],Tabla24[Movimiento],"Salida")</f>
        <v>7</v>
      </c>
      <c r="L18">
        <v>14</v>
      </c>
      <c r="M18">
        <f>+Tabla4[[#This Row],[total salida]]-Tabla4[[#This Row],[instalado]]</f>
        <v>-7</v>
      </c>
    </row>
    <row r="19" spans="1:13" hidden="1" x14ac:dyDescent="0.25">
      <c r="A19" t="s">
        <v>271</v>
      </c>
      <c r="B19" t="str">
        <f>_xlfn.XLOOKUP(Tabla24[[#This Row],[CODIGO]],Tabla2[CODIGO],Tabla2[MATERIAL],"N/A",0)</f>
        <v>Abrazadera tipo corona 7"</v>
      </c>
      <c r="C19" t="s">
        <v>278</v>
      </c>
      <c r="D19" s="6">
        <v>6</v>
      </c>
      <c r="E19" s="7">
        <v>46211</v>
      </c>
      <c r="F19" s="6">
        <v>9962</v>
      </c>
      <c r="H19" s="10" t="s">
        <v>271</v>
      </c>
      <c r="I19" s="11" t="str">
        <f>_xlfn.XLOOKUP(Tabla24[[#This Row],[CODIGO]],Tabla2[CODIGO],Tabla2[MATERIAL],"N/A",0)</f>
        <v>Abrazadera tipo corona 7"</v>
      </c>
      <c r="J19">
        <f>SUMIFS(Tabla24[Cantidad],Tabla24[CODIGO],Tabla4[[#This Row],[codigo]],Tabla24[Movimiento],"Ingreso")</f>
        <v>6</v>
      </c>
      <c r="K19">
        <f>SUMIFS(Tabla24[Cantidad],Tabla24[CODIGO],Tabla4[[#This Row],[codigo]],Tabla24[Movimiento],"Salida")</f>
        <v>6</v>
      </c>
      <c r="M19">
        <f>+Tabla4[[#This Row],[total salida]]-Tabla4[[#This Row],[instalado]]</f>
        <v>6</v>
      </c>
    </row>
    <row r="20" spans="1:13" hidden="1" x14ac:dyDescent="0.25">
      <c r="A20" t="s">
        <v>30</v>
      </c>
      <c r="B20" t="str">
        <f>_xlfn.XLOOKUP(Tabla24[[#This Row],[CODIGO]],Tabla2[CODIGO],Tabla2[MATERIAL],"N/A",0)</f>
        <v>Kit puesta tierra acero inoxidable</v>
      </c>
      <c r="C20" t="s">
        <v>278</v>
      </c>
      <c r="D20" s="6">
        <v>5</v>
      </c>
      <c r="E20" s="7">
        <v>46211</v>
      </c>
      <c r="F20" s="6">
        <v>9962</v>
      </c>
      <c r="H20" s="8" t="s">
        <v>30</v>
      </c>
      <c r="I20" s="12" t="str">
        <f>_xlfn.XLOOKUP(Tabla24[[#This Row],[CODIGO]],Tabla2[CODIGO],Tabla2[MATERIAL],"N/A",0)</f>
        <v>Kit puesta tierra acero inoxidable</v>
      </c>
      <c r="J20">
        <f>SUMIFS(Tabla24[Cantidad],Tabla24[CODIGO],Tabla4[[#This Row],[codigo]],Tabla24[Movimiento],"Ingreso")</f>
        <v>3</v>
      </c>
      <c r="K20">
        <f>SUMIFS(Tabla24[Cantidad],Tabla24[CODIGO],Tabla4[[#This Row],[codigo]],Tabla24[Movimiento],"Salida")</f>
        <v>11</v>
      </c>
      <c r="M20">
        <f>+Tabla4[[#This Row],[total salida]]-Tabla4[[#This Row],[instalado]]</f>
        <v>11</v>
      </c>
    </row>
    <row r="21" spans="1:13" hidden="1" x14ac:dyDescent="0.25">
      <c r="A21" t="s">
        <v>30</v>
      </c>
      <c r="B21" t="str">
        <f>_xlfn.XLOOKUP(Tabla24[[#This Row],[CODIGO]],Tabla2[CODIGO],Tabla2[MATERIAL],"N/A",0)</f>
        <v>Kit puesta tierra acero inoxidable</v>
      </c>
      <c r="C21" t="s">
        <v>278</v>
      </c>
      <c r="D21" s="6">
        <v>3</v>
      </c>
      <c r="E21" s="1">
        <v>46212</v>
      </c>
      <c r="F21" s="6">
        <v>9963</v>
      </c>
      <c r="H21" s="8" t="s">
        <v>239</v>
      </c>
      <c r="I21" s="12" t="str">
        <f>_xlfn.XLOOKUP(Tabla24[[#This Row],[CODIGO]],Tabla2[CODIGO],Tabla2[MATERIAL],"N/A",0)</f>
        <v>Kit puesta tierra acero inoxidable</v>
      </c>
      <c r="J21">
        <f>SUMIFS(Tabla24[Cantidad],Tabla24[CODIGO],Tabla4[[#This Row],[codigo]],Tabla24[Movimiento],"Ingreso")</f>
        <v>0</v>
      </c>
      <c r="K21">
        <f>SUMIFS(Tabla24[Cantidad],Tabla24[CODIGO],Tabla4[[#This Row],[codigo]],Tabla24[Movimiento],"Salida")</f>
        <v>30</v>
      </c>
      <c r="L21">
        <v>4</v>
      </c>
      <c r="M21">
        <f>+Tabla4[[#This Row],[total salida]]-Tabla4[[#This Row],[instalado]]</f>
        <v>26</v>
      </c>
    </row>
    <row r="22" spans="1:13" hidden="1" x14ac:dyDescent="0.25">
      <c r="A22" t="s">
        <v>82</v>
      </c>
      <c r="B22" t="str">
        <f>_xlfn.XLOOKUP(Tabla24[[#This Row],[CODIGO]],Tabla2[CODIGO],Tabla2[MATERIAL],"N/A",0)</f>
        <v>proyector 190w</v>
      </c>
      <c r="C22" t="s">
        <v>277</v>
      </c>
      <c r="D22" s="6">
        <v>1</v>
      </c>
      <c r="E22" s="1">
        <v>46212</v>
      </c>
      <c r="F22" s="6">
        <v>9959</v>
      </c>
      <c r="H22" s="10" t="s">
        <v>241</v>
      </c>
      <c r="I22" s="11" t="str">
        <f>_xlfn.XLOOKUP(Tabla24[[#This Row],[CODIGO]],Tabla2[CODIGO],Tabla2[MATERIAL],"N/A",0)</f>
        <v>proyector 190w</v>
      </c>
      <c r="J22">
        <f>SUMIFS(Tabla24[Cantidad],Tabla24[CODIGO],Tabla4[[#This Row],[codigo]],Tabla24[Movimiento],"Ingreso")</f>
        <v>2</v>
      </c>
      <c r="K22">
        <f>SUMIFS(Tabla24[Cantidad],Tabla24[CODIGO],Tabla4[[#This Row],[codigo]],Tabla24[Movimiento],"Salida")</f>
        <v>16</v>
      </c>
      <c r="L22">
        <v>12</v>
      </c>
      <c r="M22">
        <f>+Tabla4[[#This Row],[total salida]]-Tabla4[[#This Row],[instalado]]</f>
        <v>4</v>
      </c>
    </row>
    <row r="23" spans="1:13" hidden="1" x14ac:dyDescent="0.25">
      <c r="A23" t="s">
        <v>82</v>
      </c>
      <c r="B23" t="str">
        <f>_xlfn.XLOOKUP(Tabla24[[#This Row],[CODIGO]],Tabla2[CODIGO],Tabla2[MATERIAL],"N/A",0)</f>
        <v>proyector 190w</v>
      </c>
      <c r="C23" t="s">
        <v>278</v>
      </c>
      <c r="D23" s="6">
        <v>1</v>
      </c>
      <c r="E23" s="1">
        <v>46212</v>
      </c>
      <c r="F23" s="6">
        <v>9959</v>
      </c>
      <c r="H23" s="8" t="s">
        <v>198</v>
      </c>
      <c r="I23" s="12" t="str">
        <f>_xlfn.XLOOKUP(Tabla24[[#This Row],[CODIGO]],Tabla2[CODIGO],Tabla2[MATERIAL],"N/A",0)</f>
        <v>proyector 190w</v>
      </c>
      <c r="J23">
        <f>SUMIFS(Tabla24[Cantidad],Tabla24[CODIGO],Tabla4[[#This Row],[codigo]],Tabla24[Movimiento],"Ingreso")</f>
        <v>5</v>
      </c>
      <c r="K23">
        <f>SUMIFS(Tabla24[Cantidad],Tabla24[CODIGO],Tabla4[[#This Row],[codigo]],Tabla24[Movimiento],"Salida")</f>
        <v>23</v>
      </c>
      <c r="M23">
        <f>+Tabla4[[#This Row],[total salida]]-Tabla4[[#This Row],[instalado]]</f>
        <v>23</v>
      </c>
    </row>
    <row r="24" spans="1:13" hidden="1" x14ac:dyDescent="0.25">
      <c r="A24" t="s">
        <v>239</v>
      </c>
      <c r="B24" t="str">
        <f>_xlfn.XLOOKUP(Tabla24[[#This Row],[CODIGO]],Tabla2[CODIGO],Tabla2[MATERIAL],"N/A",0)</f>
        <v>Tubo Conduit imc 3/4"</v>
      </c>
      <c r="C24" t="s">
        <v>278</v>
      </c>
      <c r="D24" s="6">
        <v>22</v>
      </c>
      <c r="E24" s="1">
        <v>46212</v>
      </c>
      <c r="F24" s="6">
        <v>9961</v>
      </c>
      <c r="H24" s="10" t="s">
        <v>76</v>
      </c>
      <c r="I24" s="11" t="str">
        <f>_xlfn.XLOOKUP(Tabla24[[#This Row],[CODIGO]],Tabla2[CODIGO],Tabla2[MATERIAL],"N/A",0)</f>
        <v>Tubo Conduit imc 3/4"</v>
      </c>
      <c r="J24">
        <f>SUMIFS(Tabla24[Cantidad],Tabla24[CODIGO],Tabla4[[#This Row],[codigo]],Tabla24[Movimiento],"Ingreso")</f>
        <v>64</v>
      </c>
      <c r="K24">
        <f>SUMIFS(Tabla24[Cantidad],Tabla24[CODIGO],Tabla4[[#This Row],[codigo]],Tabla24[Movimiento],"Salida")</f>
        <v>110</v>
      </c>
      <c r="M24">
        <f>+Tabla4[[#This Row],[total salida]]-Tabla4[[#This Row],[instalado]]</f>
        <v>110</v>
      </c>
    </row>
    <row r="25" spans="1:13" hidden="1" x14ac:dyDescent="0.25">
      <c r="A25" t="s">
        <v>241</v>
      </c>
      <c r="B25" t="str">
        <f>_xlfn.XLOOKUP(Tabla24[[#This Row],[CODIGO]],Tabla2[CODIGO],Tabla2[MATERIAL],"N/A",0)</f>
        <v>capacete tuberia imc 3/4"</v>
      </c>
      <c r="C25" t="s">
        <v>278</v>
      </c>
      <c r="D25" s="6">
        <v>10</v>
      </c>
      <c r="E25" s="1">
        <v>46212</v>
      </c>
      <c r="F25" s="6">
        <v>9961</v>
      </c>
      <c r="H25" s="8" t="s">
        <v>265</v>
      </c>
      <c r="I25" s="12" t="str">
        <f>_xlfn.XLOOKUP(Tabla24[[#This Row],[CODIGO]],Tabla2[CODIGO],Tabla2[MATERIAL],"N/A",0)</f>
        <v>capacete tuberia imc 3/4"</v>
      </c>
      <c r="J25">
        <f>SUMIFS(Tabla24[Cantidad],Tabla24[CODIGO],Tabla4[[#This Row],[codigo]],Tabla24[Movimiento],"Ingreso")</f>
        <v>3</v>
      </c>
      <c r="K25">
        <f>SUMIFS(Tabla24[Cantidad],Tabla24[CODIGO],Tabla4[[#This Row],[codigo]],Tabla24[Movimiento],"Salida")</f>
        <v>4</v>
      </c>
      <c r="M25">
        <f>+Tabla4[[#This Row],[total salida]]-Tabla4[[#This Row],[instalado]]</f>
        <v>4</v>
      </c>
    </row>
    <row r="26" spans="1:13" hidden="1" x14ac:dyDescent="0.25">
      <c r="A26" t="s">
        <v>21</v>
      </c>
      <c r="B26" t="str">
        <f>_xlfn.XLOOKUP(Tabla24[[#This Row],[CODIGO]],Tabla2[CODIGO],Tabla2[MATERIAL],"N/A",0)</f>
        <v>Cable Encauchetado 3x14 pvc</v>
      </c>
      <c r="C26" t="s">
        <v>278</v>
      </c>
      <c r="D26" s="6">
        <v>220</v>
      </c>
      <c r="E26" s="1">
        <v>46212</v>
      </c>
      <c r="F26" s="6">
        <v>9961</v>
      </c>
      <c r="H26" s="8" t="s">
        <v>36</v>
      </c>
      <c r="I26" s="12" t="str">
        <f>_xlfn.XLOOKUP(Tabla24[[#This Row],[CODIGO]],Tabla2[CODIGO],Tabla2[MATERIAL],"N/A",0)</f>
        <v>Cable Encauchetado 3x14 pvc</v>
      </c>
      <c r="J26">
        <f>SUMIFS(Tabla24[Cantidad],Tabla24[CODIGO],Tabla4[[#This Row],[codigo]],Tabla24[Movimiento],"Ingreso")</f>
        <v>11</v>
      </c>
      <c r="K26">
        <f>SUMIFS(Tabla24[Cantidad],Tabla24[CODIGO],Tabla4[[#This Row],[codigo]],Tabla24[Movimiento],"Salida")</f>
        <v>38</v>
      </c>
      <c r="M26">
        <f>+Tabla4[[#This Row],[total salida]]-Tabla4[[#This Row],[instalado]]</f>
        <v>38</v>
      </c>
    </row>
    <row r="27" spans="1:13" hidden="1" x14ac:dyDescent="0.25">
      <c r="A27" t="s">
        <v>194</v>
      </c>
      <c r="B27" t="str">
        <f>_xlfn.XLOOKUP(Tabla24[[#This Row],[CODIGO]],Tabla2[CODIGO],Tabla2[MATERIAL],"N/A",0)</f>
        <v>Cable TPX 2x4 1x4 awg</v>
      </c>
      <c r="C27" t="s">
        <v>278</v>
      </c>
      <c r="D27" s="6">
        <v>15</v>
      </c>
      <c r="E27" s="1">
        <v>46212</v>
      </c>
      <c r="F27" s="6">
        <v>9961</v>
      </c>
      <c r="H27" s="10" t="s">
        <v>37</v>
      </c>
      <c r="I27" s="11" t="str">
        <f>_xlfn.XLOOKUP(Tabla24[[#This Row],[CODIGO]],Tabla2[CODIGO],Tabla2[MATERIAL],"N/A",0)</f>
        <v>Cable TPX 2x4 1x4 awg</v>
      </c>
      <c r="J27">
        <f>SUMIFS(Tabla24[Cantidad],Tabla24[CODIGO],Tabla4[[#This Row],[codigo]],Tabla24[Movimiento],"Ingreso")</f>
        <v>15</v>
      </c>
      <c r="K27">
        <f>SUMIFS(Tabla24[Cantidad],Tabla24[CODIGO],Tabla4[[#This Row],[codigo]],Tabla24[Movimiento],"Salida")</f>
        <v>35</v>
      </c>
      <c r="L27">
        <v>14</v>
      </c>
      <c r="M27">
        <f>+Tabla4[[#This Row],[total salida]]-Tabla4[[#This Row],[instalado]]</f>
        <v>21</v>
      </c>
    </row>
    <row r="28" spans="1:13" x14ac:dyDescent="0.25">
      <c r="A28" t="s">
        <v>53</v>
      </c>
      <c r="B28" t="str">
        <f>_xlfn.XLOOKUP(Tabla24[[#This Row],[CODIGO]],Tabla2[CODIGO],Tabla2[MATERIAL],"N/A",0)</f>
        <v>Conector de Perforacion ais kz-ep (EP95) pequeño</v>
      </c>
      <c r="C28" t="s">
        <v>278</v>
      </c>
      <c r="D28" s="6">
        <v>12</v>
      </c>
      <c r="E28" s="1">
        <v>46212</v>
      </c>
      <c r="F28" s="6">
        <v>9961</v>
      </c>
      <c r="H28" s="8" t="s">
        <v>299</v>
      </c>
      <c r="I28" s="12" t="str">
        <f>_xlfn.XLOOKUP(Tabla24[[#This Row],[CODIGO]],Tabla2[CODIGO],Tabla2[MATERIAL],"N/A",0)</f>
        <v>Conector de Perforacion ais kz-ep (EP95) pequeño</v>
      </c>
      <c r="J28">
        <f>SUMIFS(Tabla24[Cantidad],Tabla24[CODIGO],Tabla4[[#This Row],[codigo]],Tabla24[Movimiento],"Ingreso")</f>
        <v>2</v>
      </c>
      <c r="K28">
        <f>SUMIFS(Tabla24[Cantidad],Tabla24[CODIGO],Tabla4[[#This Row],[codigo]],Tabla24[Movimiento],"Salida")</f>
        <v>6</v>
      </c>
      <c r="M28">
        <f>+Tabla4[[#This Row],[total salida]]-Tabla4[[#This Row],[instalado]]</f>
        <v>6</v>
      </c>
    </row>
    <row r="29" spans="1:13" hidden="1" x14ac:dyDescent="0.25">
      <c r="A29" t="s">
        <v>54</v>
      </c>
      <c r="B29" t="str">
        <f>_xlfn.XLOOKUP(Tabla24[[#This Row],[CODIGO]],Tabla2[CODIGO],Tabla2[MATERIAL],"N/A",0)</f>
        <v>Conector resorte 18-8</v>
      </c>
      <c r="C29" t="s">
        <v>278</v>
      </c>
      <c r="D29" s="6">
        <v>36</v>
      </c>
      <c r="E29" s="1">
        <v>46212</v>
      </c>
      <c r="F29" s="6">
        <v>9961</v>
      </c>
      <c r="H29" s="8" t="s">
        <v>216</v>
      </c>
      <c r="I29" s="12" t="str">
        <f>_xlfn.XLOOKUP(Tabla24[[#This Row],[CODIGO]],Tabla2[CODIGO],Tabla2[MATERIAL],"N/A",0)</f>
        <v>Conector resorte 18-8</v>
      </c>
      <c r="J29">
        <f>SUMIFS(Tabla24[Cantidad],Tabla24[CODIGO],Tabla4[[#This Row],[codigo]],Tabla24[Movimiento],"Ingreso")</f>
        <v>41</v>
      </c>
      <c r="K29">
        <f>SUMIFS(Tabla24[Cantidad],Tabla24[CODIGO],Tabla4[[#This Row],[codigo]],Tabla24[Movimiento],"Salida")</f>
        <v>41</v>
      </c>
      <c r="L29">
        <f>25+75+9+62</f>
        <v>171</v>
      </c>
      <c r="M29">
        <f>+Tabla4[[#This Row],[total salida]]-Tabla4[[#This Row],[instalado]]</f>
        <v>-130</v>
      </c>
    </row>
    <row r="30" spans="1:13" hidden="1" x14ac:dyDescent="0.25">
      <c r="A30" t="s">
        <v>198</v>
      </c>
      <c r="B30" t="str">
        <f>_xlfn.XLOOKUP(Tabla24[[#This Row],[CODIGO]],Tabla2[CODIGO],Tabla2[MATERIAL],"N/A",0)</f>
        <v>Varilla cooperweld 2,4m</v>
      </c>
      <c r="C30" t="s">
        <v>278</v>
      </c>
      <c r="D30" s="6">
        <v>13</v>
      </c>
      <c r="E30" s="1">
        <v>46212</v>
      </c>
      <c r="F30" s="6">
        <v>9961</v>
      </c>
      <c r="H30" s="8" t="s">
        <v>210</v>
      </c>
      <c r="I30" s="12" t="str">
        <f>_xlfn.XLOOKUP(Tabla24[[#This Row],[CODIGO]],Tabla2[CODIGO],Tabla2[MATERIAL],"N/A",0)</f>
        <v>Varilla cooperweld 2,4m</v>
      </c>
      <c r="J30">
        <f>SUMIFS(Tabla24[Cantidad],Tabla24[CODIGO],Tabla4[[#This Row],[codigo]],Tabla24[Movimiento],"Ingreso")</f>
        <v>5</v>
      </c>
      <c r="K30">
        <f>SUMIFS(Tabla24[Cantidad],Tabla24[CODIGO],Tabla4[[#This Row],[codigo]],Tabla24[Movimiento],"Salida")</f>
        <v>10</v>
      </c>
      <c r="M30">
        <f>+Tabla4[[#This Row],[total salida]]-Tabla4[[#This Row],[instalado]]</f>
        <v>10</v>
      </c>
    </row>
    <row r="31" spans="1:13" hidden="1" x14ac:dyDescent="0.25">
      <c r="A31" t="s">
        <v>76</v>
      </c>
      <c r="B31" t="str">
        <f>_xlfn.XLOOKUP(Tabla24[[#This Row],[CODIGO]],Tabla2[CODIGO],Tabla2[MATERIAL],"N/A",0)</f>
        <v>Empalme gel ppal 8-4/0 a der 14-2/0 awg (grande)</v>
      </c>
      <c r="C31" t="s">
        <v>278</v>
      </c>
      <c r="D31" s="6">
        <v>22</v>
      </c>
      <c r="E31" s="1">
        <v>46212</v>
      </c>
      <c r="F31" s="6">
        <v>9961</v>
      </c>
      <c r="H31" s="8" t="s">
        <v>268</v>
      </c>
      <c r="I31" s="12" t="str">
        <f>_xlfn.XLOOKUP(Tabla24[[#This Row],[CODIGO]],Tabla2[CODIGO],Tabla2[MATERIAL],"N/A",0)</f>
        <v>Empalme gel ppal 8-4/0 a der 14-2/0 awg (grande)</v>
      </c>
      <c r="J31">
        <f>SUMIFS(Tabla24[Cantidad],Tabla24[CODIGO],Tabla4[[#This Row],[codigo]],Tabla24[Movimiento],"Ingreso")</f>
        <v>4</v>
      </c>
      <c r="K31">
        <f>SUMIFS(Tabla24[Cantidad],Tabla24[CODIGO],Tabla4[[#This Row],[codigo]],Tabla24[Movimiento],"Salida")</f>
        <v>4</v>
      </c>
      <c r="M31">
        <f>+Tabla4[[#This Row],[total salida]]-Tabla4[[#This Row],[instalado]]</f>
        <v>4</v>
      </c>
    </row>
    <row r="32" spans="1:13" hidden="1" x14ac:dyDescent="0.25">
      <c r="A32" t="s">
        <v>265</v>
      </c>
      <c r="B32" t="str">
        <f>_xlfn.XLOOKUP(Tabla24[[#This Row],[CODIGO]],Tabla2[CODIGO],Tabla2[MATERIAL],"N/A",0)</f>
        <v>Cinta Aislante</v>
      </c>
      <c r="C32" t="s">
        <v>278</v>
      </c>
      <c r="D32" s="6">
        <v>1</v>
      </c>
      <c r="E32" s="1">
        <v>46212</v>
      </c>
      <c r="F32" s="6">
        <v>9961</v>
      </c>
      <c r="H32" s="10" t="s">
        <v>38</v>
      </c>
      <c r="I32" s="11" t="str">
        <f>_xlfn.XLOOKUP(Tabla24[[#This Row],[CODIGO]],Tabla2[CODIGO],Tabla2[MATERIAL],"N/A",0)</f>
        <v>Cinta Aislante</v>
      </c>
      <c r="J32">
        <f>SUMIFS(Tabla24[Cantidad],Tabla24[CODIGO],Tabla4[[#This Row],[codigo]],Tabla24[Movimiento],"Ingreso")</f>
        <v>4</v>
      </c>
      <c r="K32">
        <f>SUMIFS(Tabla24[Cantidad],Tabla24[CODIGO],Tabla4[[#This Row],[codigo]],Tabla24[Movimiento],"Salida")</f>
        <v>14</v>
      </c>
      <c r="L32">
        <v>24</v>
      </c>
      <c r="M32">
        <f>+Tabla4[[#This Row],[total salida]]-Tabla4[[#This Row],[instalado]]</f>
        <v>-10</v>
      </c>
    </row>
    <row r="33" spans="1:13" hidden="1" x14ac:dyDescent="0.25">
      <c r="A33" t="s">
        <v>194</v>
      </c>
      <c r="B33" t="str">
        <f>_xlfn.XLOOKUP(Tabla24[[#This Row],[CODIGO]],Tabla2[CODIGO],Tabla2[MATERIAL],"N/A",0)</f>
        <v>Cable TPX 2x4 1x4 awg</v>
      </c>
      <c r="C33" t="s">
        <v>277</v>
      </c>
      <c r="D33" s="6">
        <v>90</v>
      </c>
      <c r="E33" s="1">
        <v>46212</v>
      </c>
      <c r="F33" s="6">
        <v>9962</v>
      </c>
      <c r="H33" s="8" t="s">
        <v>213</v>
      </c>
      <c r="I33" s="12" t="str">
        <f>_xlfn.XLOOKUP(Tabla24[[#This Row],[CODIGO]],Tabla2[CODIGO],Tabla2[MATERIAL],"N/A",0)</f>
        <v>Cable TPX 2x4 1x4 awg</v>
      </c>
      <c r="J33">
        <f>SUMIFS(Tabla24[Cantidad],Tabla24[CODIGO],Tabla4[[#This Row],[codigo]],Tabla24[Movimiento],"Ingreso")</f>
        <v>4</v>
      </c>
      <c r="K33">
        <f>SUMIFS(Tabla24[Cantidad],Tabla24[CODIGO],Tabla4[[#This Row],[codigo]],Tabla24[Movimiento],"Salida")</f>
        <v>4</v>
      </c>
      <c r="M33">
        <f>+Tabla4[[#This Row],[total salida]]-Tabla4[[#This Row],[instalado]]</f>
        <v>4</v>
      </c>
    </row>
    <row r="34" spans="1:13" hidden="1" x14ac:dyDescent="0.25">
      <c r="A34" t="s">
        <v>50</v>
      </c>
      <c r="B34" t="str">
        <f>_xlfn.XLOOKUP(Tabla24[[#This Row],[CODIGO]],Tabla2[CODIGO],Tabla2[MATERIAL],"N/A",0)</f>
        <v>Percha galv 1 puesto</v>
      </c>
      <c r="C34" t="s">
        <v>277</v>
      </c>
      <c r="D34" s="6">
        <v>5</v>
      </c>
      <c r="E34" s="1">
        <v>46212</v>
      </c>
      <c r="F34" s="6">
        <v>9962</v>
      </c>
      <c r="H34" s="10" t="s">
        <v>304</v>
      </c>
      <c r="I34" s="11" t="str">
        <f>_xlfn.XLOOKUP(Tabla24[[#This Row],[CODIGO]],Tabla2[CODIGO],Tabla2[MATERIAL],"N/A",0)</f>
        <v>Percha galv 1 puesto</v>
      </c>
      <c r="J34">
        <f>SUMIFS(Tabla24[Cantidad],Tabla24[CODIGO],Tabla4[[#This Row],[codigo]],Tabla24[Movimiento],"Ingreso")</f>
        <v>57</v>
      </c>
      <c r="K34">
        <f>SUMIFS(Tabla24[Cantidad],Tabla24[CODIGO],Tabla4[[#This Row],[codigo]],Tabla24[Movimiento],"Salida")</f>
        <v>57</v>
      </c>
      <c r="M34">
        <f>+Tabla4[[#This Row],[total salida]]-Tabla4[[#This Row],[instalado]]</f>
        <v>57</v>
      </c>
    </row>
    <row r="35" spans="1:13" hidden="1" x14ac:dyDescent="0.25">
      <c r="A35" t="s">
        <v>261</v>
      </c>
      <c r="B35" t="str">
        <f>_xlfn.XLOOKUP(Tabla24[[#This Row],[CODIGO]],Tabla2[CODIGO],Tabla2[MATERIAL],"N/A",0)</f>
        <v>Abrazadera sin salida 6"</v>
      </c>
      <c r="C35" t="s">
        <v>277</v>
      </c>
      <c r="D35" s="6">
        <v>2</v>
      </c>
      <c r="E35" s="1">
        <v>46212</v>
      </c>
      <c r="F35" s="6">
        <v>9962</v>
      </c>
      <c r="H35" s="8" t="s">
        <v>290</v>
      </c>
      <c r="I35" s="12" t="str">
        <f>_xlfn.XLOOKUP(Tabla24[[#This Row],[CODIGO]],Tabla2[CODIGO],Tabla2[MATERIAL],"N/A",0)</f>
        <v>Abrazadera sin salida 6"</v>
      </c>
      <c r="J35">
        <f>SUMIFS(Tabla24[Cantidad],Tabla24[CODIGO],Tabla4[[#This Row],[codigo]],Tabla24[Movimiento],"Ingreso")</f>
        <v>6</v>
      </c>
      <c r="K35">
        <f>SUMIFS(Tabla24[Cantidad],Tabla24[CODIGO],Tabla4[[#This Row],[codigo]],Tabla24[Movimiento],"Salida")</f>
        <v>6</v>
      </c>
      <c r="M35">
        <f>+Tabla4[[#This Row],[total salida]]-Tabla4[[#This Row],[instalado]]</f>
        <v>6</v>
      </c>
    </row>
    <row r="36" spans="1:13" hidden="1" x14ac:dyDescent="0.25">
      <c r="A36" t="s">
        <v>226</v>
      </c>
      <c r="B36" t="str">
        <f>_xlfn.XLOOKUP(Tabla24[[#This Row],[CODIGO]],Tabla2[CODIGO],Tabla2[MATERIAL],"N/A",0)</f>
        <v>Abrazadera una salida 6"</v>
      </c>
      <c r="C36" t="s">
        <v>277</v>
      </c>
      <c r="D36" s="6">
        <v>2</v>
      </c>
      <c r="E36" s="1">
        <v>46212</v>
      </c>
      <c r="F36" s="6">
        <v>9962</v>
      </c>
      <c r="H36" s="10" t="s">
        <v>318</v>
      </c>
      <c r="I36" s="11" t="str">
        <f>_xlfn.XLOOKUP(Tabla24[[#This Row],[CODIGO]],Tabla2[CODIGO],Tabla2[MATERIAL],"N/A",0)</f>
        <v>Abrazadera una salida 6"</v>
      </c>
      <c r="J36">
        <f>SUMIFS(Tabla24[Cantidad],Tabla24[CODIGO],Tabla4[[#This Row],[codigo]],Tabla24[Movimiento],"Ingreso")</f>
        <v>90</v>
      </c>
      <c r="K36">
        <f>SUMIFS(Tabla24[Cantidad],Tabla24[CODIGO],Tabla4[[#This Row],[codigo]],Tabla24[Movimiento],"Salida")</f>
        <v>410</v>
      </c>
      <c r="M36">
        <f>+Tabla4[[#This Row],[total salida]]-Tabla4[[#This Row],[instalado]]</f>
        <v>410</v>
      </c>
    </row>
    <row r="37" spans="1:13" hidden="1" x14ac:dyDescent="0.25">
      <c r="A37" t="s">
        <v>271</v>
      </c>
      <c r="B37" t="str">
        <f>_xlfn.XLOOKUP(Tabla24[[#This Row],[CODIGO]],Tabla2[CODIGO],Tabla2[MATERIAL],"N/A",0)</f>
        <v>Abrazadera tipo corona 7"</v>
      </c>
      <c r="C37" t="s">
        <v>277</v>
      </c>
      <c r="D37" s="6">
        <v>6</v>
      </c>
      <c r="E37" s="1">
        <v>46212</v>
      </c>
      <c r="F37" s="6">
        <v>9962</v>
      </c>
      <c r="H37" s="8" t="s">
        <v>319</v>
      </c>
      <c r="I37" s="12" t="str">
        <f>_xlfn.XLOOKUP(Tabla24[[#This Row],[CODIGO]],Tabla2[CODIGO],Tabla2[MATERIAL],"N/A",0)</f>
        <v>Abrazadera tipo corona 7"</v>
      </c>
      <c r="J37">
        <f>SUMIFS(Tabla24[Movimiento],Tabla24[proyecto],Tabla4[[#This Row],[balance]],Tabla24[MATERIAL],"Salida")</f>
        <v>0</v>
      </c>
      <c r="K37">
        <f>SUMIFS(Tabla24[Cantidad],Tabla24[CODIGO],Tabla4[[#This Row],[codigo]],Tabla24[Movimiento],"Salida")</f>
        <v>195</v>
      </c>
      <c r="L37">
        <v>4</v>
      </c>
      <c r="M37">
        <f>+Tabla4[[#This Row],[total salida]]-Tabla4[[#This Row],[instalado]]</f>
        <v>191</v>
      </c>
    </row>
    <row r="38" spans="1:13" hidden="1" x14ac:dyDescent="0.25">
      <c r="A38" t="s">
        <v>36</v>
      </c>
      <c r="B38" t="str">
        <f>_xlfn.XLOOKUP(Tabla24[[#This Row],[CODIGO]],Tabla2[CODIGO],Tabla2[MATERIAL],"N/A",0)</f>
        <v>Cinta Bandit 1/2"</v>
      </c>
      <c r="C38" t="s">
        <v>278</v>
      </c>
      <c r="D38" s="6"/>
      <c r="E38" s="1">
        <v>46212</v>
      </c>
      <c r="F38" s="6">
        <v>9961</v>
      </c>
      <c r="H38" s="10" t="s">
        <v>323</v>
      </c>
      <c r="I38" s="11" t="str">
        <f>_xlfn.XLOOKUP(Tabla24[[#This Row],[CODIGO]],Tabla2[CODIGO],Tabla2[MATERIAL],"N/A",0)</f>
        <v>Cinta Bandit 1/2"</v>
      </c>
      <c r="J38">
        <f>SUMIFS(Tabla24[Cantidad],Tabla24[CODIGO],Tabla4[[#This Row],[codigo]],Tabla24[Movimiento],"Ingreso")</f>
        <v>2</v>
      </c>
      <c r="K38">
        <f>SUMIFS(Tabla24[Cantidad],Tabla24[CODIGO],Tabla4[[#This Row],[codigo]],Tabla24[Movimiento],"Salida")</f>
        <v>2</v>
      </c>
      <c r="M38">
        <f>+Tabla4[[#This Row],[total salida]]-Tabla4[[#This Row],[instalado]]</f>
        <v>2</v>
      </c>
    </row>
    <row r="39" spans="1:13" hidden="1" x14ac:dyDescent="0.25">
      <c r="A39" t="s">
        <v>37</v>
      </c>
      <c r="B39" t="str">
        <f>_xlfn.XLOOKUP(Tabla24[[#This Row],[CODIGO]],Tabla2[CODIGO],Tabla2[MATERIAL],"N/A",0)</f>
        <v>Hebilla para cinta bandit 1/2"</v>
      </c>
      <c r="C39" t="s">
        <v>278</v>
      </c>
      <c r="D39" s="6"/>
      <c r="E39" s="1">
        <v>46212</v>
      </c>
      <c r="F39" s="6">
        <v>9961</v>
      </c>
      <c r="H39" s="8" t="s">
        <v>260</v>
      </c>
      <c r="I39" s="12" t="str">
        <f>_xlfn.XLOOKUP(Tabla24[[#This Row],[CODIGO]],Tabla2[CODIGO],Tabla2[MATERIAL],"N/A",0)</f>
        <v>Hebilla para cinta bandit 1/2"</v>
      </c>
      <c r="J39">
        <f>SUMIFS(Tabla24[Cantidad],Tabla24[CODIGO],Tabla4[[#This Row],[codigo]],Tabla24[Movimiento],"Ingreso")</f>
        <v>0</v>
      </c>
      <c r="K39">
        <f>SUMIFS(Tabla24[Cantidad],Tabla24[CODIGO],Tabla4[[#This Row],[codigo]],Tabla24[Movimiento],"Salida")</f>
        <v>4</v>
      </c>
      <c r="M39">
        <f>+Tabla4[[#This Row],[total salida]]-Tabla4[[#This Row],[instalado]]</f>
        <v>4</v>
      </c>
    </row>
    <row r="40" spans="1:13" hidden="1" x14ac:dyDescent="0.25">
      <c r="A40" t="s">
        <v>299</v>
      </c>
      <c r="B40" t="str">
        <f>_xlfn.XLOOKUP(Tabla24[[#This Row],[CODIGO]],Tabla2[CODIGO],Tabla2[MATERIAL],"N/A",0)</f>
        <v>Abrazadera una salida 7"</v>
      </c>
      <c r="C40" t="s">
        <v>277</v>
      </c>
      <c r="D40" s="6">
        <v>2</v>
      </c>
      <c r="E40" s="1">
        <v>46219</v>
      </c>
      <c r="F40" s="6">
        <v>9966</v>
      </c>
      <c r="H40" s="8" t="s">
        <v>214</v>
      </c>
      <c r="I40" s="12" t="str">
        <f>_xlfn.XLOOKUP(Tabla24[[#This Row],[CODIGO]],Tabla2[CODIGO],Tabla2[MATERIAL],"N/A",0)</f>
        <v>Abrazadera una salida 7"</v>
      </c>
      <c r="J40">
        <f>SUMIFS(Tabla24[Cantidad],Tabla24[CODIGO],Tabla4[[#This Row],[codigo]],Tabla24[Movimiento],"Ingreso")</f>
        <v>7</v>
      </c>
      <c r="K40">
        <f>SUMIFS(Tabla24[Cantidad],Tabla24[CODIGO],Tabla4[[#This Row],[codigo]],Tabla24[Movimiento],"Salida")</f>
        <v>6</v>
      </c>
      <c r="L40">
        <v>12</v>
      </c>
      <c r="M40">
        <f>+Tabla4[[#This Row],[total salida]]-Tabla4[[#This Row],[instalado]]</f>
        <v>-6</v>
      </c>
    </row>
    <row r="41" spans="1:13" hidden="1" x14ac:dyDescent="0.25">
      <c r="A41" t="s">
        <v>56</v>
      </c>
      <c r="B41" t="str">
        <f>_xlfn.XLOOKUP(Tabla24[[#This Row],[CODIGO]],Tabla2[CODIGO],Tabla2[MATERIAL],"N/A",0)</f>
        <v>Aislador Carrreto</v>
      </c>
      <c r="C41" t="s">
        <v>277</v>
      </c>
      <c r="D41" s="6">
        <v>2</v>
      </c>
      <c r="E41" s="1">
        <v>46219</v>
      </c>
      <c r="F41" s="6">
        <v>9966</v>
      </c>
      <c r="H41" s="10" t="s">
        <v>78</v>
      </c>
      <c r="I41" s="11" t="str">
        <f>_xlfn.XLOOKUP(Tabla24[[#This Row],[CODIGO]],Tabla2[CODIGO],Tabla2[MATERIAL],"N/A",0)</f>
        <v>Aislador Carrreto</v>
      </c>
      <c r="J41">
        <f>SUMIFS(Tabla24[Cantidad],Tabla24[CODIGO],Tabla4[[#This Row],[codigo]],Tabla24[Movimiento],"Ingreso")</f>
        <v>7</v>
      </c>
      <c r="K41">
        <f>SUMIFS(Tabla24[Cantidad],Tabla24[CODIGO],Tabla4[[#This Row],[codigo]],Tabla24[Movimiento],"Salida")</f>
        <v>6</v>
      </c>
      <c r="M41">
        <f>+Tabla4[[#This Row],[total salida]]-Tabla4[[#This Row],[instalado]]</f>
        <v>6</v>
      </c>
    </row>
    <row r="42" spans="1:13" hidden="1" x14ac:dyDescent="0.25">
      <c r="A42" t="s">
        <v>216</v>
      </c>
      <c r="B42" t="str">
        <f>_xlfn.XLOOKUP(Tabla24[[#This Row],[CODIGO]],Tabla2[CODIGO],Tabla2[MATERIAL],"N/A",0)</f>
        <v>Brazo Galvanizado 2" x 2m</v>
      </c>
      <c r="C42" t="s">
        <v>277</v>
      </c>
      <c r="D42" s="6">
        <v>18</v>
      </c>
      <c r="E42" s="1">
        <v>46219</v>
      </c>
      <c r="F42" s="6">
        <v>9966</v>
      </c>
      <c r="H42" s="10" t="s">
        <v>217</v>
      </c>
      <c r="I42" s="11" t="str">
        <f>_xlfn.XLOOKUP(Tabla24[[#This Row],[CODIGO]],Tabla2[CODIGO],Tabla2[MATERIAL],"N/A",0)</f>
        <v>Brazo Galvanizado 2" x 2m</v>
      </c>
      <c r="J42">
        <f>SUMIFS(Tabla24[Cantidad],Tabla24[CODIGO],Tabla4[[#This Row],[codigo]],Tabla24[Movimiento],"Ingreso")</f>
        <v>18</v>
      </c>
      <c r="K42">
        <f>SUMIFS(Tabla24[Cantidad],Tabla24[CODIGO],Tabla4[[#This Row],[codigo]],Tabla24[Movimiento],"Salida")</f>
        <v>18</v>
      </c>
      <c r="M42">
        <f>+Tabla4[[#This Row],[total salida]]-Tabla4[[#This Row],[instalado]]</f>
        <v>18</v>
      </c>
    </row>
    <row r="43" spans="1:13" hidden="1" x14ac:dyDescent="0.25">
      <c r="A43" t="s">
        <v>194</v>
      </c>
      <c r="B43" t="str">
        <f>_xlfn.XLOOKUP(Tabla24[[#This Row],[CODIGO]],Tabla2[CODIGO],Tabla2[MATERIAL],"N/A",0)</f>
        <v>Cable TPX 2x4 1x4 awg</v>
      </c>
      <c r="C43" t="s">
        <v>277</v>
      </c>
      <c r="D43" s="6">
        <v>25</v>
      </c>
      <c r="E43" s="1">
        <v>46219</v>
      </c>
      <c r="F43" s="6">
        <v>9966</v>
      </c>
      <c r="H43" s="8" t="s">
        <v>351</v>
      </c>
      <c r="I43" s="12" t="str">
        <f>_xlfn.XLOOKUP(Tabla24[[#This Row],[CODIGO]],Tabla2[CODIGO],Tabla2[MATERIAL],"N/A",0)</f>
        <v>Cable TPX 2x4 1x4 awg</v>
      </c>
      <c r="J43">
        <f>SUMIFS(Tabla24[Cantidad],Tabla24[CODIGO],Tabla4[[#This Row],[codigo]],Tabla24[Movimiento],"Ingreso")</f>
        <v>24</v>
      </c>
      <c r="K43">
        <f>SUMIFS(Tabla24[Cantidad],Tabla24[CODIGO],Tabla4[[#This Row],[codigo]],Tabla24[Movimiento],"Salida")</f>
        <v>24</v>
      </c>
      <c r="M43">
        <f>+Tabla4[[#This Row],[total salida]]-Tabla4[[#This Row],[instalado]]</f>
        <v>24</v>
      </c>
    </row>
    <row r="44" spans="1:13" hidden="1" x14ac:dyDescent="0.25">
      <c r="A44" t="s">
        <v>21</v>
      </c>
      <c r="B44" t="str">
        <f>_xlfn.XLOOKUP(Tabla24[[#This Row],[CODIGO]],Tabla2[CODIGO],Tabla2[MATERIAL],"N/A",0)</f>
        <v>Cable Encauchetado 3x14 pvc</v>
      </c>
      <c r="C44" t="s">
        <v>277</v>
      </c>
      <c r="D44" s="6">
        <v>90</v>
      </c>
      <c r="E44" s="1">
        <v>46219</v>
      </c>
      <c r="F44" s="6">
        <v>9966</v>
      </c>
      <c r="H44" s="8" t="s">
        <v>77</v>
      </c>
      <c r="I44" s="12" t="str">
        <f>_xlfn.XLOOKUP(Tabla24[[#This Row],[CODIGO]],Tabla2[CODIGO],Tabla2[MATERIAL],"N/A",0)</f>
        <v>Cable Encauchetado 3x14 pvc</v>
      </c>
      <c r="J44">
        <f>SUMIFS(Tabla24[Cantidad],Tabla24[CODIGO],Tabla4[[#This Row],[codigo]],Tabla24[Movimiento],"Ingreso")</f>
        <v>0</v>
      </c>
      <c r="K44">
        <f>SUMIFS(Tabla24[Cantidad],Tabla24[CODIGO],Tabla4[[#This Row],[codigo]],Tabla24[Movimiento],"Salida")</f>
        <v>12</v>
      </c>
      <c r="M44">
        <f>+Tabla4[[#This Row],[total salida]]-Tabla4[[#This Row],[instalado]]</f>
        <v>12</v>
      </c>
    </row>
    <row r="45" spans="1:13" hidden="1" x14ac:dyDescent="0.25">
      <c r="A45" t="s">
        <v>241</v>
      </c>
      <c r="B45" t="str">
        <f>_xlfn.XLOOKUP(Tabla24[[#This Row],[CODIGO]],Tabla2[CODIGO],Tabla2[MATERIAL],"N/A",0)</f>
        <v>capacete tuberia imc 3/4"</v>
      </c>
      <c r="C45" t="s">
        <v>277</v>
      </c>
      <c r="D45" s="6">
        <v>2</v>
      </c>
      <c r="E45" s="1">
        <v>46219</v>
      </c>
      <c r="F45" s="6">
        <v>9966</v>
      </c>
      <c r="H45" t="s">
        <v>241</v>
      </c>
      <c r="I45" t="s">
        <v>242</v>
      </c>
      <c r="J45">
        <f>SUMIFS(Tabla24[Cantidad],Tabla24[CODIGO],Tabla4[[#This Row],[codigo]],Tabla24[Movimiento],"Ingreso")</f>
        <v>2</v>
      </c>
      <c r="K45">
        <f>SUMIFS(Tabla24[Cantidad],Tabla24[CODIGO],Tabla4[[#This Row],[codigo]],Tabla24[Movimiento],"Salida")</f>
        <v>16</v>
      </c>
      <c r="M45">
        <f>+Tabla4[[#This Row],[total salida]]-Tabla4[[#This Row],[instalado]]</f>
        <v>16</v>
      </c>
    </row>
    <row r="46" spans="1:13" hidden="1" x14ac:dyDescent="0.25">
      <c r="A46" t="s">
        <v>265</v>
      </c>
      <c r="B46" t="str">
        <f>_xlfn.XLOOKUP(Tabla24[[#This Row],[CODIGO]],Tabla2[CODIGO],Tabla2[MATERIAL],"N/A",0)</f>
        <v>Cinta Aislante</v>
      </c>
      <c r="C46" t="s">
        <v>277</v>
      </c>
      <c r="D46" s="6">
        <v>1</v>
      </c>
      <c r="E46" s="1">
        <v>46219</v>
      </c>
      <c r="F46" s="6">
        <v>9966</v>
      </c>
      <c r="H46" t="s">
        <v>190</v>
      </c>
      <c r="I46" t="s">
        <v>249</v>
      </c>
      <c r="J46">
        <f>SUMIFS(Tabla24[Cantidad],Tabla24[CODIGO],Tabla4[[#This Row],[codigo]],Tabla24[Movimiento],"Ingreso")</f>
        <v>0</v>
      </c>
      <c r="K46">
        <f>SUMIFS(Tabla24[Cantidad],Tabla24[CODIGO],Tabla4[[#This Row],[codigo]],Tabla24[Movimiento],"Salida")</f>
        <v>0</v>
      </c>
      <c r="M46">
        <f>+Tabla4[[#This Row],[total salida]]-Tabla4[[#This Row],[instalado]]</f>
        <v>0</v>
      </c>
    </row>
    <row r="47" spans="1:13" hidden="1" x14ac:dyDescent="0.25">
      <c r="A47" t="s">
        <v>36</v>
      </c>
      <c r="B47" t="str">
        <f>_xlfn.XLOOKUP(Tabla24[[#This Row],[CODIGO]],Tabla2[CODIGO],Tabla2[MATERIAL],"N/A",0)</f>
        <v>Cinta Bandit 1/2"</v>
      </c>
      <c r="C47" t="s">
        <v>277</v>
      </c>
      <c r="D47" s="6">
        <v>11</v>
      </c>
      <c r="E47" s="1">
        <v>46219</v>
      </c>
      <c r="F47" s="6">
        <v>9966</v>
      </c>
      <c r="H47" t="s">
        <v>256</v>
      </c>
      <c r="I47" t="s">
        <v>257</v>
      </c>
      <c r="J47">
        <f>SUMIFS(Tabla24[Cantidad],Tabla24[CODIGO],Tabla4[[#This Row],[codigo]],Tabla24[Movimiento],"Ingreso")</f>
        <v>0</v>
      </c>
      <c r="K47">
        <f>SUMIFS(Tabla24[Cantidad],Tabla24[CODIGO],Tabla4[[#This Row],[codigo]],Tabla24[Movimiento],"Salida")</f>
        <v>0</v>
      </c>
      <c r="M47">
        <f>+Tabla4[[#This Row],[total salida]]-Tabla4[[#This Row],[instalado]]</f>
        <v>0</v>
      </c>
    </row>
    <row r="48" spans="1:13" x14ac:dyDescent="0.25">
      <c r="A48" t="s">
        <v>53</v>
      </c>
      <c r="B48" t="str">
        <f>_xlfn.XLOOKUP(Tabla24[[#This Row],[CODIGO]],Tabla2[CODIGO],Tabla2[MATERIAL],"N/A",0)</f>
        <v>Conector de Perforacion ais kz-ep (EP95) pequeño</v>
      </c>
      <c r="C48" t="s">
        <v>277</v>
      </c>
      <c r="D48" s="6">
        <v>24</v>
      </c>
      <c r="E48" s="1">
        <v>46219</v>
      </c>
      <c r="F48" s="6">
        <v>9966</v>
      </c>
      <c r="H48" t="s">
        <v>259</v>
      </c>
      <c r="I48" t="s">
        <v>262</v>
      </c>
      <c r="J48">
        <f>SUMIFS(Tabla24[Cantidad],Tabla24[CODIGO],Tabla4[[#This Row],[codigo]],Tabla24[Movimiento],"Ingreso")</f>
        <v>18</v>
      </c>
      <c r="K48">
        <f>SUMIFS(Tabla24[Cantidad],Tabla24[CODIGO],Tabla4[[#This Row],[codigo]],Tabla24[Movimiento],"Salida")</f>
        <v>30</v>
      </c>
      <c r="L48">
        <v>12</v>
      </c>
      <c r="M48">
        <f>+Tabla4[[#This Row],[total salida]]-Tabla4[[#This Row],[instalado]]</f>
        <v>18</v>
      </c>
    </row>
    <row r="49" spans="1:13" hidden="1" x14ac:dyDescent="0.25">
      <c r="A49" t="s">
        <v>54</v>
      </c>
      <c r="B49" t="str">
        <f>_xlfn.XLOOKUP(Tabla24[[#This Row],[CODIGO]],Tabla2[CODIGO],Tabla2[MATERIAL],"N/A",0)</f>
        <v>Conector resorte 18-8</v>
      </c>
      <c r="C49" t="s">
        <v>277</v>
      </c>
      <c r="D49" s="6">
        <v>30</v>
      </c>
      <c r="E49" s="1">
        <v>46219</v>
      </c>
      <c r="F49" s="6">
        <v>9966</v>
      </c>
      <c r="H49" t="s">
        <v>260</v>
      </c>
      <c r="I49" t="s">
        <v>263</v>
      </c>
      <c r="J49">
        <f>SUMIFS(Tabla24[Cantidad],Tabla24[CODIGO],Tabla4[[#This Row],[codigo]],Tabla24[Movimiento],"Ingreso")</f>
        <v>0</v>
      </c>
      <c r="K49">
        <f>SUMIFS(Tabla24[Cantidad],Tabla24[CODIGO],Tabla4[[#This Row],[codigo]],Tabla24[Movimiento],"Salida")</f>
        <v>4</v>
      </c>
      <c r="M49">
        <f>+Tabla4[[#This Row],[total salida]]-Tabla4[[#This Row],[instalado]]</f>
        <v>4</v>
      </c>
    </row>
    <row r="50" spans="1:13" hidden="1" x14ac:dyDescent="0.25">
      <c r="A50" t="s">
        <v>210</v>
      </c>
      <c r="B50" t="str">
        <f>_xlfn.XLOOKUP(Tabla24[[#This Row],[CODIGO]],Tabla2[CODIGO],Tabla2[MATERIAL],"N/A",0)</f>
        <v>Conector Varilla cooperw.</v>
      </c>
      <c r="C50" t="s">
        <v>277</v>
      </c>
      <c r="D50" s="6">
        <v>2</v>
      </c>
      <c r="E50" s="1">
        <v>46219</v>
      </c>
      <c r="F50" s="6">
        <v>9966</v>
      </c>
      <c r="H50" t="s">
        <v>264</v>
      </c>
      <c r="I50" t="s">
        <v>267</v>
      </c>
      <c r="J50">
        <f>SUMIFS(Tabla24[Cantidad],Tabla24[CODIGO],Tabla4[[#This Row],[codigo]],Tabla24[Movimiento],"Ingreso")</f>
        <v>0</v>
      </c>
      <c r="K50">
        <f>SUMIFS(Tabla24[Cantidad],Tabla24[CODIGO],Tabla4[[#This Row],[codigo]],Tabla24[Movimiento],"Salida")</f>
        <v>0</v>
      </c>
      <c r="M50">
        <f>+Tabla4[[#This Row],[total salida]]-Tabla4[[#This Row],[instalado]]</f>
        <v>0</v>
      </c>
    </row>
    <row r="51" spans="1:13" hidden="1" x14ac:dyDescent="0.25">
      <c r="A51" t="s">
        <v>224</v>
      </c>
      <c r="B51" t="str">
        <f>_xlfn.XLOOKUP(Tabla24[[#This Row],[CODIGO]],Tabla2[CODIGO],Tabla2[MATERIAL],"N/A",0)</f>
        <v>Empalme gel ppal 8-4/0 a der 14-2/0 awg (grande)</v>
      </c>
      <c r="C51" t="s">
        <v>277</v>
      </c>
      <c r="D51" s="6">
        <v>24</v>
      </c>
      <c r="E51" s="1">
        <v>46219</v>
      </c>
      <c r="F51" s="6">
        <v>9966</v>
      </c>
      <c r="H51" t="s">
        <v>265</v>
      </c>
      <c r="I51" t="s">
        <v>266</v>
      </c>
      <c r="J51">
        <f>SUMIFS(Tabla24[Cantidad],Tabla24[CODIGO],Tabla4[[#This Row],[codigo]],Tabla24[Movimiento],"Ingreso")</f>
        <v>3</v>
      </c>
      <c r="K51">
        <f>SUMIFS(Tabla24[Cantidad],Tabla24[CODIGO],Tabla4[[#This Row],[codigo]],Tabla24[Movimiento],"Salida")</f>
        <v>4</v>
      </c>
      <c r="M51">
        <f>+Tabla4[[#This Row],[total salida]]-Tabla4[[#This Row],[instalado]]</f>
        <v>4</v>
      </c>
    </row>
    <row r="52" spans="1:13" hidden="1" x14ac:dyDescent="0.25">
      <c r="A52" t="s">
        <v>137</v>
      </c>
      <c r="B52" t="str">
        <f>_xlfn.XLOOKUP(Tabla24[[#This Row],[CODIGO]],Tabla2[CODIGO],Tabla2[MATERIAL],"N/A",0)</f>
        <v>Fotocelda</v>
      </c>
      <c r="C52" t="s">
        <v>277</v>
      </c>
      <c r="D52" s="6">
        <v>24</v>
      </c>
      <c r="E52" s="1">
        <v>46219</v>
      </c>
      <c r="F52" s="6">
        <v>9966</v>
      </c>
      <c r="H52" t="s">
        <v>270</v>
      </c>
      <c r="I52" t="s">
        <v>284</v>
      </c>
      <c r="J52">
        <f>SUMIFS(Tabla24[Cantidad],Tabla24[CODIGO],Tabla4[[#This Row],[codigo]],Tabla24[Movimiento],"Ingreso")</f>
        <v>6</v>
      </c>
      <c r="K52">
        <f>SUMIFS(Tabla24[Cantidad],Tabla24[CODIGO],Tabla4[[#This Row],[codigo]],Tabla24[Movimiento],"Salida")</f>
        <v>6</v>
      </c>
      <c r="L52">
        <v>2</v>
      </c>
      <c r="M52">
        <f>+Tabla4[[#This Row],[total salida]]-Tabla4[[#This Row],[instalado]]</f>
        <v>4</v>
      </c>
    </row>
    <row r="53" spans="1:13" hidden="1" x14ac:dyDescent="0.25">
      <c r="A53" t="s">
        <v>212</v>
      </c>
      <c r="B53" t="str">
        <f>_xlfn.XLOOKUP(Tabla24[[#This Row],[CODIGO]],Tabla2[CODIGO],Tabla2[MATERIAL],"N/A",0)</f>
        <v>Grillete galvanizado 1,1/2</v>
      </c>
      <c r="C53" t="s">
        <v>277</v>
      </c>
      <c r="D53" s="6">
        <v>10</v>
      </c>
      <c r="E53" s="1">
        <v>46219</v>
      </c>
      <c r="F53" s="6">
        <v>9966</v>
      </c>
    </row>
    <row r="54" spans="1:13" hidden="1" x14ac:dyDescent="0.25">
      <c r="A54" t="s">
        <v>37</v>
      </c>
      <c r="B54" t="str">
        <f>_xlfn.XLOOKUP(Tabla24[[#This Row],[CODIGO]],Tabla2[CODIGO],Tabla2[MATERIAL],"N/A",0)</f>
        <v>Hebilla para cinta bandit 1/2"</v>
      </c>
      <c r="C54" t="s">
        <v>277</v>
      </c>
      <c r="D54" s="6">
        <v>15</v>
      </c>
      <c r="E54" s="1">
        <v>46219</v>
      </c>
      <c r="F54" s="6">
        <v>9966</v>
      </c>
    </row>
    <row r="55" spans="1:13" hidden="1" x14ac:dyDescent="0.25">
      <c r="A55" t="s">
        <v>50</v>
      </c>
      <c r="B55" t="str">
        <f>_xlfn.XLOOKUP(Tabla24[[#This Row],[CODIGO]],Tabla2[CODIGO],Tabla2[MATERIAL],"N/A",0)</f>
        <v>Percha galv 1 puesto</v>
      </c>
      <c r="C55" t="s">
        <v>277</v>
      </c>
      <c r="D55" s="6">
        <v>2</v>
      </c>
      <c r="E55" s="1">
        <v>46219</v>
      </c>
      <c r="F55" s="6">
        <v>9966</v>
      </c>
    </row>
    <row r="56" spans="1:13" hidden="1" x14ac:dyDescent="0.25">
      <c r="A56" t="s">
        <v>268</v>
      </c>
      <c r="B56" t="str">
        <f>_xlfn.XLOOKUP(Tabla24[[#This Row],[CODIGO]],Tabla2[CODIGO],Tabla2[MATERIAL],"N/A",0)</f>
        <v>Tornillo Maquina 1/2*1 1/2</v>
      </c>
      <c r="C56" t="s">
        <v>277</v>
      </c>
      <c r="D56" s="6">
        <v>4</v>
      </c>
      <c r="E56" s="1">
        <v>46219</v>
      </c>
      <c r="F56" s="6">
        <v>9966</v>
      </c>
    </row>
    <row r="57" spans="1:13" hidden="1" x14ac:dyDescent="0.25">
      <c r="A57" t="s">
        <v>38</v>
      </c>
      <c r="B57" t="str">
        <f>_xlfn.XLOOKUP(Tabla24[[#This Row],[CODIGO]],Tabla2[CODIGO],Tabla2[MATERIAL],"N/A",0)</f>
        <v>Tuberia Conduflex 3/4"</v>
      </c>
      <c r="C57" t="s">
        <v>277</v>
      </c>
      <c r="D57" s="6">
        <v>4</v>
      </c>
      <c r="E57" s="1">
        <v>46219</v>
      </c>
      <c r="F57" s="6">
        <v>9966</v>
      </c>
    </row>
    <row r="58" spans="1:13" hidden="1" x14ac:dyDescent="0.25">
      <c r="A58" t="s">
        <v>213</v>
      </c>
      <c r="B58" t="str">
        <f>_xlfn.XLOOKUP(Tabla24[[#This Row],[CODIGO]],Tabla2[CODIGO],Tabla2[MATERIAL],"N/A",0)</f>
        <v>Tuerca Hexagona 5/8</v>
      </c>
      <c r="C58" t="s">
        <v>277</v>
      </c>
      <c r="D58" s="6">
        <v>4</v>
      </c>
      <c r="E58" s="1">
        <v>46219</v>
      </c>
      <c r="F58" s="6">
        <v>9966</v>
      </c>
    </row>
    <row r="59" spans="1:13" hidden="1" x14ac:dyDescent="0.25">
      <c r="A59" t="s">
        <v>198</v>
      </c>
      <c r="B59" t="str">
        <f>_xlfn.XLOOKUP(Tabla24[[#This Row],[CODIGO]],Tabla2[CODIGO],Tabla2[MATERIAL],"N/A",0)</f>
        <v>Varilla cooperweld 2,4m</v>
      </c>
      <c r="C59" t="s">
        <v>277</v>
      </c>
      <c r="D59" s="6">
        <v>2</v>
      </c>
      <c r="E59" s="1">
        <v>46219</v>
      </c>
      <c r="F59" s="6">
        <v>9966</v>
      </c>
    </row>
    <row r="60" spans="1:13" hidden="1" x14ac:dyDescent="0.25">
      <c r="A60" t="s">
        <v>84</v>
      </c>
      <c r="B60" t="str">
        <f>_xlfn.XLOOKUP(Tabla24[[#This Row],[CODIGO]],Tabla2[CODIGO],Tabla2[MATERIAL],"N/A",0)</f>
        <v>Luminaria 110w</v>
      </c>
      <c r="C60" t="s">
        <v>277</v>
      </c>
      <c r="D60" s="6">
        <v>4</v>
      </c>
      <c r="E60" s="1">
        <v>46219</v>
      </c>
      <c r="F60" s="6">
        <v>9966</v>
      </c>
    </row>
    <row r="61" spans="1:13" hidden="1" x14ac:dyDescent="0.25">
      <c r="A61" t="s">
        <v>304</v>
      </c>
      <c r="B61" t="str">
        <f>_xlfn.XLOOKUP(Tabla24[[#This Row],[CODIGO]],Tabla2[CODIGO],Tabla2[MATERIAL],"N/A",0)</f>
        <v>Luminaria 75w</v>
      </c>
      <c r="C61" t="s">
        <v>277</v>
      </c>
      <c r="D61" s="6">
        <v>13</v>
      </c>
      <c r="E61" s="1">
        <v>46219</v>
      </c>
      <c r="F61" s="6">
        <v>9966</v>
      </c>
    </row>
    <row r="62" spans="1:13" hidden="1" x14ac:dyDescent="0.25">
      <c r="A62" t="s">
        <v>290</v>
      </c>
      <c r="B62" t="str">
        <f>_xlfn.XLOOKUP(Tabla24[[#This Row],[CODIGO]],Tabla2[CODIGO],Tabla2[MATERIAL],"N/A",0)</f>
        <v>proyector 90w</v>
      </c>
      <c r="C62" t="s">
        <v>277</v>
      </c>
      <c r="D62" s="6">
        <v>6</v>
      </c>
      <c r="E62" s="1">
        <v>46219</v>
      </c>
      <c r="F62" s="6">
        <v>9966</v>
      </c>
    </row>
    <row r="63" spans="1:13" hidden="1" x14ac:dyDescent="0.25">
      <c r="A63" t="s">
        <v>318</v>
      </c>
      <c r="B63" t="str">
        <f>_xlfn.XLOOKUP(Tabla24[[#This Row],[CODIGO]],Tabla2[CODIGO],Tabla2[MATERIAL],"N/A",0)</f>
        <v>Cable AL aa-8000 4 awg</v>
      </c>
      <c r="C63" t="s">
        <v>277</v>
      </c>
      <c r="D63" s="6">
        <v>90</v>
      </c>
      <c r="E63" s="1">
        <v>46219</v>
      </c>
      <c r="F63" s="6">
        <v>9966</v>
      </c>
    </row>
    <row r="64" spans="1:13" hidden="1" x14ac:dyDescent="0.25">
      <c r="A64" t="s">
        <v>319</v>
      </c>
      <c r="B64" t="str">
        <f>_xlfn.XLOOKUP(Tabla24[[#This Row],[CODIGO]],Tabla2[CODIGO],Tabla2[MATERIAL],"N/A",0)</f>
        <v>alambre Cu thhn 14 verde</v>
      </c>
      <c r="C64" t="s">
        <v>277</v>
      </c>
      <c r="D64" s="6">
        <v>35</v>
      </c>
      <c r="E64" s="1">
        <v>46219</v>
      </c>
      <c r="F64" s="6">
        <v>9966</v>
      </c>
    </row>
    <row r="65" spans="1:6" hidden="1" x14ac:dyDescent="0.25">
      <c r="A65" t="s">
        <v>226</v>
      </c>
      <c r="B65" t="str">
        <f>_xlfn.XLOOKUP(Tabla24[[#This Row],[CODIGO]],Tabla2[CODIGO],Tabla2[MATERIAL],"N/A",0)</f>
        <v>Abrazadera una salida 6"</v>
      </c>
      <c r="C65" t="s">
        <v>277</v>
      </c>
      <c r="D65" s="6">
        <v>20</v>
      </c>
      <c r="E65" s="1">
        <v>46219</v>
      </c>
      <c r="F65" s="6">
        <v>9967</v>
      </c>
    </row>
    <row r="66" spans="1:6" hidden="1" x14ac:dyDescent="0.25">
      <c r="A66" t="s">
        <v>261</v>
      </c>
      <c r="B66" t="str">
        <f>_xlfn.XLOOKUP(Tabla24[[#This Row],[CODIGO]],Tabla2[CODIGO],Tabla2[MATERIAL],"N/A",0)</f>
        <v>Abrazadera sin salida 6"</v>
      </c>
      <c r="C66" t="s">
        <v>277</v>
      </c>
      <c r="D66" s="6">
        <v>6</v>
      </c>
      <c r="E66" s="1">
        <v>46219</v>
      </c>
      <c r="F66" s="6">
        <v>9967</v>
      </c>
    </row>
    <row r="67" spans="1:6" hidden="1" x14ac:dyDescent="0.25">
      <c r="A67" t="s">
        <v>56</v>
      </c>
      <c r="B67" t="str">
        <f>_xlfn.XLOOKUP(Tabla24[[#This Row],[CODIGO]],Tabla2[CODIGO],Tabla2[MATERIAL],"N/A",0)</f>
        <v>Aislador Carrreto</v>
      </c>
      <c r="C67" t="s">
        <v>277</v>
      </c>
      <c r="D67" s="6">
        <v>6</v>
      </c>
      <c r="E67" s="1">
        <v>46219</v>
      </c>
      <c r="F67" s="6">
        <v>9967</v>
      </c>
    </row>
    <row r="68" spans="1:6" hidden="1" x14ac:dyDescent="0.25">
      <c r="A68" t="s">
        <v>216</v>
      </c>
      <c r="B68" t="str">
        <f>_xlfn.XLOOKUP(Tabla24[[#This Row],[CODIGO]],Tabla2[CODIGO],Tabla2[MATERIAL],"N/A",0)</f>
        <v>Brazo Galvanizado 2" x 2m</v>
      </c>
      <c r="C68" t="s">
        <v>277</v>
      </c>
      <c r="D68" s="6">
        <v>23</v>
      </c>
      <c r="E68" s="1">
        <v>46219</v>
      </c>
      <c r="F68" s="6">
        <v>9967</v>
      </c>
    </row>
    <row r="69" spans="1:6" hidden="1" x14ac:dyDescent="0.25">
      <c r="A69" t="s">
        <v>323</v>
      </c>
      <c r="B69" t="str">
        <f>_xlfn.XLOOKUP(Tabla24[[#This Row],[CODIGO]],Tabla2[CODIGO],Tabla2[MATERIAL],"N/A",0)</f>
        <v>Brazo Galvanizado 1 1/2" tipo L</v>
      </c>
      <c r="C69" t="s">
        <v>277</v>
      </c>
      <c r="D69" s="6">
        <v>2</v>
      </c>
      <c r="E69" s="1">
        <v>46219</v>
      </c>
      <c r="F69" s="6">
        <v>9967</v>
      </c>
    </row>
    <row r="70" spans="1:6" hidden="1" x14ac:dyDescent="0.25">
      <c r="A70" t="s">
        <v>194</v>
      </c>
      <c r="B70" t="str">
        <f>_xlfn.XLOOKUP(Tabla24[[#This Row],[CODIGO]],Tabla2[CODIGO],Tabla2[MATERIAL],"N/A",0)</f>
        <v>Cable TPX 2x4 1x4 awg</v>
      </c>
      <c r="C70" t="s">
        <v>277</v>
      </c>
      <c r="D70" s="6">
        <v>40</v>
      </c>
      <c r="E70" s="1">
        <v>46219</v>
      </c>
      <c r="F70" s="6">
        <v>9967</v>
      </c>
    </row>
    <row r="71" spans="1:6" hidden="1" x14ac:dyDescent="0.25">
      <c r="A71" t="s">
        <v>21</v>
      </c>
      <c r="B71" t="str">
        <f>_xlfn.XLOOKUP(Tabla24[[#This Row],[CODIGO]],Tabla2[CODIGO],Tabla2[MATERIAL],"N/A",0)</f>
        <v>Cable Encauchetado 3x14 pvc</v>
      </c>
      <c r="C71" t="s">
        <v>277</v>
      </c>
      <c r="D71" s="6">
        <v>100</v>
      </c>
      <c r="E71" s="1">
        <v>46219</v>
      </c>
      <c r="F71" s="6">
        <v>9967</v>
      </c>
    </row>
    <row r="72" spans="1:6" hidden="1" x14ac:dyDescent="0.25">
      <c r="A72" t="s">
        <v>265</v>
      </c>
      <c r="B72" t="str">
        <f>_xlfn.XLOOKUP(Tabla24[[#This Row],[CODIGO]],Tabla2[CODIGO],Tabla2[MATERIAL],"N/A",0)</f>
        <v>Cinta Aislante</v>
      </c>
      <c r="C72" t="s">
        <v>277</v>
      </c>
      <c r="D72" s="6">
        <v>1</v>
      </c>
      <c r="E72" s="1">
        <v>46219</v>
      </c>
      <c r="F72" s="6">
        <v>9967</v>
      </c>
    </row>
    <row r="73" spans="1:6" x14ac:dyDescent="0.25">
      <c r="A73" t="s">
        <v>53</v>
      </c>
      <c r="B73" t="str">
        <f>_xlfn.XLOOKUP(Tabla24[[#This Row],[CODIGO]],Tabla2[CODIGO],Tabla2[MATERIAL],"N/A",0)</f>
        <v>Conector de Perforacion ais kz-ep (EP95) pequeño</v>
      </c>
      <c r="C73" t="s">
        <v>277</v>
      </c>
      <c r="D73" s="6">
        <v>45</v>
      </c>
      <c r="E73" s="1">
        <v>46219</v>
      </c>
      <c r="F73" s="6">
        <v>9967</v>
      </c>
    </row>
    <row r="74" spans="1:6" hidden="1" x14ac:dyDescent="0.25">
      <c r="A74" t="s">
        <v>54</v>
      </c>
      <c r="B74" t="str">
        <f>_xlfn.XLOOKUP(Tabla24[[#This Row],[CODIGO]],Tabla2[CODIGO],Tabla2[MATERIAL],"N/A",0)</f>
        <v>Conector resorte 18-8</v>
      </c>
      <c r="C74" t="s">
        <v>277</v>
      </c>
      <c r="D74" s="6">
        <v>30</v>
      </c>
      <c r="E74" s="1">
        <v>46219</v>
      </c>
      <c r="F74" s="6">
        <v>9967</v>
      </c>
    </row>
    <row r="75" spans="1:6" hidden="1" x14ac:dyDescent="0.25">
      <c r="A75" t="s">
        <v>224</v>
      </c>
      <c r="B75" t="str">
        <f>_xlfn.XLOOKUP(Tabla24[[#This Row],[CODIGO]],Tabla2[CODIGO],Tabla2[MATERIAL],"N/A",0)</f>
        <v>Empalme gel ppal 8-4/0 a der 14-2/0 awg (grande)</v>
      </c>
      <c r="C75" t="s">
        <v>277</v>
      </c>
      <c r="D75" s="6">
        <v>22</v>
      </c>
      <c r="E75" s="1">
        <v>46219</v>
      </c>
      <c r="F75" s="6">
        <v>9967</v>
      </c>
    </row>
    <row r="76" spans="1:6" hidden="1" x14ac:dyDescent="0.25">
      <c r="A76" t="s">
        <v>60</v>
      </c>
      <c r="B76" t="str">
        <f>_xlfn.XLOOKUP(Tabla24[[#This Row],[CODIGO]],Tabla2[CODIGO],Tabla2[MATERIAL],"N/A",0)</f>
        <v>Fotocelda</v>
      </c>
      <c r="C76" t="s">
        <v>277</v>
      </c>
      <c r="D76" s="6">
        <v>25</v>
      </c>
      <c r="E76" s="1">
        <v>46219</v>
      </c>
      <c r="F76" s="6">
        <v>9967</v>
      </c>
    </row>
    <row r="77" spans="1:6" hidden="1" x14ac:dyDescent="0.25">
      <c r="A77" t="s">
        <v>212</v>
      </c>
      <c r="B77" t="str">
        <f>_xlfn.XLOOKUP(Tabla24[[#This Row],[CODIGO]],Tabla2[CODIGO],Tabla2[MATERIAL],"N/A",0)</f>
        <v>Grillete galvanizado 1,1/2</v>
      </c>
      <c r="C77" t="s">
        <v>277</v>
      </c>
      <c r="D77" s="6">
        <v>20</v>
      </c>
      <c r="E77" s="1">
        <v>46219</v>
      </c>
      <c r="F77" s="6">
        <v>9967</v>
      </c>
    </row>
    <row r="78" spans="1:6" hidden="1" x14ac:dyDescent="0.25">
      <c r="A78" t="s">
        <v>30</v>
      </c>
      <c r="B78" t="str">
        <f>_xlfn.XLOOKUP(Tabla24[[#This Row],[CODIGO]],Tabla2[CODIGO],Tabla2[MATERIAL],"N/A",0)</f>
        <v>Kit puesta tierra acero inoxidable</v>
      </c>
      <c r="C78" t="s">
        <v>277</v>
      </c>
      <c r="D78" s="6">
        <v>3</v>
      </c>
      <c r="E78" s="1">
        <v>46219</v>
      </c>
      <c r="F78" s="6">
        <v>9967</v>
      </c>
    </row>
    <row r="79" spans="1:6" hidden="1" x14ac:dyDescent="0.25">
      <c r="A79" t="s">
        <v>50</v>
      </c>
      <c r="B79" t="str">
        <f>_xlfn.XLOOKUP(Tabla24[[#This Row],[CODIGO]],Tabla2[CODIGO],Tabla2[MATERIAL],"N/A",0)</f>
        <v>Percha galv 1 puesto</v>
      </c>
      <c r="C79" t="s">
        <v>277</v>
      </c>
      <c r="D79" s="6">
        <v>6</v>
      </c>
      <c r="E79" s="1">
        <v>46219</v>
      </c>
      <c r="F79" s="6">
        <v>9967</v>
      </c>
    </row>
    <row r="80" spans="1:6" hidden="1" x14ac:dyDescent="0.25">
      <c r="A80" t="s">
        <v>47</v>
      </c>
      <c r="B80" t="str">
        <f>_xlfn.XLOOKUP(Tabla24[[#This Row],[CODIGO]],Tabla2[CODIGO],Tabla2[MATERIAL],"N/A",0)</f>
        <v>Luminaria 75w</v>
      </c>
      <c r="C80" t="s">
        <v>277</v>
      </c>
      <c r="D80" s="6">
        <v>25</v>
      </c>
      <c r="E80" s="1">
        <v>46219</v>
      </c>
      <c r="F80" s="6">
        <v>9967</v>
      </c>
    </row>
    <row r="81" spans="1:6" hidden="1" x14ac:dyDescent="0.25">
      <c r="A81" t="s">
        <v>299</v>
      </c>
      <c r="B81" t="str">
        <f>_xlfn.XLOOKUP(Tabla24[[#This Row],[CODIGO]],Tabla2[CODIGO],Tabla2[MATERIAL],"N/A",0)</f>
        <v>Abrazadera una salida 7"</v>
      </c>
      <c r="C81" t="s">
        <v>278</v>
      </c>
      <c r="D81" s="6">
        <v>2</v>
      </c>
      <c r="E81" s="1">
        <v>46220</v>
      </c>
      <c r="F81" s="6">
        <v>9966</v>
      </c>
    </row>
    <row r="82" spans="1:6" hidden="1" x14ac:dyDescent="0.25">
      <c r="A82" t="s">
        <v>56</v>
      </c>
      <c r="B82" t="str">
        <f>_xlfn.XLOOKUP(Tabla24[[#This Row],[CODIGO]],Tabla2[CODIGO],Tabla2[MATERIAL],"N/A",0)</f>
        <v>Aislador Carrreto</v>
      </c>
      <c r="C82" t="s">
        <v>278</v>
      </c>
      <c r="D82" s="6">
        <v>2</v>
      </c>
      <c r="E82" s="1">
        <v>46220</v>
      </c>
      <c r="F82" s="6">
        <v>9966</v>
      </c>
    </row>
    <row r="83" spans="1:6" hidden="1" x14ac:dyDescent="0.25">
      <c r="A83" t="s">
        <v>216</v>
      </c>
      <c r="B83" t="str">
        <f>_xlfn.XLOOKUP(Tabla24[[#This Row],[CODIGO]],Tabla2[CODIGO],Tabla2[MATERIAL],"N/A",0)</f>
        <v>Brazo Galvanizado 2" x 2m</v>
      </c>
      <c r="C83" t="s">
        <v>278</v>
      </c>
      <c r="D83" s="6">
        <v>18</v>
      </c>
      <c r="E83" s="1">
        <v>46220</v>
      </c>
      <c r="F83" s="6">
        <v>9966</v>
      </c>
    </row>
    <row r="84" spans="1:6" hidden="1" x14ac:dyDescent="0.25">
      <c r="A84" t="s">
        <v>194</v>
      </c>
      <c r="B84" t="str">
        <f>_xlfn.XLOOKUP(Tabla24[[#This Row],[CODIGO]],Tabla2[CODIGO],Tabla2[MATERIAL],"N/A",0)</f>
        <v>Cable TPX 2x4 1x4 awg</v>
      </c>
      <c r="C84" t="s">
        <v>278</v>
      </c>
      <c r="D84" s="6">
        <v>25</v>
      </c>
      <c r="E84" s="1">
        <v>46220</v>
      </c>
      <c r="F84" s="6">
        <v>9966</v>
      </c>
    </row>
    <row r="85" spans="1:6" hidden="1" x14ac:dyDescent="0.25">
      <c r="A85" t="s">
        <v>21</v>
      </c>
      <c r="B85" t="str">
        <f>_xlfn.XLOOKUP(Tabla24[[#This Row],[CODIGO]],Tabla2[CODIGO],Tabla2[MATERIAL],"N/A",0)</f>
        <v>Cable Encauchetado 3x14 pvc</v>
      </c>
      <c r="C85" t="s">
        <v>278</v>
      </c>
      <c r="D85" s="6">
        <v>90</v>
      </c>
      <c r="E85" s="1">
        <v>46220</v>
      </c>
      <c r="F85" s="6">
        <v>9966</v>
      </c>
    </row>
    <row r="86" spans="1:6" hidden="1" x14ac:dyDescent="0.25">
      <c r="A86" t="s">
        <v>241</v>
      </c>
      <c r="B86" t="str">
        <f>_xlfn.XLOOKUP(Tabla24[[#This Row],[CODIGO]],Tabla2[CODIGO],Tabla2[MATERIAL],"N/A",0)</f>
        <v>capacete tuberia imc 3/4"</v>
      </c>
      <c r="C86" t="s">
        <v>278</v>
      </c>
      <c r="D86" s="6">
        <v>2</v>
      </c>
      <c r="E86" s="1">
        <v>46220</v>
      </c>
      <c r="F86" s="6">
        <v>9966</v>
      </c>
    </row>
    <row r="87" spans="1:6" hidden="1" x14ac:dyDescent="0.25">
      <c r="A87" t="s">
        <v>265</v>
      </c>
      <c r="B87" t="str">
        <f>_xlfn.XLOOKUP(Tabla24[[#This Row],[CODIGO]],Tabla2[CODIGO],Tabla2[MATERIAL],"N/A",0)</f>
        <v>Cinta Aislante</v>
      </c>
      <c r="C87" t="s">
        <v>278</v>
      </c>
      <c r="D87" s="6">
        <v>1</v>
      </c>
      <c r="E87" s="1">
        <v>46220</v>
      </c>
      <c r="F87" s="6">
        <v>9966</v>
      </c>
    </row>
    <row r="88" spans="1:6" hidden="1" x14ac:dyDescent="0.25">
      <c r="A88" t="s">
        <v>36</v>
      </c>
      <c r="B88" t="str">
        <f>_xlfn.XLOOKUP(Tabla24[[#This Row],[CODIGO]],Tabla2[CODIGO],Tabla2[MATERIAL],"N/A",0)</f>
        <v>Cinta Bandit 1/2"</v>
      </c>
      <c r="C88" t="s">
        <v>278</v>
      </c>
      <c r="D88" s="6">
        <v>11</v>
      </c>
      <c r="E88" s="1">
        <v>46220</v>
      </c>
      <c r="F88" s="6">
        <v>9966</v>
      </c>
    </row>
    <row r="89" spans="1:6" x14ac:dyDescent="0.25">
      <c r="A89" t="s">
        <v>53</v>
      </c>
      <c r="B89" t="str">
        <f>_xlfn.XLOOKUP(Tabla24[[#This Row],[CODIGO]],Tabla2[CODIGO],Tabla2[MATERIAL],"N/A",0)</f>
        <v>Conector de Perforacion ais kz-ep (EP95) pequeño</v>
      </c>
      <c r="C89" t="s">
        <v>278</v>
      </c>
      <c r="D89" s="6">
        <v>24</v>
      </c>
      <c r="E89" s="1">
        <v>46220</v>
      </c>
      <c r="F89" s="6">
        <v>9966</v>
      </c>
    </row>
    <row r="90" spans="1:6" hidden="1" x14ac:dyDescent="0.25">
      <c r="A90" t="s">
        <v>54</v>
      </c>
      <c r="B90" t="str">
        <f>_xlfn.XLOOKUP(Tabla24[[#This Row],[CODIGO]],Tabla2[CODIGO],Tabla2[MATERIAL],"N/A",0)</f>
        <v>Conector resorte 18-8</v>
      </c>
      <c r="C90" t="s">
        <v>278</v>
      </c>
      <c r="D90" s="6">
        <v>30</v>
      </c>
      <c r="E90" s="1">
        <v>46220</v>
      </c>
      <c r="F90" s="6">
        <v>9966</v>
      </c>
    </row>
    <row r="91" spans="1:6" hidden="1" x14ac:dyDescent="0.25">
      <c r="A91" t="s">
        <v>210</v>
      </c>
      <c r="B91" t="str">
        <f>_xlfn.XLOOKUP(Tabla24[[#This Row],[CODIGO]],Tabla2[CODIGO],Tabla2[MATERIAL],"N/A",0)</f>
        <v>Conector Varilla cooperw.</v>
      </c>
      <c r="C91" t="s">
        <v>278</v>
      </c>
      <c r="D91" s="6">
        <v>2</v>
      </c>
      <c r="E91" s="1">
        <v>46220</v>
      </c>
      <c r="F91" s="6">
        <v>9966</v>
      </c>
    </row>
    <row r="92" spans="1:6" hidden="1" x14ac:dyDescent="0.25">
      <c r="A92" t="s">
        <v>224</v>
      </c>
      <c r="B92" t="str">
        <f>_xlfn.XLOOKUP(Tabla24[[#This Row],[CODIGO]],Tabla2[CODIGO],Tabla2[MATERIAL],"N/A",0)</f>
        <v>Empalme gel ppal 8-4/0 a der 14-2/0 awg (grande)</v>
      </c>
      <c r="C92" t="s">
        <v>278</v>
      </c>
      <c r="D92" s="6">
        <v>24</v>
      </c>
      <c r="E92" s="1">
        <v>46220</v>
      </c>
      <c r="F92" s="6">
        <v>9966</v>
      </c>
    </row>
    <row r="93" spans="1:6" hidden="1" x14ac:dyDescent="0.25">
      <c r="A93" t="s">
        <v>137</v>
      </c>
      <c r="B93" t="str">
        <f>_xlfn.XLOOKUP(Tabla24[[#This Row],[CODIGO]],Tabla2[CODIGO],Tabla2[MATERIAL],"N/A",0)</f>
        <v>Fotocelda</v>
      </c>
      <c r="C93" t="s">
        <v>278</v>
      </c>
      <c r="D93" s="6">
        <v>24</v>
      </c>
      <c r="E93" s="1">
        <v>46220</v>
      </c>
      <c r="F93" s="6">
        <v>9966</v>
      </c>
    </row>
    <row r="94" spans="1:6" hidden="1" x14ac:dyDescent="0.25">
      <c r="A94" t="s">
        <v>212</v>
      </c>
      <c r="B94" t="str">
        <f>_xlfn.XLOOKUP(Tabla24[[#This Row],[CODIGO]],Tabla2[CODIGO],Tabla2[MATERIAL],"N/A",0)</f>
        <v>Grillete galvanizado 1,1/2</v>
      </c>
      <c r="C94" t="s">
        <v>278</v>
      </c>
      <c r="D94" s="6">
        <v>10</v>
      </c>
      <c r="E94" s="1">
        <v>46220</v>
      </c>
      <c r="F94" s="6">
        <v>9966</v>
      </c>
    </row>
    <row r="95" spans="1:6" hidden="1" x14ac:dyDescent="0.25">
      <c r="A95" t="s">
        <v>37</v>
      </c>
      <c r="B95" t="str">
        <f>_xlfn.XLOOKUP(Tabla24[[#This Row],[CODIGO]],Tabla2[CODIGO],Tabla2[MATERIAL],"N/A",0)</f>
        <v>Hebilla para cinta bandit 1/2"</v>
      </c>
      <c r="C95" t="s">
        <v>278</v>
      </c>
      <c r="D95" s="6">
        <v>15</v>
      </c>
      <c r="E95" s="1">
        <v>46220</v>
      </c>
      <c r="F95" s="6">
        <v>9966</v>
      </c>
    </row>
    <row r="96" spans="1:6" hidden="1" x14ac:dyDescent="0.25">
      <c r="A96" t="s">
        <v>50</v>
      </c>
      <c r="B96" t="str">
        <f>_xlfn.XLOOKUP(Tabla24[[#This Row],[CODIGO]],Tabla2[CODIGO],Tabla2[MATERIAL],"N/A",0)</f>
        <v>Percha galv 1 puesto</v>
      </c>
      <c r="C96" t="s">
        <v>278</v>
      </c>
      <c r="D96" s="6">
        <v>2</v>
      </c>
      <c r="E96" s="1">
        <v>46220</v>
      </c>
      <c r="F96" s="6">
        <v>9966</v>
      </c>
    </row>
    <row r="97" spans="1:6" hidden="1" x14ac:dyDescent="0.25">
      <c r="A97" t="s">
        <v>268</v>
      </c>
      <c r="B97" t="str">
        <f>_xlfn.XLOOKUP(Tabla24[[#This Row],[CODIGO]],Tabla2[CODIGO],Tabla2[MATERIAL],"N/A",0)</f>
        <v>Tornillo Maquina 1/2*1 1/2</v>
      </c>
      <c r="C97" t="s">
        <v>278</v>
      </c>
      <c r="D97" s="6">
        <v>4</v>
      </c>
      <c r="E97" s="1">
        <v>46220</v>
      </c>
      <c r="F97" s="6">
        <v>9966</v>
      </c>
    </row>
    <row r="98" spans="1:6" hidden="1" x14ac:dyDescent="0.25">
      <c r="A98" t="s">
        <v>38</v>
      </c>
      <c r="B98" t="str">
        <f>_xlfn.XLOOKUP(Tabla24[[#This Row],[CODIGO]],Tabla2[CODIGO],Tabla2[MATERIAL],"N/A",0)</f>
        <v>Tuberia Conduflex 3/4"</v>
      </c>
      <c r="C98" t="s">
        <v>278</v>
      </c>
      <c r="D98" s="6">
        <v>4</v>
      </c>
      <c r="E98" s="1">
        <v>46220</v>
      </c>
      <c r="F98" s="6">
        <v>9966</v>
      </c>
    </row>
    <row r="99" spans="1:6" hidden="1" x14ac:dyDescent="0.25">
      <c r="A99" t="s">
        <v>213</v>
      </c>
      <c r="B99" t="str">
        <f>_xlfn.XLOOKUP(Tabla24[[#This Row],[CODIGO]],Tabla2[CODIGO],Tabla2[MATERIAL],"N/A",0)</f>
        <v>Tuerca Hexagona 5/8</v>
      </c>
      <c r="C99" t="s">
        <v>278</v>
      </c>
      <c r="D99" s="6">
        <v>4</v>
      </c>
      <c r="E99" s="1">
        <v>46220</v>
      </c>
      <c r="F99" s="6">
        <v>9966</v>
      </c>
    </row>
    <row r="100" spans="1:6" hidden="1" x14ac:dyDescent="0.25">
      <c r="A100" t="s">
        <v>198</v>
      </c>
      <c r="B100" t="str">
        <f>_xlfn.XLOOKUP(Tabla24[[#This Row],[CODIGO]],Tabla2[CODIGO],Tabla2[MATERIAL],"N/A",0)</f>
        <v>Varilla cooperweld 2,4m</v>
      </c>
      <c r="C100" t="s">
        <v>278</v>
      </c>
      <c r="D100" s="6">
        <v>2</v>
      </c>
      <c r="E100" s="1">
        <v>46220</v>
      </c>
      <c r="F100" s="6">
        <v>9966</v>
      </c>
    </row>
    <row r="101" spans="1:6" hidden="1" x14ac:dyDescent="0.25">
      <c r="A101" t="s">
        <v>84</v>
      </c>
      <c r="B101" t="str">
        <f>_xlfn.XLOOKUP(Tabla24[[#This Row],[CODIGO]],Tabla2[CODIGO],Tabla2[MATERIAL],"N/A",0)</f>
        <v>Luminaria 110w</v>
      </c>
      <c r="C101" t="s">
        <v>278</v>
      </c>
      <c r="D101" s="6">
        <v>4</v>
      </c>
      <c r="E101" s="1">
        <v>46220</v>
      </c>
      <c r="F101" s="6">
        <v>9966</v>
      </c>
    </row>
    <row r="102" spans="1:6" hidden="1" x14ac:dyDescent="0.25">
      <c r="A102" t="s">
        <v>304</v>
      </c>
      <c r="B102" t="str">
        <f>_xlfn.XLOOKUP(Tabla24[[#This Row],[CODIGO]],Tabla2[CODIGO],Tabla2[MATERIAL],"N/A",0)</f>
        <v>Luminaria 75w</v>
      </c>
      <c r="C102" t="s">
        <v>278</v>
      </c>
      <c r="D102" s="6">
        <v>13</v>
      </c>
      <c r="E102" s="1">
        <v>46220</v>
      </c>
      <c r="F102" s="6">
        <v>9966</v>
      </c>
    </row>
    <row r="103" spans="1:6" hidden="1" x14ac:dyDescent="0.25">
      <c r="A103" t="s">
        <v>290</v>
      </c>
      <c r="B103" t="str">
        <f>_xlfn.XLOOKUP(Tabla24[[#This Row],[CODIGO]],Tabla2[CODIGO],Tabla2[MATERIAL],"N/A",0)</f>
        <v>proyector 90w</v>
      </c>
      <c r="C103" t="s">
        <v>278</v>
      </c>
      <c r="D103" s="6">
        <v>6</v>
      </c>
      <c r="E103" s="1">
        <v>46220</v>
      </c>
      <c r="F103" s="6">
        <v>9966</v>
      </c>
    </row>
    <row r="104" spans="1:6" hidden="1" x14ac:dyDescent="0.25">
      <c r="A104" t="s">
        <v>318</v>
      </c>
      <c r="B104" t="str">
        <f>_xlfn.XLOOKUP(Tabla24[[#This Row],[CODIGO]],Tabla2[CODIGO],Tabla2[MATERIAL],"N/A",0)</f>
        <v>Cable AL aa-8000 4 awg</v>
      </c>
      <c r="C104" t="s">
        <v>278</v>
      </c>
      <c r="D104" s="6">
        <v>90</v>
      </c>
      <c r="E104" s="1">
        <v>46220</v>
      </c>
      <c r="F104" s="6">
        <v>9966</v>
      </c>
    </row>
    <row r="105" spans="1:6" hidden="1" x14ac:dyDescent="0.25">
      <c r="A105" t="s">
        <v>319</v>
      </c>
      <c r="B105" t="str">
        <f>_xlfn.XLOOKUP(Tabla24[[#This Row],[CODIGO]],Tabla2[CODIGO],Tabla2[MATERIAL],"N/A",0)</f>
        <v>alambre Cu thhn 14 verde</v>
      </c>
      <c r="C105" t="s">
        <v>278</v>
      </c>
      <c r="D105" s="6">
        <v>35</v>
      </c>
      <c r="E105" s="1">
        <v>46220</v>
      </c>
      <c r="F105" s="6">
        <v>9966</v>
      </c>
    </row>
    <row r="106" spans="1:6" hidden="1" x14ac:dyDescent="0.25">
      <c r="A106" t="s">
        <v>318</v>
      </c>
      <c r="B106" t="str">
        <f>_xlfn.XLOOKUP(Tabla24[[#This Row],[CODIGO]],Tabla2[CODIGO],Tabla2[MATERIAL],"N/A",0)</f>
        <v>Cable AL aa-8000 4 awg</v>
      </c>
      <c r="C106" t="s">
        <v>278</v>
      </c>
      <c r="D106" s="6">
        <v>160</v>
      </c>
      <c r="E106" s="1">
        <v>46220</v>
      </c>
      <c r="F106" s="6">
        <v>9967</v>
      </c>
    </row>
    <row r="107" spans="1:6" hidden="1" x14ac:dyDescent="0.25">
      <c r="A107" t="s">
        <v>319</v>
      </c>
      <c r="B107" t="str">
        <f>_xlfn.XLOOKUP(Tabla24[[#This Row],[CODIGO]],Tabla2[CODIGO],Tabla2[MATERIAL],"N/A",0)</f>
        <v>alambre Cu thhn 14 verde</v>
      </c>
      <c r="C107" t="s">
        <v>278</v>
      </c>
      <c r="D107" s="6">
        <v>80</v>
      </c>
      <c r="E107" s="1">
        <v>46220</v>
      </c>
      <c r="F107" s="6">
        <v>9967</v>
      </c>
    </row>
    <row r="108" spans="1:6" x14ac:dyDescent="0.25">
      <c r="A108" t="s">
        <v>53</v>
      </c>
      <c r="B108" t="str">
        <f>_xlfn.XLOOKUP(Tabla24[[#This Row],[CODIGO]],Tabla2[CODIGO],Tabla2[MATERIAL],"N/A",0)</f>
        <v>Conector de Perforacion ais kz-ep (EP95) pequeño</v>
      </c>
      <c r="C108" t="s">
        <v>278</v>
      </c>
      <c r="D108" s="6">
        <v>16</v>
      </c>
      <c r="E108" s="1">
        <v>46220</v>
      </c>
      <c r="F108" s="6">
        <v>9967</v>
      </c>
    </row>
    <row r="109" spans="1:6" hidden="1" x14ac:dyDescent="0.25">
      <c r="A109" t="s">
        <v>226</v>
      </c>
      <c r="B109" t="str">
        <f>_xlfn.XLOOKUP(Tabla24[[#This Row],[CODIGO]],Tabla2[CODIGO],Tabla2[MATERIAL],"N/A",0)</f>
        <v>Abrazadera una salida 6"</v>
      </c>
      <c r="C109" t="s">
        <v>278</v>
      </c>
      <c r="D109" s="6">
        <v>20</v>
      </c>
      <c r="E109" s="1">
        <v>46220</v>
      </c>
      <c r="F109" s="6">
        <v>9967</v>
      </c>
    </row>
    <row r="110" spans="1:6" hidden="1" x14ac:dyDescent="0.25">
      <c r="A110" t="s">
        <v>261</v>
      </c>
      <c r="B110" t="str">
        <f>_xlfn.XLOOKUP(Tabla24[[#This Row],[CODIGO]],Tabla2[CODIGO],Tabla2[MATERIAL],"N/A",0)</f>
        <v>Abrazadera sin salida 6"</v>
      </c>
      <c r="C110" t="s">
        <v>278</v>
      </c>
      <c r="D110" s="6">
        <v>6</v>
      </c>
      <c r="E110" s="1">
        <v>46220</v>
      </c>
      <c r="F110" s="6">
        <v>9967</v>
      </c>
    </row>
    <row r="111" spans="1:6" hidden="1" x14ac:dyDescent="0.25">
      <c r="A111" t="s">
        <v>56</v>
      </c>
      <c r="B111" t="str">
        <f>_xlfn.XLOOKUP(Tabla24[[#This Row],[CODIGO]],Tabla2[CODIGO],Tabla2[MATERIAL],"N/A",0)</f>
        <v>Aislador Carrreto</v>
      </c>
      <c r="C111" t="s">
        <v>278</v>
      </c>
      <c r="D111" s="6">
        <v>6</v>
      </c>
      <c r="E111" s="1">
        <v>46220</v>
      </c>
      <c r="F111" s="6">
        <v>9967</v>
      </c>
    </row>
    <row r="112" spans="1:6" hidden="1" x14ac:dyDescent="0.25">
      <c r="A112" t="s">
        <v>216</v>
      </c>
      <c r="B112" t="str">
        <f>_xlfn.XLOOKUP(Tabla24[[#This Row],[CODIGO]],Tabla2[CODIGO],Tabla2[MATERIAL],"N/A",0)</f>
        <v>Brazo Galvanizado 2" x 2m</v>
      </c>
      <c r="C112" t="s">
        <v>278</v>
      </c>
      <c r="D112" s="6">
        <v>23</v>
      </c>
      <c r="E112" s="1">
        <v>46220</v>
      </c>
      <c r="F112" s="6">
        <v>9967</v>
      </c>
    </row>
    <row r="113" spans="1:6" hidden="1" x14ac:dyDescent="0.25">
      <c r="A113" t="s">
        <v>323</v>
      </c>
      <c r="B113" t="str">
        <f>_xlfn.XLOOKUP(Tabla24[[#This Row],[CODIGO]],Tabla2[CODIGO],Tabla2[MATERIAL],"N/A",0)</f>
        <v>Brazo Galvanizado 1 1/2" tipo L</v>
      </c>
      <c r="C113" t="s">
        <v>278</v>
      </c>
      <c r="D113" s="6">
        <v>2</v>
      </c>
      <c r="E113" s="1">
        <v>46220</v>
      </c>
      <c r="F113" s="6">
        <v>9967</v>
      </c>
    </row>
    <row r="114" spans="1:6" hidden="1" x14ac:dyDescent="0.25">
      <c r="A114" t="s">
        <v>194</v>
      </c>
      <c r="B114" t="str">
        <f>_xlfn.XLOOKUP(Tabla24[[#This Row],[CODIGO]],Tabla2[CODIGO],Tabla2[MATERIAL],"N/A",0)</f>
        <v>Cable TPX 2x4 1x4 awg</v>
      </c>
      <c r="C114" t="s">
        <v>278</v>
      </c>
      <c r="D114" s="6">
        <v>40</v>
      </c>
      <c r="E114" s="1">
        <v>46220</v>
      </c>
      <c r="F114" s="6">
        <v>9967</v>
      </c>
    </row>
    <row r="115" spans="1:6" hidden="1" x14ac:dyDescent="0.25">
      <c r="A115" t="s">
        <v>21</v>
      </c>
      <c r="B115" t="str">
        <f>_xlfn.XLOOKUP(Tabla24[[#This Row],[CODIGO]],Tabla2[CODIGO],Tabla2[MATERIAL],"N/A",0)</f>
        <v>Cable Encauchetado 3x14 pvc</v>
      </c>
      <c r="C115" t="s">
        <v>278</v>
      </c>
      <c r="D115" s="6">
        <v>100</v>
      </c>
      <c r="E115" s="1">
        <v>46220</v>
      </c>
      <c r="F115" s="6">
        <v>9967</v>
      </c>
    </row>
    <row r="116" spans="1:6" hidden="1" x14ac:dyDescent="0.25">
      <c r="A116" t="s">
        <v>265</v>
      </c>
      <c r="B116" t="str">
        <f>_xlfn.XLOOKUP(Tabla24[[#This Row],[CODIGO]],Tabla2[CODIGO],Tabla2[MATERIAL],"N/A",0)</f>
        <v>Cinta Aislante</v>
      </c>
      <c r="C116" t="s">
        <v>278</v>
      </c>
      <c r="D116" s="6">
        <v>1</v>
      </c>
      <c r="E116" s="1">
        <v>46220</v>
      </c>
      <c r="F116" s="6">
        <v>9967</v>
      </c>
    </row>
    <row r="117" spans="1:6" x14ac:dyDescent="0.25">
      <c r="A117" t="s">
        <v>53</v>
      </c>
      <c r="B117" t="str">
        <f>_xlfn.XLOOKUP(Tabla24[[#This Row],[CODIGO]],Tabla2[CODIGO],Tabla2[MATERIAL],"N/A",0)</f>
        <v>Conector de Perforacion ais kz-ep (EP95) pequeño</v>
      </c>
      <c r="C117" t="s">
        <v>278</v>
      </c>
      <c r="D117" s="6">
        <v>45</v>
      </c>
      <c r="E117" s="1">
        <v>46220</v>
      </c>
      <c r="F117" s="6">
        <v>9967</v>
      </c>
    </row>
    <row r="118" spans="1:6" hidden="1" x14ac:dyDescent="0.25">
      <c r="A118" t="s">
        <v>54</v>
      </c>
      <c r="B118" t="str">
        <f>_xlfn.XLOOKUP(Tabla24[[#This Row],[CODIGO]],Tabla2[CODIGO],Tabla2[MATERIAL],"N/A",0)</f>
        <v>Conector resorte 18-8</v>
      </c>
      <c r="C118" t="s">
        <v>278</v>
      </c>
      <c r="D118" s="6">
        <v>30</v>
      </c>
      <c r="E118" s="1">
        <v>46220</v>
      </c>
      <c r="F118" s="6">
        <v>9967</v>
      </c>
    </row>
    <row r="119" spans="1:6" hidden="1" x14ac:dyDescent="0.25">
      <c r="A119" t="s">
        <v>224</v>
      </c>
      <c r="B119" t="str">
        <f>_xlfn.XLOOKUP(Tabla24[[#This Row],[CODIGO]],Tabla2[CODIGO],Tabla2[MATERIAL],"N/A",0)</f>
        <v>Empalme gel ppal 8-4/0 a der 14-2/0 awg (grande)</v>
      </c>
      <c r="C119" t="s">
        <v>278</v>
      </c>
      <c r="D119" s="6">
        <v>22</v>
      </c>
      <c r="E119" s="1">
        <v>46220</v>
      </c>
      <c r="F119" s="6">
        <v>9967</v>
      </c>
    </row>
    <row r="120" spans="1:6" hidden="1" x14ac:dyDescent="0.25">
      <c r="A120" t="s">
        <v>60</v>
      </c>
      <c r="B120" t="str">
        <f>_xlfn.XLOOKUP(Tabla24[[#This Row],[CODIGO]],Tabla2[CODIGO],Tabla2[MATERIAL],"N/A",0)</f>
        <v>Fotocelda</v>
      </c>
      <c r="C120" t="s">
        <v>278</v>
      </c>
      <c r="D120" s="6">
        <v>25</v>
      </c>
      <c r="E120" s="1">
        <v>46220</v>
      </c>
      <c r="F120" s="6">
        <v>9967</v>
      </c>
    </row>
    <row r="121" spans="1:6" hidden="1" x14ac:dyDescent="0.25">
      <c r="A121" t="s">
        <v>212</v>
      </c>
      <c r="B121" t="str">
        <f>_xlfn.XLOOKUP(Tabla24[[#This Row],[CODIGO]],Tabla2[CODIGO],Tabla2[MATERIAL],"N/A",0)</f>
        <v>Grillete galvanizado 1,1/2</v>
      </c>
      <c r="C121" t="s">
        <v>278</v>
      </c>
      <c r="D121" s="6">
        <v>20</v>
      </c>
      <c r="E121" s="1">
        <v>46220</v>
      </c>
      <c r="F121" s="6">
        <v>9967</v>
      </c>
    </row>
    <row r="122" spans="1:6" hidden="1" x14ac:dyDescent="0.25">
      <c r="A122" t="s">
        <v>30</v>
      </c>
      <c r="B122" t="str">
        <f>_xlfn.XLOOKUP(Tabla24[[#This Row],[CODIGO]],Tabla2[CODIGO],Tabla2[MATERIAL],"N/A",0)</f>
        <v>Kit puesta tierra acero inoxidable</v>
      </c>
      <c r="C122" t="s">
        <v>278</v>
      </c>
      <c r="D122" s="6">
        <v>3</v>
      </c>
      <c r="E122" s="1">
        <v>46220</v>
      </c>
      <c r="F122" s="6">
        <v>9967</v>
      </c>
    </row>
    <row r="123" spans="1:6" hidden="1" x14ac:dyDescent="0.25">
      <c r="A123" t="s">
        <v>50</v>
      </c>
      <c r="B123" t="str">
        <f>_xlfn.XLOOKUP(Tabla24[[#This Row],[CODIGO]],Tabla2[CODIGO],Tabla2[MATERIAL],"N/A",0)</f>
        <v>Percha galv 1 puesto</v>
      </c>
      <c r="C123" t="s">
        <v>278</v>
      </c>
      <c r="D123" s="6">
        <v>6</v>
      </c>
      <c r="E123" s="1">
        <v>46220</v>
      </c>
      <c r="F123" s="6">
        <v>9967</v>
      </c>
    </row>
    <row r="124" spans="1:6" hidden="1" x14ac:dyDescent="0.25">
      <c r="A124" t="s">
        <v>47</v>
      </c>
      <c r="B124" t="str">
        <f>_xlfn.XLOOKUP(Tabla24[[#This Row],[CODIGO]],Tabla2[CODIGO],Tabla2[MATERIAL],"N/A",0)</f>
        <v>Luminaria 75w</v>
      </c>
      <c r="C124" t="s">
        <v>278</v>
      </c>
      <c r="D124" s="6">
        <v>25</v>
      </c>
      <c r="E124" s="1">
        <v>46220</v>
      </c>
      <c r="F124" s="6">
        <v>9967</v>
      </c>
    </row>
    <row r="125" spans="1:6" hidden="1" x14ac:dyDescent="0.25">
      <c r="A125" t="s">
        <v>299</v>
      </c>
      <c r="B125" t="str">
        <f>_xlfn.XLOOKUP(Tabla24[[#This Row],[CODIGO]],Tabla2[CODIGO],Tabla2[MATERIAL],"N/A",0)</f>
        <v>Abrazadera una salida 7"</v>
      </c>
      <c r="C125" t="s">
        <v>278</v>
      </c>
      <c r="D125" s="6">
        <v>2</v>
      </c>
      <c r="E125" s="1">
        <v>46224</v>
      </c>
      <c r="F125" s="6">
        <v>9967</v>
      </c>
    </row>
    <row r="126" spans="1:6" hidden="1" x14ac:dyDescent="0.25">
      <c r="A126" t="s">
        <v>260</v>
      </c>
      <c r="B126" t="str">
        <f>_xlfn.XLOOKUP(Tabla24[[#This Row],[CODIGO]],Tabla2[CODIGO],Tabla2[MATERIAL],"N/A",0)</f>
        <v>Abrazadera sin salida 7"</v>
      </c>
      <c r="C126" t="s">
        <v>278</v>
      </c>
      <c r="D126" s="6">
        <v>2</v>
      </c>
      <c r="E126" s="1">
        <v>46224</v>
      </c>
      <c r="F126" s="6">
        <v>9967</v>
      </c>
    </row>
    <row r="127" spans="1:6" hidden="1" x14ac:dyDescent="0.25">
      <c r="A127" t="s">
        <v>198</v>
      </c>
      <c r="B127" t="str">
        <f>_xlfn.XLOOKUP(Tabla24[[#This Row],[CODIGO]],Tabla2[CODIGO],Tabla2[MATERIAL],"N/A",0)</f>
        <v>Varilla cooperweld 2,4m</v>
      </c>
      <c r="C127" t="s">
        <v>278</v>
      </c>
      <c r="D127" s="6">
        <v>5</v>
      </c>
      <c r="E127" s="1">
        <v>46224</v>
      </c>
      <c r="F127" s="6">
        <v>9967</v>
      </c>
    </row>
    <row r="128" spans="1:6" hidden="1" x14ac:dyDescent="0.25">
      <c r="A128" t="s">
        <v>214</v>
      </c>
      <c r="B128" t="str">
        <f>_xlfn.XLOOKUP(Tabla24[[#This Row],[CODIGO]],Tabla2[CODIGO],Tabla2[MATERIAL],"N/A",0)</f>
        <v>Marco para caja ap</v>
      </c>
      <c r="C128" t="s">
        <v>277</v>
      </c>
      <c r="D128" s="6">
        <v>7</v>
      </c>
      <c r="E128" s="1">
        <v>46221</v>
      </c>
      <c r="F128" s="6">
        <v>9971</v>
      </c>
    </row>
    <row r="129" spans="1:6" hidden="1" x14ac:dyDescent="0.25">
      <c r="A129" t="s">
        <v>78</v>
      </c>
      <c r="B129" t="str">
        <f>_xlfn.XLOOKUP(Tabla24[[#This Row],[CODIGO]],Tabla2[CODIGO],Tabla2[MATERIAL],"N/A",0)</f>
        <v>Tapa Concreto</v>
      </c>
      <c r="C129" t="s">
        <v>277</v>
      </c>
      <c r="D129" s="6">
        <v>7</v>
      </c>
      <c r="E129" s="1">
        <v>46221</v>
      </c>
      <c r="F129" s="6">
        <v>9971</v>
      </c>
    </row>
    <row r="130" spans="1:6" hidden="1" x14ac:dyDescent="0.25">
      <c r="A130" s="9" t="s">
        <v>261</v>
      </c>
      <c r="B130" t="str">
        <f>_xlfn.XLOOKUP(Tabla24[[#This Row],[CODIGO]],Tabla2[CODIGO],Tabla2[MATERIAL],"N/A",0)</f>
        <v>Abrazadera sin salida 6"</v>
      </c>
      <c r="C130" t="s">
        <v>277</v>
      </c>
      <c r="D130" s="6">
        <v>10</v>
      </c>
      <c r="E130" s="1">
        <v>46221</v>
      </c>
      <c r="F130" s="6">
        <v>9971</v>
      </c>
    </row>
    <row r="131" spans="1:6" hidden="1" x14ac:dyDescent="0.25">
      <c r="A131" s="9" t="s">
        <v>217</v>
      </c>
      <c r="B131" t="str">
        <f>_xlfn.XLOOKUP(Tabla24[[#This Row],[CODIGO]],Tabla2[CODIGO],Tabla2[MATERIAL],"N/A",0)</f>
        <v>Brazo Galvanizado 1 1/2" x 2m</v>
      </c>
      <c r="C131" t="s">
        <v>277</v>
      </c>
      <c r="D131" s="6">
        <v>18</v>
      </c>
      <c r="E131" s="1">
        <v>46221</v>
      </c>
      <c r="F131" s="6">
        <v>9971</v>
      </c>
    </row>
    <row r="132" spans="1:6" hidden="1" x14ac:dyDescent="0.25">
      <c r="A132" s="9" t="s">
        <v>21</v>
      </c>
      <c r="B132" t="str">
        <f>_xlfn.XLOOKUP(Tabla24[[#This Row],[CODIGO]],Tabla2[CODIGO],Tabla2[MATERIAL],"N/A",0)</f>
        <v>Cable Encauchetado 3x14 pvc</v>
      </c>
      <c r="C132" t="s">
        <v>277</v>
      </c>
      <c r="D132" s="6">
        <v>90</v>
      </c>
      <c r="E132" s="1">
        <v>46221</v>
      </c>
      <c r="F132" s="6">
        <v>9971</v>
      </c>
    </row>
    <row r="133" spans="1:6" hidden="1" x14ac:dyDescent="0.25">
      <c r="A133" s="9" t="s">
        <v>265</v>
      </c>
      <c r="B133" t="str">
        <f>_xlfn.XLOOKUP(Tabla24[[#This Row],[CODIGO]],Tabla2[CODIGO],Tabla2[MATERIAL],"N/A",0)</f>
        <v>Cinta Aislante</v>
      </c>
      <c r="C133" t="s">
        <v>277</v>
      </c>
      <c r="D133" s="6">
        <v>1</v>
      </c>
      <c r="E133" s="1">
        <v>46221</v>
      </c>
      <c r="F133" s="6">
        <v>9971</v>
      </c>
    </row>
    <row r="134" spans="1:6" hidden="1" x14ac:dyDescent="0.25">
      <c r="A134" s="9" t="s">
        <v>351</v>
      </c>
      <c r="B134" t="str">
        <f>_xlfn.XLOOKUP(Tabla24[[#This Row],[CODIGO]],Tabla2[CODIGO],Tabla2[MATERIAL],"N/A",0)</f>
        <v>concertina inox diametro 45cmx6m</v>
      </c>
      <c r="C134" t="s">
        <v>277</v>
      </c>
      <c r="D134" s="6">
        <v>24</v>
      </c>
      <c r="E134" s="1">
        <v>46221</v>
      </c>
      <c r="F134" s="6">
        <v>9971</v>
      </c>
    </row>
    <row r="135" spans="1:6" hidden="1" x14ac:dyDescent="0.25">
      <c r="A135" s="9" t="s">
        <v>54</v>
      </c>
      <c r="B135" t="str">
        <f>_xlfn.XLOOKUP(Tabla24[[#This Row],[CODIGO]],Tabla2[CODIGO],Tabla2[MATERIAL],"N/A",0)</f>
        <v>Conector resorte 18-8</v>
      </c>
      <c r="C135" t="s">
        <v>277</v>
      </c>
      <c r="D135" s="6">
        <v>27</v>
      </c>
      <c r="E135" s="1">
        <v>46221</v>
      </c>
      <c r="F135" s="6">
        <v>9971</v>
      </c>
    </row>
    <row r="136" spans="1:6" hidden="1" x14ac:dyDescent="0.25">
      <c r="A136" s="9" t="s">
        <v>210</v>
      </c>
      <c r="B136" t="str">
        <f>_xlfn.XLOOKUP(Tabla24[[#This Row],[CODIGO]],Tabla2[CODIGO],Tabla2[MATERIAL],"N/A",0)</f>
        <v>Conector Varilla cooperw.</v>
      </c>
      <c r="C136" t="s">
        <v>277</v>
      </c>
      <c r="D136" s="6">
        <v>3</v>
      </c>
      <c r="E136" s="1">
        <v>46221</v>
      </c>
      <c r="F136" s="6">
        <v>9971</v>
      </c>
    </row>
    <row r="137" spans="1:6" hidden="1" x14ac:dyDescent="0.25">
      <c r="A137" s="9" t="s">
        <v>76</v>
      </c>
      <c r="B137" t="str">
        <f>_xlfn.XLOOKUP(Tabla24[[#This Row],[CODIGO]],Tabla2[CODIGO],Tabla2[MATERIAL],"N/A",0)</f>
        <v>Empalme gel ppal 8-4/0 a der 14-2/0 awg (grande)</v>
      </c>
      <c r="C137" t="s">
        <v>277</v>
      </c>
      <c r="D137" s="6">
        <v>18</v>
      </c>
      <c r="E137" s="1">
        <v>46221</v>
      </c>
      <c r="F137" s="6">
        <v>9971</v>
      </c>
    </row>
    <row r="138" spans="1:6" hidden="1" x14ac:dyDescent="0.25">
      <c r="A138" t="s">
        <v>60</v>
      </c>
      <c r="B138" t="str">
        <f>_xlfn.XLOOKUP(Tabla24[[#This Row],[CODIGO]],Tabla2[CODIGO],Tabla2[MATERIAL],"N/A",0)</f>
        <v>Fotocelda</v>
      </c>
      <c r="C138" t="s">
        <v>277</v>
      </c>
      <c r="D138" s="6">
        <v>19</v>
      </c>
      <c r="E138" s="1">
        <v>46221</v>
      </c>
      <c r="F138" s="6">
        <v>9971</v>
      </c>
    </row>
    <row r="139" spans="1:6" hidden="1" x14ac:dyDescent="0.25">
      <c r="A139" t="s">
        <v>212</v>
      </c>
      <c r="B139" t="str">
        <f>_xlfn.XLOOKUP(Tabla24[[#This Row],[CODIGO]],Tabla2[CODIGO],Tabla2[MATERIAL],"N/A",0)</f>
        <v>Grillete galvanizado 1,1/2</v>
      </c>
      <c r="C139" t="s">
        <v>277</v>
      </c>
      <c r="D139" s="6">
        <v>38</v>
      </c>
      <c r="E139" s="1">
        <v>46221</v>
      </c>
      <c r="F139" s="6">
        <v>9971</v>
      </c>
    </row>
    <row r="140" spans="1:6" hidden="1" x14ac:dyDescent="0.25">
      <c r="A140" t="s">
        <v>198</v>
      </c>
      <c r="B140" t="str">
        <f>_xlfn.XLOOKUP(Tabla24[[#This Row],[CODIGO]],Tabla2[CODIGO],Tabla2[MATERIAL],"N/A",0)</f>
        <v>Varilla cooperweld 2,4m</v>
      </c>
      <c r="C140" t="s">
        <v>277</v>
      </c>
      <c r="D140" s="6">
        <v>3</v>
      </c>
      <c r="E140" s="1">
        <v>46221</v>
      </c>
      <c r="F140" s="6">
        <v>9971</v>
      </c>
    </row>
    <row r="141" spans="1:6" hidden="1" x14ac:dyDescent="0.25">
      <c r="A141" t="s">
        <v>47</v>
      </c>
      <c r="B141" t="str">
        <f>_xlfn.XLOOKUP(Tabla24[[#This Row],[CODIGO]],Tabla2[CODIGO],Tabla2[MATERIAL],"N/A",0)</f>
        <v>Luminaria 75w</v>
      </c>
      <c r="C141" t="s">
        <v>277</v>
      </c>
      <c r="D141" s="6">
        <v>19</v>
      </c>
      <c r="E141" s="1">
        <v>46221</v>
      </c>
      <c r="F141" s="6">
        <v>9971</v>
      </c>
    </row>
    <row r="142" spans="1:6" hidden="1" x14ac:dyDescent="0.25">
      <c r="A142" t="s">
        <v>214</v>
      </c>
      <c r="B142" t="str">
        <f>_xlfn.XLOOKUP(Tabla24[[#This Row],[CODIGO]],Tabla2[CODIGO],Tabla2[MATERIAL],"N/A",0)</f>
        <v>Marco para caja ap</v>
      </c>
      <c r="C142" t="s">
        <v>278</v>
      </c>
      <c r="D142" s="6">
        <v>6</v>
      </c>
      <c r="E142" s="1">
        <v>46225</v>
      </c>
      <c r="F142" s="6">
        <v>9971</v>
      </c>
    </row>
    <row r="143" spans="1:6" hidden="1" x14ac:dyDescent="0.25">
      <c r="A143" t="s">
        <v>78</v>
      </c>
      <c r="B143" t="str">
        <f>_xlfn.XLOOKUP(Tabla24[[#This Row],[CODIGO]],Tabla2[CODIGO],Tabla2[MATERIAL],"N/A",0)</f>
        <v>Tapa Concreto</v>
      </c>
      <c r="C143" t="s">
        <v>278</v>
      </c>
      <c r="D143" s="6">
        <v>6</v>
      </c>
      <c r="E143" s="1">
        <v>46225</v>
      </c>
      <c r="F143" s="6">
        <v>9971</v>
      </c>
    </row>
    <row r="144" spans="1:6" hidden="1" x14ac:dyDescent="0.25">
      <c r="A144" s="9" t="s">
        <v>261</v>
      </c>
      <c r="B144" t="str">
        <f>_xlfn.XLOOKUP(Tabla24[[#This Row],[CODIGO]],Tabla2[CODIGO],Tabla2[MATERIAL],"N/A",0)</f>
        <v>Abrazadera sin salida 6"</v>
      </c>
      <c r="C144" t="s">
        <v>278</v>
      </c>
      <c r="D144" s="6">
        <v>10</v>
      </c>
      <c r="E144" s="1">
        <v>46225</v>
      </c>
      <c r="F144" s="6">
        <v>9971</v>
      </c>
    </row>
    <row r="145" spans="1:6" hidden="1" x14ac:dyDescent="0.25">
      <c r="A145" s="9" t="s">
        <v>217</v>
      </c>
      <c r="B145" t="str">
        <f>_xlfn.XLOOKUP(Tabla24[[#This Row],[CODIGO]],Tabla2[CODIGO],Tabla2[MATERIAL],"N/A",0)</f>
        <v>Brazo Galvanizado 1 1/2" x 2m</v>
      </c>
      <c r="C145" t="s">
        <v>278</v>
      </c>
      <c r="D145" s="6">
        <v>18</v>
      </c>
      <c r="E145" s="1">
        <v>46225</v>
      </c>
      <c r="F145" s="6">
        <v>9971</v>
      </c>
    </row>
    <row r="146" spans="1:6" hidden="1" x14ac:dyDescent="0.25">
      <c r="A146" s="9" t="s">
        <v>21</v>
      </c>
      <c r="B146" t="str">
        <f>_xlfn.XLOOKUP(Tabla24[[#This Row],[CODIGO]],Tabla2[CODIGO],Tabla2[MATERIAL],"N/A",0)</f>
        <v>Cable Encauchetado 3x14 pvc</v>
      </c>
      <c r="C146" t="s">
        <v>278</v>
      </c>
      <c r="D146" s="6">
        <v>90</v>
      </c>
      <c r="E146" s="1">
        <v>46225</v>
      </c>
      <c r="F146" s="6">
        <v>9971</v>
      </c>
    </row>
    <row r="147" spans="1:6" hidden="1" x14ac:dyDescent="0.25">
      <c r="A147" s="9" t="s">
        <v>265</v>
      </c>
      <c r="B147" t="str">
        <f>_xlfn.XLOOKUP(Tabla24[[#This Row],[CODIGO]],Tabla2[CODIGO],Tabla2[MATERIAL],"N/A",0)</f>
        <v>Cinta Aislante</v>
      </c>
      <c r="C147" t="s">
        <v>278</v>
      </c>
      <c r="D147" s="6">
        <v>1</v>
      </c>
      <c r="E147" s="1">
        <v>46225</v>
      </c>
      <c r="F147" s="6">
        <v>9971</v>
      </c>
    </row>
    <row r="148" spans="1:6" hidden="1" x14ac:dyDescent="0.25">
      <c r="A148" s="9" t="s">
        <v>351</v>
      </c>
      <c r="B148" t="str">
        <f>_xlfn.XLOOKUP(Tabla24[[#This Row],[CODIGO]],Tabla2[CODIGO],Tabla2[MATERIAL],"N/A",0)</f>
        <v>concertina inox diametro 45cmx6m</v>
      </c>
      <c r="C148" t="s">
        <v>278</v>
      </c>
      <c r="D148" s="6">
        <v>24</v>
      </c>
      <c r="E148" s="1">
        <v>46225</v>
      </c>
      <c r="F148" s="6">
        <v>9971</v>
      </c>
    </row>
    <row r="149" spans="1:6" hidden="1" x14ac:dyDescent="0.25">
      <c r="A149" s="9" t="s">
        <v>54</v>
      </c>
      <c r="B149" t="str">
        <f>_xlfn.XLOOKUP(Tabla24[[#This Row],[CODIGO]],Tabla2[CODIGO],Tabla2[MATERIAL],"N/A",0)</f>
        <v>Conector resorte 18-8</v>
      </c>
      <c r="C149" t="s">
        <v>278</v>
      </c>
      <c r="D149" s="6">
        <v>27</v>
      </c>
      <c r="E149" s="1">
        <v>46225</v>
      </c>
      <c r="F149" s="6">
        <v>9971</v>
      </c>
    </row>
    <row r="150" spans="1:6" hidden="1" x14ac:dyDescent="0.25">
      <c r="A150" s="9" t="s">
        <v>210</v>
      </c>
      <c r="B150" t="str">
        <f>_xlfn.XLOOKUP(Tabla24[[#This Row],[CODIGO]],Tabla2[CODIGO],Tabla2[MATERIAL],"N/A",0)</f>
        <v>Conector Varilla cooperw.</v>
      </c>
      <c r="C150" t="s">
        <v>278</v>
      </c>
      <c r="D150" s="6">
        <v>3</v>
      </c>
      <c r="E150" s="1">
        <v>46225</v>
      </c>
      <c r="F150" s="6">
        <v>9971</v>
      </c>
    </row>
    <row r="151" spans="1:6" hidden="1" x14ac:dyDescent="0.25">
      <c r="A151" s="9" t="s">
        <v>76</v>
      </c>
      <c r="B151" t="str">
        <f>_xlfn.XLOOKUP(Tabla24[[#This Row],[CODIGO]],Tabla2[CODIGO],Tabla2[MATERIAL],"N/A",0)</f>
        <v>Empalme gel ppal 8-4/0 a der 14-2/0 awg (grande)</v>
      </c>
      <c r="C151" t="s">
        <v>278</v>
      </c>
      <c r="D151" s="6">
        <v>18</v>
      </c>
      <c r="E151" s="1">
        <v>46225</v>
      </c>
      <c r="F151" s="6">
        <v>9971</v>
      </c>
    </row>
    <row r="152" spans="1:6" hidden="1" x14ac:dyDescent="0.25">
      <c r="A152" t="s">
        <v>77</v>
      </c>
      <c r="B152" t="str">
        <f>_xlfn.XLOOKUP(Tabla24[[#This Row],[CODIGO]],Tabla2[CODIGO],Tabla2[MATERIAL],"N/A",0)</f>
        <v>Empalme gel ppal 4-2/0 a der 14-6 awg (pequeño)</v>
      </c>
      <c r="C152" t="s">
        <v>278</v>
      </c>
      <c r="D152" s="6">
        <v>4</v>
      </c>
      <c r="E152" s="1">
        <v>46225</v>
      </c>
      <c r="F152" s="6">
        <v>9971</v>
      </c>
    </row>
    <row r="153" spans="1:6" hidden="1" x14ac:dyDescent="0.25">
      <c r="A153" t="s">
        <v>60</v>
      </c>
      <c r="B153" t="str">
        <f>_xlfn.XLOOKUP(Tabla24[[#This Row],[CODIGO]],Tabla2[CODIGO],Tabla2[MATERIAL],"N/A",0)</f>
        <v>Fotocelda</v>
      </c>
      <c r="C153" t="s">
        <v>278</v>
      </c>
      <c r="D153" s="6">
        <v>19</v>
      </c>
      <c r="E153" s="1">
        <v>46225</v>
      </c>
      <c r="F153" s="6">
        <v>9971</v>
      </c>
    </row>
    <row r="154" spans="1:6" hidden="1" x14ac:dyDescent="0.25">
      <c r="A154" t="s">
        <v>212</v>
      </c>
      <c r="B154" t="str">
        <f>_xlfn.XLOOKUP(Tabla24[[#This Row],[CODIGO]],Tabla2[CODIGO],Tabla2[MATERIAL],"N/A",0)</f>
        <v>Grillete galvanizado 1,1/2</v>
      </c>
      <c r="C154" t="s">
        <v>278</v>
      </c>
      <c r="D154" s="6">
        <v>38</v>
      </c>
      <c r="E154" s="1">
        <v>46225</v>
      </c>
      <c r="F154" s="6">
        <v>9971</v>
      </c>
    </row>
    <row r="155" spans="1:6" hidden="1" x14ac:dyDescent="0.25">
      <c r="A155" t="s">
        <v>198</v>
      </c>
      <c r="B155" t="str">
        <f>_xlfn.XLOOKUP(Tabla24[[#This Row],[CODIGO]],Tabla2[CODIGO],Tabla2[MATERIAL],"N/A",0)</f>
        <v>Varilla cooperweld 2,4m</v>
      </c>
      <c r="C155" t="s">
        <v>278</v>
      </c>
      <c r="D155" s="6">
        <v>3</v>
      </c>
      <c r="E155" s="1">
        <v>46225</v>
      </c>
      <c r="F155" s="6">
        <v>9971</v>
      </c>
    </row>
    <row r="156" spans="1:6" hidden="1" x14ac:dyDescent="0.25">
      <c r="A156" t="s">
        <v>47</v>
      </c>
      <c r="B156" t="str">
        <f>_xlfn.XLOOKUP(Tabla24[[#This Row],[CODIGO]],Tabla2[CODIGO],Tabla2[MATERIAL],"N/A",0)</f>
        <v>Luminaria 75w</v>
      </c>
      <c r="C156" t="s">
        <v>278</v>
      </c>
      <c r="D156" s="6">
        <v>19</v>
      </c>
      <c r="E156" s="1">
        <v>46225</v>
      </c>
      <c r="F156" s="6">
        <v>9971</v>
      </c>
    </row>
    <row r="157" spans="1:6" hidden="1" x14ac:dyDescent="0.25">
      <c r="A157" t="s">
        <v>82</v>
      </c>
      <c r="B157" t="str">
        <f>_xlfn.XLOOKUP(Tabla24[[#This Row],[CODIGO]],Tabla2[CODIGO],Tabla2[MATERIAL],"N/A",0)</f>
        <v>proyector 190w</v>
      </c>
      <c r="C157" t="s">
        <v>278</v>
      </c>
      <c r="D157" s="6">
        <v>5</v>
      </c>
      <c r="E157" s="1">
        <v>46226</v>
      </c>
      <c r="F157" s="6">
        <v>9958</v>
      </c>
    </row>
    <row r="158" spans="1:6" x14ac:dyDescent="0.25">
      <c r="A158" t="s">
        <v>53</v>
      </c>
      <c r="B158" t="str">
        <f>_xlfn.XLOOKUP(Tabla24[[#This Row],[CODIGO]],Tabla2[CODIGO],Tabla2[MATERIAL],"N/A",0)</f>
        <v>Conector de Perforacion ais kz-ep (EP95) pequeño</v>
      </c>
      <c r="C158" t="s">
        <v>278</v>
      </c>
      <c r="D158" s="6">
        <v>21</v>
      </c>
      <c r="E158" s="1">
        <v>46226</v>
      </c>
      <c r="F158" s="6">
        <v>9958</v>
      </c>
    </row>
    <row r="159" spans="1:6" hidden="1" x14ac:dyDescent="0.25">
      <c r="A159" t="s">
        <v>76</v>
      </c>
      <c r="B159" t="str">
        <f>_xlfn.XLOOKUP(Tabla24[[#This Row],[CODIGO]],Tabla2[CODIGO],Tabla2[MATERIAL],"N/A",0)</f>
        <v>Empalme gel ppal 8-4/0 a der 14-2/0 awg (grande)</v>
      </c>
      <c r="C159" t="s">
        <v>278</v>
      </c>
      <c r="D159" s="6">
        <v>18</v>
      </c>
      <c r="E159" s="1">
        <v>46226</v>
      </c>
      <c r="F159" s="6">
        <v>9958</v>
      </c>
    </row>
    <row r="160" spans="1:6" hidden="1" x14ac:dyDescent="0.25">
      <c r="A160" t="s">
        <v>77</v>
      </c>
      <c r="B160" t="str">
        <f>_xlfn.XLOOKUP(Tabla24[[#This Row],[CODIGO]],Tabla2[CODIGO],Tabla2[MATERIAL],"N/A",0)</f>
        <v>Empalme gel ppal 4-2/0 a der 14-6 awg (pequeño)</v>
      </c>
      <c r="C160" t="s">
        <v>278</v>
      </c>
      <c r="D160" s="6">
        <v>4</v>
      </c>
      <c r="E160" s="1">
        <v>46226</v>
      </c>
      <c r="F160" s="6">
        <v>9958</v>
      </c>
    </row>
    <row r="161" spans="1:6" hidden="1" x14ac:dyDescent="0.25">
      <c r="A161" t="s">
        <v>241</v>
      </c>
      <c r="B161" t="str">
        <f>_xlfn.XLOOKUP(Tabla24[[#This Row],[CODIGO]],Tabla2[CODIGO],Tabla2[MATERIAL],"N/A",0)</f>
        <v>capacete tuberia imc 3/4"</v>
      </c>
      <c r="C161" t="s">
        <v>278</v>
      </c>
      <c r="D161" s="6">
        <v>4</v>
      </c>
      <c r="E161" s="1">
        <v>46226</v>
      </c>
      <c r="F161" s="6">
        <v>9958</v>
      </c>
    </row>
    <row r="162" spans="1:6" hidden="1" x14ac:dyDescent="0.25">
      <c r="A162" t="s">
        <v>50</v>
      </c>
      <c r="B162" t="str">
        <f>_xlfn.XLOOKUP(Tabla24[[#This Row],[CODIGO]],Tabla2[CODIGO],Tabla2[MATERIAL],"N/A",0)</f>
        <v>Percha galv 1 puesto</v>
      </c>
      <c r="C162" t="s">
        <v>278</v>
      </c>
      <c r="D162" s="6">
        <v>2</v>
      </c>
      <c r="E162" s="1">
        <v>46226</v>
      </c>
      <c r="F162" s="6">
        <v>9958</v>
      </c>
    </row>
    <row r="163" spans="1:6" hidden="1" x14ac:dyDescent="0.25">
      <c r="A163" t="s">
        <v>56</v>
      </c>
      <c r="B163" t="str">
        <f>_xlfn.XLOOKUP(Tabla24[[#This Row],[CODIGO]],Tabla2[CODIGO],Tabla2[MATERIAL],"N/A",0)</f>
        <v>Aislador Carrreto</v>
      </c>
      <c r="C163" t="s">
        <v>278</v>
      </c>
      <c r="D163" s="6">
        <v>2</v>
      </c>
      <c r="E163" s="1">
        <v>46226</v>
      </c>
      <c r="F163" s="6">
        <v>9958</v>
      </c>
    </row>
    <row r="164" spans="1:6" hidden="1" x14ac:dyDescent="0.25">
      <c r="A164" t="s">
        <v>37</v>
      </c>
      <c r="B164" t="str">
        <f>_xlfn.XLOOKUP(Tabla24[[#This Row],[CODIGO]],Tabla2[CODIGO],Tabla2[MATERIAL],"N/A",0)</f>
        <v>Hebilla para cinta bandit 1/2"</v>
      </c>
      <c r="C164" t="s">
        <v>278</v>
      </c>
      <c r="D164" s="6">
        <v>20</v>
      </c>
      <c r="E164" s="1">
        <v>46226</v>
      </c>
      <c r="F164" s="6">
        <v>9958</v>
      </c>
    </row>
    <row r="165" spans="1:6" hidden="1" x14ac:dyDescent="0.25">
      <c r="A165" t="s">
        <v>36</v>
      </c>
      <c r="B165" t="str">
        <f>_xlfn.XLOOKUP(Tabla24[[#This Row],[CODIGO]],Tabla2[CODIGO],Tabla2[MATERIAL],"N/A",0)</f>
        <v>Cinta Bandit 1/2"</v>
      </c>
      <c r="C165" t="s">
        <v>278</v>
      </c>
      <c r="D165" s="6">
        <v>27</v>
      </c>
      <c r="E165" s="1">
        <v>46226</v>
      </c>
      <c r="F165" s="6">
        <v>9958</v>
      </c>
    </row>
    <row r="166" spans="1:6" hidden="1" x14ac:dyDescent="0.25">
      <c r="A166" t="s">
        <v>239</v>
      </c>
      <c r="B166" t="str">
        <f>_xlfn.XLOOKUP(Tabla24[[#This Row],[CODIGO]],Tabla2[CODIGO],Tabla2[MATERIAL],"N/A",0)</f>
        <v>Tubo Conduit imc 3/4"</v>
      </c>
      <c r="C166" t="s">
        <v>278</v>
      </c>
      <c r="D166" s="6">
        <v>8</v>
      </c>
      <c r="E166" s="1">
        <v>46226</v>
      </c>
      <c r="F166" s="6">
        <v>9958</v>
      </c>
    </row>
    <row r="167" spans="1:6" hidden="1" x14ac:dyDescent="0.25">
      <c r="A167" t="s">
        <v>389</v>
      </c>
      <c r="B167" t="str">
        <f>_xlfn.XLOOKUP(Tabla24[[#This Row],[CODIGO]],Tabla2[CODIGO],Tabla2[MATERIAL],"N/A",0)</f>
        <v>tubo conduit imc 2"</v>
      </c>
      <c r="C167" t="s">
        <v>278</v>
      </c>
      <c r="D167" s="6">
        <v>2</v>
      </c>
      <c r="E167" s="1">
        <v>46226</v>
      </c>
      <c r="F167" s="6">
        <v>9958</v>
      </c>
    </row>
    <row r="168" spans="1:6" hidden="1" x14ac:dyDescent="0.25">
      <c r="A168" t="s">
        <v>194</v>
      </c>
      <c r="B168" t="str">
        <f>_xlfn.XLOOKUP(Tabla24[[#This Row],[CODIGO]],Tabla2[CODIGO],Tabla2[MATERIAL],"N/A",0)</f>
        <v>Cable TPX 2x4 1x4 awg</v>
      </c>
      <c r="C168" t="s">
        <v>278</v>
      </c>
      <c r="D168" s="6">
        <v>82</v>
      </c>
      <c r="E168" s="1">
        <v>46226</v>
      </c>
      <c r="F168" s="6">
        <v>9958</v>
      </c>
    </row>
    <row r="169" spans="1:6" hidden="1" x14ac:dyDescent="0.25">
      <c r="A169" t="s">
        <v>21</v>
      </c>
      <c r="B169" t="str">
        <f>_xlfn.XLOOKUP(Tabla24[[#This Row],[CODIGO]],Tabla2[CODIGO],Tabla2[MATERIAL],"N/A",0)</f>
        <v>Cable Encauchetado 3x14 pvc</v>
      </c>
      <c r="C169" t="s">
        <v>278</v>
      </c>
      <c r="D169" s="6">
        <v>6</v>
      </c>
      <c r="E169" s="1">
        <v>46226</v>
      </c>
      <c r="F169" s="6">
        <v>9958</v>
      </c>
    </row>
    <row r="170" spans="1:6" hidden="1" x14ac:dyDescent="0.25">
      <c r="A170" t="s">
        <v>318</v>
      </c>
      <c r="B170" t="str">
        <f>_xlfn.XLOOKUP(Tabla24[[#This Row],[CODIGO]],Tabla2[CODIGO],Tabla2[MATERIAL],"N/A",0)</f>
        <v>Cable AL aa-8000 4 awg</v>
      </c>
      <c r="C170" t="s">
        <v>278</v>
      </c>
      <c r="D170" s="6">
        <v>160</v>
      </c>
      <c r="E170" s="1">
        <v>46226</v>
      </c>
      <c r="F170" s="6">
        <v>9958</v>
      </c>
    </row>
    <row r="171" spans="1:6" hidden="1" x14ac:dyDescent="0.25">
      <c r="A171" t="s">
        <v>319</v>
      </c>
      <c r="B171" t="str">
        <f>_xlfn.XLOOKUP(Tabla24[[#This Row],[CODIGO]],Tabla2[CODIGO],Tabla2[MATERIAL],"N/A",0)</f>
        <v>alambre Cu thhn 14 verde</v>
      </c>
      <c r="C171" t="s">
        <v>278</v>
      </c>
      <c r="D171" s="6">
        <v>80</v>
      </c>
      <c r="E171" s="1">
        <v>46226</v>
      </c>
      <c r="F171" s="6">
        <v>9958</v>
      </c>
    </row>
    <row r="172" spans="1:6" hidden="1" x14ac:dyDescent="0.25">
      <c r="A172" t="s">
        <v>38</v>
      </c>
      <c r="B172" t="str">
        <f>_xlfn.XLOOKUP(Tabla24[[#This Row],[CODIGO]],Tabla2[CODIGO],Tabla2[MATERIAL],"N/A",0)</f>
        <v>Tuberia Conduflex 3/4"</v>
      </c>
      <c r="C172" t="s">
        <v>278</v>
      </c>
      <c r="D172" s="6">
        <v>10</v>
      </c>
      <c r="E172" s="1">
        <v>46226</v>
      </c>
      <c r="F172" s="6">
        <v>9958</v>
      </c>
    </row>
    <row r="173" spans="1:6" hidden="1" x14ac:dyDescent="0.25">
      <c r="A173" t="s">
        <v>449</v>
      </c>
      <c r="B173" t="str">
        <f>_xlfn.XLOOKUP(Tabla24[[#This Row],[CODIGO]],Tabla2[CODIGO],Tabla2[MATERIAL],"N/A",0)</f>
        <v>Abrazadera una salida 7"</v>
      </c>
      <c r="C173" t="s">
        <v>278</v>
      </c>
      <c r="D173" s="6">
        <v>2</v>
      </c>
      <c r="E173" s="1">
        <v>46226</v>
      </c>
      <c r="F173" s="6">
        <v>9958</v>
      </c>
    </row>
    <row r="174" spans="1:6" hidden="1" x14ac:dyDescent="0.25">
      <c r="A174" t="s">
        <v>450</v>
      </c>
      <c r="B174" t="str">
        <f>_xlfn.XLOOKUP(Tabla24[[#This Row],[CODIGO]],Tabla2[CODIGO],Tabla2[MATERIAL],"N/A",0)</f>
        <v>Abrazadera sin salida 7"</v>
      </c>
      <c r="C174" t="s">
        <v>278</v>
      </c>
      <c r="D174" s="6">
        <v>2</v>
      </c>
      <c r="E174" s="1">
        <v>46226</v>
      </c>
      <c r="F174" s="6">
        <v>9958</v>
      </c>
    </row>
    <row r="175" spans="1:6" hidden="1" x14ac:dyDescent="0.25">
      <c r="A175" t="s">
        <v>210</v>
      </c>
      <c r="B175" t="str">
        <f>_xlfn.XLOOKUP(Tabla24[[#This Row],[CODIGO]],Tabla2[CODIGO],Tabla2[MATERIAL],"N/A",0)</f>
        <v>Conector Varilla cooperw.</v>
      </c>
      <c r="C175" t="s">
        <v>278</v>
      </c>
      <c r="D175" s="6">
        <v>5</v>
      </c>
      <c r="E175" s="1">
        <v>46231</v>
      </c>
      <c r="F175" s="6">
        <v>9960</v>
      </c>
    </row>
    <row r="176" spans="1:6" hidden="1" x14ac:dyDescent="0.25">
      <c r="A176" t="s">
        <v>76</v>
      </c>
      <c r="B176" t="str">
        <f>_xlfn.XLOOKUP(Tabla24[[#This Row],[CODIGO]],Tabla2[CODIGO],Tabla2[MATERIAL],"N/A",0)</f>
        <v>Empalme gel ppal 8-4/0 a der 14-2/0 awg (grande)</v>
      </c>
      <c r="C176" t="s">
        <v>278</v>
      </c>
      <c r="D176" s="6">
        <v>6</v>
      </c>
      <c r="E176" s="1">
        <v>46231</v>
      </c>
      <c r="F176" s="6">
        <v>9960</v>
      </c>
    </row>
    <row r="177" spans="1:6" hidden="1" x14ac:dyDescent="0.25">
      <c r="A177" t="s">
        <v>77</v>
      </c>
      <c r="B177" t="str">
        <f>_xlfn.XLOOKUP(Tabla24[[#This Row],[CODIGO]],Tabla2[CODIGO],Tabla2[MATERIAL],"N/A",0)</f>
        <v>Empalme gel ppal 4-2/0 a der 14-6 awg (pequeño)</v>
      </c>
      <c r="C177" t="s">
        <v>278</v>
      </c>
      <c r="D177" s="6">
        <v>4</v>
      </c>
      <c r="E177" s="1">
        <v>46231</v>
      </c>
      <c r="F177" s="6">
        <v>9960</v>
      </c>
    </row>
    <row r="178" spans="1:6" x14ac:dyDescent="0.25">
      <c r="B178" t="str">
        <f>_xlfn.XLOOKUP(Tabla24[[#This Row],[CODIGO]],Tabla2[CODIGO],Tabla2[MATERIAL],"N/A",0)</f>
        <v>N/A</v>
      </c>
      <c r="D178" s="6"/>
      <c r="F178" s="6"/>
    </row>
  </sheetData>
  <phoneticPr fontId="1" type="noConversion"/>
  <dataValidations count="1">
    <dataValidation type="list" allowBlank="1" showInputMessage="1" showErrorMessage="1" sqref="C7:C178" xr:uid="{F2B512A1-5C9A-4791-84F6-DEB7EA47490E}">
      <formula1>$R$3:$R$4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2DFA-46A0-490B-8413-DE185F03156F}">
  <dimension ref="B5:H62"/>
  <sheetViews>
    <sheetView workbookViewId="0">
      <selection activeCell="F12" sqref="F12"/>
    </sheetView>
  </sheetViews>
  <sheetFormatPr baseColWidth="10" defaultRowHeight="15" x14ac:dyDescent="0.25"/>
  <cols>
    <col min="3" max="3" width="49.140625" customWidth="1"/>
  </cols>
  <sheetData>
    <row r="5" spans="2:8" x14ac:dyDescent="0.25">
      <c r="B5" t="s">
        <v>4</v>
      </c>
      <c r="C5" t="s">
        <v>0</v>
      </c>
      <c r="H5" t="s">
        <v>10</v>
      </c>
    </row>
    <row r="6" spans="2:8" x14ac:dyDescent="0.25">
      <c r="B6" t="s">
        <v>55</v>
      </c>
      <c r="C6" t="s">
        <v>15</v>
      </c>
      <c r="H6" t="s">
        <v>11</v>
      </c>
    </row>
    <row r="7" spans="2:8" x14ac:dyDescent="0.25">
      <c r="B7" t="s">
        <v>56</v>
      </c>
      <c r="C7" t="s">
        <v>18</v>
      </c>
      <c r="H7" t="s">
        <v>14</v>
      </c>
    </row>
    <row r="8" spans="2:8" x14ac:dyDescent="0.25">
      <c r="B8" t="s">
        <v>19</v>
      </c>
      <c r="C8" t="s">
        <v>20</v>
      </c>
    </row>
    <row r="9" spans="2:8" x14ac:dyDescent="0.25">
      <c r="B9" t="s">
        <v>21</v>
      </c>
      <c r="C9" t="s">
        <v>196</v>
      </c>
    </row>
    <row r="10" spans="2:8" x14ac:dyDescent="0.25">
      <c r="B10" t="s">
        <v>22</v>
      </c>
      <c r="C10" t="s">
        <v>25</v>
      </c>
    </row>
    <row r="11" spans="2:8" x14ac:dyDescent="0.25">
      <c r="B11" t="s">
        <v>23</v>
      </c>
      <c r="C11" t="s">
        <v>24</v>
      </c>
    </row>
    <row r="12" spans="2:8" x14ac:dyDescent="0.25">
      <c r="B12" t="s">
        <v>51</v>
      </c>
      <c r="C12" t="s">
        <v>26</v>
      </c>
    </row>
    <row r="13" spans="2:8" x14ac:dyDescent="0.25">
      <c r="B13" t="s">
        <v>52</v>
      </c>
      <c r="C13" t="s">
        <v>27</v>
      </c>
    </row>
    <row r="14" spans="2:8" x14ac:dyDescent="0.25">
      <c r="B14" t="s">
        <v>74</v>
      </c>
      <c r="C14" t="s">
        <v>28</v>
      </c>
    </row>
    <row r="15" spans="2:8" x14ac:dyDescent="0.25">
      <c r="B15" t="s">
        <v>75</v>
      </c>
      <c r="C15" t="s">
        <v>29</v>
      </c>
    </row>
    <row r="16" spans="2:8" x14ac:dyDescent="0.25">
      <c r="B16" t="s">
        <v>31</v>
      </c>
      <c r="C16" t="s">
        <v>32</v>
      </c>
    </row>
    <row r="17" spans="2:3" x14ac:dyDescent="0.25">
      <c r="B17" t="s">
        <v>49</v>
      </c>
      <c r="C17" t="s">
        <v>33</v>
      </c>
    </row>
    <row r="18" spans="2:3" x14ac:dyDescent="0.25">
      <c r="B18" t="s">
        <v>35</v>
      </c>
      <c r="C18" t="s">
        <v>34</v>
      </c>
    </row>
    <row r="19" spans="2:3" x14ac:dyDescent="0.25">
      <c r="B19" t="s">
        <v>79</v>
      </c>
      <c r="C19" t="s">
        <v>39</v>
      </c>
    </row>
    <row r="20" spans="2:3" x14ac:dyDescent="0.25">
      <c r="B20" t="s">
        <v>80</v>
      </c>
      <c r="C20" t="s">
        <v>40</v>
      </c>
    </row>
    <row r="21" spans="2:3" x14ac:dyDescent="0.25">
      <c r="B21" t="s">
        <v>45</v>
      </c>
      <c r="C21" t="s">
        <v>46</v>
      </c>
    </row>
    <row r="22" spans="2:3" x14ac:dyDescent="0.25">
      <c r="B22" t="s">
        <v>47</v>
      </c>
      <c r="C22" t="s">
        <v>48</v>
      </c>
    </row>
    <row r="23" spans="2:3" x14ac:dyDescent="0.25">
      <c r="B23" t="s">
        <v>235</v>
      </c>
      <c r="C23" t="s">
        <v>236</v>
      </c>
    </row>
    <row r="24" spans="2:3" x14ac:dyDescent="0.25">
      <c r="B24" t="s">
        <v>254</v>
      </c>
      <c r="C24" t="s">
        <v>253</v>
      </c>
    </row>
    <row r="25" spans="2:3" x14ac:dyDescent="0.25">
      <c r="B25" t="s">
        <v>216</v>
      </c>
      <c r="C25" t="s">
        <v>59</v>
      </c>
    </row>
    <row r="26" spans="2:3" x14ac:dyDescent="0.25">
      <c r="B26" t="s">
        <v>226</v>
      </c>
      <c r="C26" t="s">
        <v>191</v>
      </c>
    </row>
    <row r="27" spans="2:3" x14ac:dyDescent="0.25">
      <c r="B27" t="s">
        <v>192</v>
      </c>
      <c r="C27" t="s">
        <v>193</v>
      </c>
    </row>
    <row r="28" spans="2:3" x14ac:dyDescent="0.25">
      <c r="B28" t="s">
        <v>197</v>
      </c>
      <c r="C28" t="s">
        <v>195</v>
      </c>
    </row>
    <row r="29" spans="2:3" x14ac:dyDescent="0.25">
      <c r="B29" t="s">
        <v>198</v>
      </c>
      <c r="C29" t="s">
        <v>199</v>
      </c>
    </row>
    <row r="30" spans="2:3" x14ac:dyDescent="0.25">
      <c r="B30" t="s">
        <v>201</v>
      </c>
      <c r="C30" t="s">
        <v>200</v>
      </c>
    </row>
    <row r="31" spans="2:3" x14ac:dyDescent="0.25">
      <c r="B31" t="s">
        <v>202</v>
      </c>
      <c r="C31" t="s">
        <v>203</v>
      </c>
    </row>
    <row r="32" spans="2:3" x14ac:dyDescent="0.25">
      <c r="B32" t="s">
        <v>204</v>
      </c>
      <c r="C32" t="s">
        <v>205</v>
      </c>
    </row>
    <row r="33" spans="2:3" x14ac:dyDescent="0.25">
      <c r="B33" t="s">
        <v>206</v>
      </c>
      <c r="C33" t="s">
        <v>207</v>
      </c>
    </row>
    <row r="34" spans="2:3" x14ac:dyDescent="0.25">
      <c r="B34" t="s">
        <v>208</v>
      </c>
      <c r="C34" t="s">
        <v>209</v>
      </c>
    </row>
    <row r="35" spans="2:3" x14ac:dyDescent="0.25">
      <c r="B35" t="s">
        <v>210</v>
      </c>
      <c r="C35" t="s">
        <v>211</v>
      </c>
    </row>
    <row r="36" spans="2:3" x14ac:dyDescent="0.25">
      <c r="B36" t="s">
        <v>214</v>
      </c>
      <c r="C36" t="s">
        <v>215</v>
      </c>
    </row>
    <row r="37" spans="2:3" x14ac:dyDescent="0.25">
      <c r="B37" t="s">
        <v>217</v>
      </c>
      <c r="C37" t="s">
        <v>218</v>
      </c>
    </row>
    <row r="38" spans="2:3" x14ac:dyDescent="0.25">
      <c r="B38" t="s">
        <v>82</v>
      </c>
      <c r="C38" t="s">
        <v>83</v>
      </c>
    </row>
    <row r="39" spans="2:3" x14ac:dyDescent="0.25">
      <c r="B39" t="s">
        <v>219</v>
      </c>
      <c r="C39" t="s">
        <v>220</v>
      </c>
    </row>
    <row r="40" spans="2:3" x14ac:dyDescent="0.25">
      <c r="B40" t="s">
        <v>230</v>
      </c>
      <c r="C40" t="s">
        <v>231</v>
      </c>
    </row>
    <row r="41" spans="2:3" x14ac:dyDescent="0.25">
      <c r="B41" t="s">
        <v>232</v>
      </c>
      <c r="C41" t="s">
        <v>233</v>
      </c>
    </row>
    <row r="42" spans="2:3" x14ac:dyDescent="0.25">
      <c r="B42" t="s">
        <v>237</v>
      </c>
      <c r="C42" t="s">
        <v>238</v>
      </c>
    </row>
    <row r="43" spans="2:3" x14ac:dyDescent="0.25">
      <c r="B43" t="s">
        <v>239</v>
      </c>
      <c r="C43" t="s">
        <v>240</v>
      </c>
    </row>
    <row r="44" spans="2:3" x14ac:dyDescent="0.25">
      <c r="B44" t="s">
        <v>241</v>
      </c>
      <c r="C44" t="s">
        <v>242</v>
      </c>
    </row>
    <row r="45" spans="2:3" x14ac:dyDescent="0.25">
      <c r="B45" t="s">
        <v>190</v>
      </c>
      <c r="C45" t="s">
        <v>249</v>
      </c>
    </row>
    <row r="46" spans="2:3" x14ac:dyDescent="0.25">
      <c r="B46" t="s">
        <v>256</v>
      </c>
      <c r="C46" t="s">
        <v>462</v>
      </c>
    </row>
    <row r="47" spans="2:3" x14ac:dyDescent="0.25">
      <c r="B47" t="s">
        <v>259</v>
      </c>
      <c r="C47" t="s">
        <v>262</v>
      </c>
    </row>
    <row r="48" spans="2:3" x14ac:dyDescent="0.25">
      <c r="B48" t="s">
        <v>260</v>
      </c>
      <c r="C48" t="s">
        <v>263</v>
      </c>
    </row>
    <row r="49" spans="2:3" x14ac:dyDescent="0.25">
      <c r="B49" t="s">
        <v>264</v>
      </c>
      <c r="C49" t="s">
        <v>267</v>
      </c>
    </row>
    <row r="50" spans="2:3" x14ac:dyDescent="0.25">
      <c r="B50" t="s">
        <v>265</v>
      </c>
      <c r="C50" t="s">
        <v>266</v>
      </c>
    </row>
    <row r="51" spans="2:3" x14ac:dyDescent="0.25">
      <c r="B51" t="s">
        <v>270</v>
      </c>
      <c r="C51" t="s">
        <v>482</v>
      </c>
    </row>
    <row r="52" spans="2:3" x14ac:dyDescent="0.25">
      <c r="B52" t="s">
        <v>290</v>
      </c>
      <c r="C52" t="s">
        <v>291</v>
      </c>
    </row>
    <row r="53" spans="2:3" x14ac:dyDescent="0.25">
      <c r="B53" t="s">
        <v>318</v>
      </c>
      <c r="C53" t="s">
        <v>350</v>
      </c>
    </row>
    <row r="54" spans="2:3" x14ac:dyDescent="0.25">
      <c r="B54" t="s">
        <v>319</v>
      </c>
      <c r="C54" t="s">
        <v>320</v>
      </c>
    </row>
    <row r="55" spans="2:3" x14ac:dyDescent="0.25">
      <c r="B55" t="s">
        <v>321</v>
      </c>
      <c r="C55" t="s">
        <v>322</v>
      </c>
    </row>
    <row r="56" spans="2:3" x14ac:dyDescent="0.25">
      <c r="B56" t="s">
        <v>351</v>
      </c>
      <c r="C56" t="s">
        <v>352</v>
      </c>
    </row>
    <row r="57" spans="2:3" x14ac:dyDescent="0.25">
      <c r="B57" t="s">
        <v>355</v>
      </c>
      <c r="C57" t="s">
        <v>354</v>
      </c>
    </row>
    <row r="58" spans="2:3" x14ac:dyDescent="0.25">
      <c r="B58" t="s">
        <v>389</v>
      </c>
      <c r="C58" t="s">
        <v>390</v>
      </c>
    </row>
    <row r="59" spans="2:3" x14ac:dyDescent="0.25">
      <c r="B59" t="s">
        <v>460</v>
      </c>
      <c r="C59" t="s">
        <v>461</v>
      </c>
    </row>
    <row r="60" spans="2:3" x14ac:dyDescent="0.25">
      <c r="B60" t="s">
        <v>466</v>
      </c>
      <c r="C60" t="s">
        <v>467</v>
      </c>
    </row>
    <row r="61" spans="2:3" x14ac:dyDescent="0.25">
      <c r="B61" t="s">
        <v>468</v>
      </c>
      <c r="C61" t="s">
        <v>469</v>
      </c>
    </row>
    <row r="62" spans="2:3" x14ac:dyDescent="0.25">
      <c r="B62" t="s">
        <v>475</v>
      </c>
      <c r="C62" t="s">
        <v>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BASE</vt:lpstr>
      <vt:lpstr>Hoja2</vt:lpstr>
      <vt:lpstr>villa del prado</vt:lpstr>
      <vt:lpstr>siloe</vt:lpstr>
      <vt:lpstr>pizamos</vt:lpstr>
      <vt:lpstr>balance</vt:lpstr>
      <vt:lpstr>Hoja1</vt:lpstr>
      <vt:lpstr>MATERIALES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COINTECA.ALMACEN SAS</dc:creator>
  <cp:lastModifiedBy>MAYRA A. OCORO</cp:lastModifiedBy>
  <dcterms:created xsi:type="dcterms:W3CDTF">2026-06-05T16:30:58Z</dcterms:created>
  <dcterms:modified xsi:type="dcterms:W3CDTF">2026-09-11T13:45:35Z</dcterms:modified>
</cp:coreProperties>
</file>