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stco\OneDrive\Documentos\MAYRA\ADMINISTRATIVO\GESTION DOCUMENTAL\GESTION DOCUMENTAL\GERENCIA\"/>
    </mc:Choice>
  </mc:AlternateContent>
  <xr:revisionPtr revIDLastSave="0" documentId="13_ncr:1_{6EC45592-C42F-4F91-B254-C6E457004E66}" xr6:coauthVersionLast="47" xr6:coauthVersionMax="47" xr10:uidLastSave="{00000000-0000-0000-0000-000000000000}"/>
  <bookViews>
    <workbookView xWindow="-120" yWindow="-120" windowWidth="29040" windowHeight="15720" xr2:uid="{00EAC54D-E202-4D27-BCD4-931365C27378}"/>
  </bookViews>
  <sheets>
    <sheet name=" INDICADORES ESTRATEGICOS" sheetId="1" r:id="rId1"/>
    <sheet name="SEGUIMIENTO FACTURACION" sheetId="2" r:id="rId2"/>
  </sheets>
  <definedNames>
    <definedName name="_xlnm.Print_Area" localSheetId="0">' INDICADORES ESTRATEGICOS'!$A$1:$G$36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" i="2" l="1"/>
  <c r="E5" i="2" s="1"/>
  <c r="E7" i="2"/>
  <c r="E8" i="2"/>
  <c r="E9" i="2"/>
  <c r="E10" i="2"/>
  <c r="E11" i="2"/>
  <c r="E12" i="2"/>
  <c r="E13" i="2"/>
  <c r="E14" i="2"/>
  <c r="E15" i="2"/>
  <c r="D6" i="2"/>
  <c r="E6" i="2" s="1"/>
  <c r="D7" i="2"/>
  <c r="D8" i="2"/>
  <c r="D9" i="2"/>
  <c r="D10" i="2"/>
  <c r="D11" i="2"/>
  <c r="D12" i="2"/>
  <c r="D13" i="2"/>
  <c r="D14" i="2"/>
  <c r="D15" i="2"/>
  <c r="D4" i="2"/>
  <c r="E4" i="2"/>
</calcChain>
</file>

<file path=xl/sharedStrings.xml><?xml version="1.0" encoding="utf-8"?>
<sst xmlns="http://schemas.openxmlformats.org/spreadsheetml/2006/main" count="71" uniqueCount="63">
  <si>
    <t>Perspectiva</t>
  </si>
  <si>
    <t>Indicador (KPI)</t>
  </si>
  <si>
    <t>Definición Técnica</t>
  </si>
  <si>
    <t>Meta Anual</t>
  </si>
  <si>
    <t>Frecuencia</t>
  </si>
  <si>
    <t>FINANCIERA</t>
  </si>
  <si>
    <t>Margen por Proyecto</t>
  </si>
  <si>
    <t>(Utilidad Bruta / Valor Contrato) * 100</t>
  </si>
  <si>
    <t>&gt; 25%</t>
  </si>
  <si>
    <t>Mensual</t>
  </si>
  <si>
    <t>Eficacia de Recaudo</t>
  </si>
  <si>
    <t>(Cartera Cobrada / Cartera Facturada) * 100</t>
  </si>
  <si>
    <t>&gt; 90%</t>
  </si>
  <si>
    <t>COMERCIAL</t>
  </si>
  <si>
    <t>Tasa de Cierre Solar</t>
  </si>
  <si>
    <t>(Proyectos Solar Cerrados / Propuestas Enviadas)</t>
  </si>
  <si>
    <t>Trimestral</t>
  </si>
  <si>
    <t>Ticket Promedio</t>
  </si>
  <si>
    <t>Valor total facturado / Número de clientes</t>
  </si>
  <si>
    <t>Incrementar 10%</t>
  </si>
  <si>
    <t>Semestral</t>
  </si>
  <si>
    <t>OPERATIVA</t>
  </si>
  <si>
    <t>Éxito RETIE</t>
  </si>
  <si>
    <t>Visitas de certificación aprobadas sin hallazgos</t>
  </si>
  <si>
    <t>Por Proyecto</t>
  </si>
  <si>
    <t>Eficiencia en Redes</t>
  </si>
  <si>
    <t>(Horas Hombre Estimadas / Horas Reales)</t>
  </si>
  <si>
    <t>&gt; 0.95</t>
  </si>
  <si>
    <t>CLIENTE</t>
  </si>
  <si>
    <t>Índice de Fidelidad</t>
  </si>
  <si>
    <t>% Clientes que repiten servicio (ej. Mantenimiento)</t>
  </si>
  <si>
    <t>Anual</t>
  </si>
  <si>
    <t>NPS (Satisfacción)</t>
  </si>
  <si>
    <t>Calificación de servicio pos-entrega (1-10)</t>
  </si>
  <si>
    <t>&gt; 8.5</t>
  </si>
  <si>
    <t>APRENDIZAJE</t>
  </si>
  <si>
    <t>Capacitación Técnica</t>
  </si>
  <si>
    <t>Horas de formación en nuevas normas/tecnologías</t>
  </si>
  <si>
    <t>40h / Ingeniero</t>
  </si>
  <si>
    <t>Mes</t>
  </si>
  <si>
    <t>% Cumplimiento</t>
  </si>
  <si>
    <t>Enero</t>
  </si>
  <si>
    <t>Febrero</t>
  </si>
  <si>
    <t>Marzo</t>
  </si>
  <si>
    <t>Tipo de documento: Formato</t>
  </si>
  <si>
    <t xml:space="preserve">Pagina: 1 de 1 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</si>
  <si>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</si>
  <si>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</si>
  <si>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</si>
  <si>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</si>
  <si>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</si>
  <si>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</si>
  <si>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</si>
  <si>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</si>
  <si>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</si>
  <si>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Meta Facturación  (M)</t>
  </si>
  <si>
    <t>Facturación Real (M)</t>
  </si>
  <si>
    <t xml:space="preserve">Proyectos en ejecucion </t>
  </si>
  <si>
    <t xml:space="preserve">POWER NETWORKS </t>
  </si>
  <si>
    <t>Versión: 1</t>
  </si>
  <si>
    <t>Codigo: GER-FR-02</t>
  </si>
  <si>
    <t>TABLERO DE INDICADORES ESTRATÉGICOS</t>
  </si>
  <si>
    <t>Fecha: 02-03-2026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</si>
</sst>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$&quot;\ * #,##0.00_-;\-&quot;$&quot;\ * #,##0.00_-;_-&quot;$&quot;\ * &quot;-&quot;??_-;_-@_-"/>
  </numFmts>
  <fonts count="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8"/>
      <name val="Aptos Narrow"/>
      <family val="2"/>
      <scheme val="minor"/>
    </font>
    <font>
      <b/>
      <sz val="9"/>
      <color theme="1"/>
      <name val="Arial"/>
      <family val="2"/>
    </font>
    <font>
      <sz val="9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48">
    <xf numFmtId="0" fontId="0" fillId="0" borderId="0" xfId="0"/>
    <xf numFmtId="0" fontId="0" fillId="0" borderId="0" xfId="0" applyAlignment="1">
      <alignment horizontal="left"/>
    </xf>
    <xf numFmtId="0" fontId="4" fillId="0" borderId="0" xfId="0" applyFont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9" fontId="3" fillId="0" borderId="0" xfId="0" applyNumberFormat="1" applyFont="1" applyAlignment="1">
      <alignment horizontal="center" vertical="center" wrapText="1"/>
    </xf>
    <xf numFmtId="0" fontId="0" fillId="0" borderId="0" xfId="0" applyAlignment="1">
      <alignment horizontal="center"/>
    </xf>
    <xf numFmtId="10" fontId="3" fillId="0" borderId="0" xfId="0" applyNumberFormat="1" applyFont="1" applyAlignment="1">
      <alignment horizontal="right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vertical="center"/>
    </xf>
    <xf numFmtId="0" fontId="7" fillId="0" borderId="1" xfId="0" applyFont="1" applyBorder="1"/>
    <xf numFmtId="44" fontId="3" fillId="0" borderId="1" xfId="1" applyFont="1" applyBorder="1" applyAlignment="1">
      <alignment horizontal="right" vertical="center" wrapText="1"/>
    </xf>
    <xf numFmtId="44" fontId="0" fillId="0" borderId="1" xfId="1" applyFont="1" applyBorder="1"/>
    <xf numFmtId="44" fontId="3" fillId="0" borderId="1" xfId="1" applyFont="1" applyBorder="1" applyAlignment="1">
      <alignment vertical="center" wrapText="1"/>
    </xf>
    <xf numFmtId="44" fontId="3" fillId="0" borderId="0" xfId="0" applyNumberFormat="1" applyFont="1" applyAlignment="1">
      <alignment vertical="center" wrapText="1"/>
    </xf>
    <xf numFmtId="10" fontId="3" fillId="0" borderId="0" xfId="0" applyNumberFormat="1" applyFont="1" applyAlignment="1">
      <alignment horizontal="center" vertical="center" wrapText="1"/>
    </xf>
    <xf numFmtId="0" fontId="0" fillId="0" borderId="15" xfId="0" applyBorder="1"/>
    <xf numFmtId="0" fontId="0" fillId="0" borderId="17" xfId="0" applyBorder="1"/>
    <xf numFmtId="0" fontId="0" fillId="0" borderId="16" xfId="0" applyBorder="1"/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0" fillId="0" borderId="21" xfId="0" applyBorder="1" applyAlignment="1">
      <alignment horizontal="left"/>
    </xf>
    <xf numFmtId="0" fontId="0" fillId="0" borderId="22" xfId="0" applyBorder="1"/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9" fontId="3" fillId="0" borderId="1" xfId="0" applyNumberFormat="1" applyFont="1" applyBorder="1" applyAlignment="1">
      <alignment horizontal="center" vertical="center" wrapText="1"/>
    </xf>
    <xf numFmtId="0" fontId="4" fillId="0" borderId="23" xfId="0" applyFont="1" applyBorder="1" applyAlignment="1">
      <alignment horizontal="center" vertical="center" wrapText="1"/>
    </xf>
    <xf numFmtId="0" fontId="4" fillId="0" borderId="17" xfId="0" applyFont="1" applyBorder="1" applyAlignment="1">
      <alignment horizontal="center" vertical="center" wrapText="1"/>
    </xf>
    <xf numFmtId="0" fontId="3" fillId="0" borderId="23" xfId="0" applyFont="1" applyBorder="1" applyAlignment="1">
      <alignment horizontal="center" vertical="center" wrapText="1"/>
    </xf>
    <xf numFmtId="0" fontId="3" fillId="0" borderId="17" xfId="0" applyFont="1" applyBorder="1" applyAlignment="1">
      <alignment horizontal="center" vertical="center" wrapText="1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7" xfId="0" applyBorder="1" applyAlignment="1">
      <alignment horizont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0" fillId="0" borderId="13" xfId="0" applyBorder="1" applyAlignment="1">
      <alignment horizontal="left"/>
    </xf>
    <xf numFmtId="0" fontId="0" fillId="0" borderId="14" xfId="0" applyBorder="1" applyAlignment="1">
      <alignment horizontal="left"/>
    </xf>
    <xf numFmtId="0" fontId="2" fillId="0" borderId="8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209550</xdr:colOff>
      <xdr:row>1</xdr:row>
      <xdr:rowOff>76200</xdr:rowOff>
    </xdr:from>
    <xdr:to>
      <xdr:col>2</xdr:col>
      <xdr:colOff>1295399</xdr:colOff>
      <xdr:row>4</xdr:row>
      <xdr:rowOff>84279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C4429D20-3269-F31D-E69C-47996AD3AE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71550" y="266700"/>
          <a:ext cx="2209799" cy="579579"/>
        </a:xfrm>
        <a:prstGeom prst="rect">
          <a:avLst/>
        </a:prstGeom>
      </xdr:spPr>
    </xdr:pic>
    <xdr:clientData/>
  </xdr:twoCellAnchor>
  <xdr:twoCellAnchor>
    <xdr:from>
      <xdr:col>1</xdr:col>
      <xdr:colOff>38099</xdr:colOff>
      <xdr:row>31</xdr:row>
      <xdr:rowOff>19050</xdr:rowOff>
    </xdr:from>
    <xdr:to>
      <xdr:col>5</xdr:col>
      <xdr:colOff>1386416</xdr:colOff>
      <xdr:row>33</xdr:row>
      <xdr:rowOff>134620</xdr:rowOff>
    </xdr:to>
    <xdr:grpSp>
      <xdr:nvGrpSpPr>
        <xdr:cNvPr id="3" name="Grupo 2">
          <a:extLst>
            <a:ext uri="{FF2B5EF4-FFF2-40B4-BE49-F238E27FC236}">
              <a16:creationId xmlns:a16="http://schemas.microsoft.com/office/drawing/2014/main" id="{3A377862-55D9-B597-D779-BBB87B56BF97}"/>
            </a:ext>
          </a:extLst>
        </xdr:cNvPr>
        <xdr:cNvGrpSpPr>
          <a:grpSpLocks/>
        </xdr:cNvGrpSpPr>
      </xdr:nvGrpSpPr>
      <xdr:grpSpPr bwMode="auto">
        <a:xfrm>
          <a:off x="800099" y="6167967"/>
          <a:ext cx="9338734" cy="496570"/>
          <a:chOff x="321" y="14615"/>
          <a:chExt cx="11544" cy="782"/>
        </a:xfrm>
      </xdr:grpSpPr>
      <xdr:sp macro="" textlink="">
        <xdr:nvSpPr>
          <xdr:cNvPr id="4" name="Rectangle 157">
            <a:extLst>
              <a:ext uri="{FF2B5EF4-FFF2-40B4-BE49-F238E27FC236}">
                <a16:creationId xmlns:a16="http://schemas.microsoft.com/office/drawing/2014/main" id="{D699BAD6-54A8-7B59-0B63-63C47D6D0DC5}"/>
              </a:ext>
            </a:extLst>
          </xdr:cNvPr>
          <xdr:cNvSpPr>
            <a:spLocks noChangeArrowheads="1"/>
          </xdr:cNvSpPr>
        </xdr:nvSpPr>
        <xdr:spPr bwMode="auto">
          <a:xfrm>
            <a:off x="374" y="14705"/>
            <a:ext cx="10057" cy="660"/>
          </a:xfrm>
          <a:prstGeom prst="rect">
            <a:avLst/>
          </a:prstGeom>
          <a:solidFill>
            <a:schemeClr val="accent1"/>
          </a:solidFill>
          <a:extLst>
            <a:ext uri="{91240B29-F687-4F45-9708-019B960494DF}">
              <a14:hiddenLine xmlns:a14="http://schemas.microsoft.com/office/drawing/2010/main" w="9525">
                <a:solidFill>
                  <a:srgbClr val="943634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pPr algn="ctr">
              <a:buNone/>
              <a:tabLst>
                <a:tab pos="2806065" algn="ctr"/>
                <a:tab pos="5612130" algn="r"/>
              </a:tabLst>
            </a:pPr>
            <a:r>
              <a:rPr lang="en-US" sz="1100" u="sng" kern="100">
                <a:solidFill>
                  <a:srgbClr val="FFFFFF"/>
                </a:solidFill>
                <a:effectLst/>
                <a:latin typeface="Arial" panose="020B0604020202020204" pitchFamily="34" charset="0"/>
                <a:ea typeface="Aptos" panose="020B0004020202020204" pitchFamily="34" charset="0"/>
                <a:cs typeface="Times New Roman" panose="02020603050405020304" pitchFamily="18" charset="0"/>
              </a:rPr>
              <a:t>cointecasas@hotmail.com</a:t>
            </a:r>
            <a:r>
              <a:rPr lang="en-US" sz="1100" kern="100">
                <a:solidFill>
                  <a:srgbClr val="FFFFFF"/>
                </a:solidFill>
                <a:effectLst/>
                <a:latin typeface="Arial" panose="020B0604020202020204" pitchFamily="34" charset="0"/>
                <a:ea typeface="Aptos" panose="020B0004020202020204" pitchFamily="34" charset="0"/>
                <a:cs typeface="Times New Roman" panose="02020603050405020304" pitchFamily="18" charset="0"/>
              </a:rPr>
              <a:t>  -    Tel. 3117121043    -    </a:t>
            </a:r>
            <a:r>
              <a:rPr lang="en-US" sz="1100" u="sng" kern="100">
                <a:solidFill>
                  <a:srgbClr val="FFFFFF"/>
                </a:solidFill>
                <a:effectLst/>
                <a:latin typeface="Arial" panose="020B0604020202020204" pitchFamily="34" charset="0"/>
                <a:ea typeface="Aptos" panose="020B0004020202020204" pitchFamily="34" charset="0"/>
                <a:cs typeface="Times New Roman" panose="02020603050405020304" pitchFamily="18" charset="0"/>
              </a:rPr>
              <a:t>www.cointecasas.com</a:t>
            </a:r>
            <a:endParaRPr lang="es-CO" sz="1100" kern="100">
              <a:effectLst/>
              <a:latin typeface="Aptos" panose="020B0004020202020204" pitchFamily="34" charset="0"/>
              <a:ea typeface="Aptos" panose="020B0004020202020204" pitchFamily="34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5" name="Rectangle 158">
            <a:extLst>
              <a:ext uri="{FF2B5EF4-FFF2-40B4-BE49-F238E27FC236}">
                <a16:creationId xmlns:a16="http://schemas.microsoft.com/office/drawing/2014/main" id="{CFC39176-8DD3-43D2-166E-E7F790EA0449}"/>
              </a:ext>
            </a:extLst>
          </xdr:cNvPr>
          <xdr:cNvSpPr>
            <a:spLocks noChangeArrowheads="1"/>
          </xdr:cNvSpPr>
        </xdr:nvSpPr>
        <xdr:spPr bwMode="auto">
          <a:xfrm>
            <a:off x="10851" y="14903"/>
            <a:ext cx="1014" cy="432"/>
          </a:xfrm>
          <a:prstGeom prst="rect">
            <a:avLst/>
          </a:prstGeom>
          <a:solidFill>
            <a:srgbClr val="92D050"/>
          </a:solidFill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pPr>
              <a:buNone/>
              <a:tabLst>
                <a:tab pos="2806065" algn="ctr"/>
                <a:tab pos="5612130" algn="r"/>
              </a:tabLst>
            </a:pPr>
            <a:r>
              <a:rPr lang="es-ES" sz="800" kern="100">
                <a:effectLst/>
                <a:latin typeface="Arial" panose="020B0604020202020204" pitchFamily="34" charset="0"/>
                <a:ea typeface="Aptos" panose="020B0004020202020204" pitchFamily="34" charset="0"/>
                <a:cs typeface="Times New Roman" panose="02020603050405020304" pitchFamily="18" charset="0"/>
              </a:rPr>
              <a:t>Página 1</a:t>
            </a:r>
            <a:endParaRPr lang="es-CO" sz="1100" kern="100">
              <a:effectLst/>
              <a:latin typeface="Aptos" panose="020B0004020202020204" pitchFamily="34" charset="0"/>
              <a:ea typeface="Aptos" panose="020B0004020202020204" pitchFamily="34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6" name="Rectangle 159">
            <a:extLst>
              <a:ext uri="{FF2B5EF4-FFF2-40B4-BE49-F238E27FC236}">
                <a16:creationId xmlns:a16="http://schemas.microsoft.com/office/drawing/2014/main" id="{390DDDA4-13C9-DB8B-C734-1E72CA7F1EE3}"/>
              </a:ext>
            </a:extLst>
          </xdr:cNvPr>
          <xdr:cNvSpPr>
            <a:spLocks noChangeArrowheads="1"/>
          </xdr:cNvSpPr>
        </xdr:nvSpPr>
        <xdr:spPr bwMode="auto">
          <a:xfrm>
            <a:off x="321" y="14615"/>
            <a:ext cx="11544" cy="782"/>
          </a:xfrm>
          <a:prstGeom prst="rect">
            <a:avLst/>
          </a:prstGeom>
          <a:noFill/>
          <a:ln w="9525">
            <a:solidFill>
              <a:srgbClr val="000000"/>
            </a:solidFill>
            <a:miter lim="800000"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s-CO"/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036946-9924-40FD-A291-691F6341DD2D}">
  <dimension ref="B1:F34"/>
  <sheetViews>
    <sheetView tabSelected="1" view="pageBreakPreview" zoomScale="90" zoomScaleNormal="100" zoomScaleSheetLayoutView="90" workbookViewId="0">
      <selection activeCell="I26" sqref="I26"/>
    </sheetView>
  </sheetViews>
  <sheetFormatPr baseColWidth="10" defaultRowHeight="15" x14ac:dyDescent="0.25"/>
  <cols>
    <col min="2" max="2" width="16.85546875" customWidth="1"/>
    <col min="3" max="3" width="23" customWidth="1"/>
    <col min="4" max="4" width="59.42578125" customWidth="1"/>
    <col min="5" max="5" width="20.5703125" style="1" customWidth="1"/>
    <col min="6" max="6" width="21.42578125" customWidth="1"/>
  </cols>
  <sheetData>
    <row r="1" spans="2:6" ht="15.75" thickBot="1" x14ac:dyDescent="0.3"/>
    <row r="2" spans="2:6" x14ac:dyDescent="0.25">
      <c r="B2" s="31"/>
      <c r="C2" s="32"/>
      <c r="D2" s="43" t="s">
        <v>44</v>
      </c>
      <c r="E2" s="44"/>
      <c r="F2" s="15" t="s">
        <v>60</v>
      </c>
    </row>
    <row r="3" spans="2:6" x14ac:dyDescent="0.25">
      <c r="B3" s="33"/>
      <c r="C3" s="34"/>
      <c r="D3" s="37" t="s">
        <v>61</v>
      </c>
      <c r="E3" s="38"/>
      <c r="F3" s="16" t="s">
        <v>59</v>
      </c>
    </row>
    <row r="4" spans="2:6" x14ac:dyDescent="0.25">
      <c r="B4" s="33"/>
      <c r="C4" s="34"/>
      <c r="D4" s="39"/>
      <c r="E4" s="40"/>
      <c r="F4" s="16" t="s">
        <v>62</v>
      </c>
    </row>
    <row r="5" spans="2:6" x14ac:dyDescent="0.25">
      <c r="B5" s="35"/>
      <c r="C5" s="36"/>
      <c r="D5" s="41"/>
      <c r="E5" s="42"/>
      <c r="F5" s="16" t="s">
        <v>45</v>
      </c>
    </row>
    <row r="6" spans="2:6" x14ac:dyDescent="0.25">
      <c r="B6" s="17"/>
      <c r="F6" s="18"/>
    </row>
    <row r="7" spans="2:6" ht="16.5" customHeight="1" x14ac:dyDescent="0.25">
      <c r="B7" s="27" t="s">
        <v>0</v>
      </c>
      <c r="C7" s="23" t="s">
        <v>1</v>
      </c>
      <c r="D7" s="23" t="s">
        <v>2</v>
      </c>
      <c r="E7" s="23" t="s">
        <v>3</v>
      </c>
      <c r="F7" s="28" t="s">
        <v>4</v>
      </c>
    </row>
    <row r="8" spans="2:6" ht="16.5" customHeight="1" x14ac:dyDescent="0.25">
      <c r="B8" s="27"/>
      <c r="C8" s="23"/>
      <c r="D8" s="23"/>
      <c r="E8" s="23"/>
      <c r="F8" s="28"/>
    </row>
    <row r="9" spans="2:6" ht="16.5" customHeight="1" x14ac:dyDescent="0.25">
      <c r="B9" s="29" t="s">
        <v>5</v>
      </c>
      <c r="C9" s="25" t="s">
        <v>6</v>
      </c>
      <c r="D9" s="25" t="s">
        <v>7</v>
      </c>
      <c r="E9" s="24" t="s">
        <v>8</v>
      </c>
      <c r="F9" s="30" t="s">
        <v>9</v>
      </c>
    </row>
    <row r="10" spans="2:6" ht="16.5" customHeight="1" x14ac:dyDescent="0.25">
      <c r="B10" s="29" t="s">
        <v>5</v>
      </c>
      <c r="C10" s="25" t="s">
        <v>10</v>
      </c>
      <c r="D10" s="25" t="s">
        <v>11</v>
      </c>
      <c r="E10" s="24" t="s">
        <v>12</v>
      </c>
      <c r="F10" s="30" t="s">
        <v>9</v>
      </c>
    </row>
    <row r="11" spans="2:6" ht="16.5" customHeight="1" x14ac:dyDescent="0.25">
      <c r="B11" s="29" t="s">
        <v>13</v>
      </c>
      <c r="C11" s="25" t="s">
        <v>14</v>
      </c>
      <c r="D11" s="25" t="s">
        <v>15</v>
      </c>
      <c r="E11" s="26">
        <v>0.15</v>
      </c>
      <c r="F11" s="30" t="s">
        <v>16</v>
      </c>
    </row>
    <row r="12" spans="2:6" ht="16.5" customHeight="1" x14ac:dyDescent="0.25">
      <c r="B12" s="29" t="s">
        <v>13</v>
      </c>
      <c r="C12" s="25" t="s">
        <v>17</v>
      </c>
      <c r="D12" s="25" t="s">
        <v>18</v>
      </c>
      <c r="E12" s="24" t="s">
        <v>19</v>
      </c>
      <c r="F12" s="30" t="s">
        <v>20</v>
      </c>
    </row>
    <row r="13" spans="2:6" ht="16.5" customHeight="1" x14ac:dyDescent="0.25">
      <c r="B13" s="29" t="s">
        <v>21</v>
      </c>
      <c r="C13" s="25" t="s">
        <v>22</v>
      </c>
      <c r="D13" s="25" t="s">
        <v>23</v>
      </c>
      <c r="E13" s="26">
        <v>1</v>
      </c>
      <c r="F13" s="30" t="s">
        <v>24</v>
      </c>
    </row>
    <row r="14" spans="2:6" ht="16.5" customHeight="1" x14ac:dyDescent="0.25">
      <c r="B14" s="29" t="s">
        <v>21</v>
      </c>
      <c r="C14" s="25" t="s">
        <v>25</v>
      </c>
      <c r="D14" s="25" t="s">
        <v>26</v>
      </c>
      <c r="E14" s="24" t="s">
        <v>27</v>
      </c>
      <c r="F14" s="30" t="s">
        <v>9</v>
      </c>
    </row>
    <row r="15" spans="2:6" ht="16.5" customHeight="1" x14ac:dyDescent="0.25">
      <c r="B15" s="29" t="s">
        <v>28</v>
      </c>
      <c r="C15" s="25" t="s">
        <v>29</v>
      </c>
      <c r="D15" s="25" t="s">
        <v>30</v>
      </c>
      <c r="E15" s="26">
        <v>0.3</v>
      </c>
      <c r="F15" s="30" t="s">
        <v>31</v>
      </c>
    </row>
    <row r="16" spans="2:6" ht="16.5" customHeight="1" x14ac:dyDescent="0.25">
      <c r="B16" s="29" t="s">
        <v>28</v>
      </c>
      <c r="C16" s="25" t="s">
        <v>32</v>
      </c>
      <c r="D16" s="25" t="s">
        <v>33</v>
      </c>
      <c r="E16" s="24" t="s">
        <v>34</v>
      </c>
      <c r="F16" s="30" t="s">
        <v>24</v>
      </c>
    </row>
    <row r="17" spans="2:6" ht="16.5" customHeight="1" x14ac:dyDescent="0.25">
      <c r="B17" s="29" t="s">
        <v>35</v>
      </c>
      <c r="C17" s="25" t="s">
        <v>36</v>
      </c>
      <c r="D17" s="25" t="s">
        <v>37</v>
      </c>
      <c r="E17" s="24" t="s">
        <v>38</v>
      </c>
      <c r="F17" s="30" t="s">
        <v>20</v>
      </c>
    </row>
    <row r="18" spans="2:6" x14ac:dyDescent="0.25">
      <c r="B18" s="17"/>
      <c r="F18" s="18"/>
    </row>
    <row r="19" spans="2:6" x14ac:dyDescent="0.25">
      <c r="B19" s="17"/>
      <c r="F19" s="18"/>
    </row>
    <row r="20" spans="2:6" x14ac:dyDescent="0.25">
      <c r="B20" s="17"/>
      <c r="F20" s="18"/>
    </row>
    <row r="21" spans="2:6" x14ac:dyDescent="0.25">
      <c r="B21" s="17"/>
      <c r="F21" s="18"/>
    </row>
    <row r="22" spans="2:6" x14ac:dyDescent="0.25">
      <c r="B22" s="17"/>
      <c r="F22" s="18"/>
    </row>
    <row r="23" spans="2:6" x14ac:dyDescent="0.25">
      <c r="B23" s="17"/>
      <c r="F23" s="18"/>
    </row>
    <row r="24" spans="2:6" x14ac:dyDescent="0.25">
      <c r="B24" s="17"/>
      <c r="F24" s="18"/>
    </row>
    <row r="25" spans="2:6" x14ac:dyDescent="0.25">
      <c r="B25" s="17"/>
      <c r="F25" s="18"/>
    </row>
    <row r="26" spans="2:6" x14ac:dyDescent="0.25">
      <c r="B26" s="17"/>
      <c r="F26" s="18"/>
    </row>
    <row r="27" spans="2:6" x14ac:dyDescent="0.25">
      <c r="B27" s="17"/>
      <c r="F27" s="18"/>
    </row>
    <row r="28" spans="2:6" x14ac:dyDescent="0.25">
      <c r="B28" s="17"/>
      <c r="F28" s="18"/>
    </row>
    <row r="29" spans="2:6" x14ac:dyDescent="0.25">
      <c r="B29" s="17"/>
      <c r="F29" s="18"/>
    </row>
    <row r="30" spans="2:6" x14ac:dyDescent="0.25">
      <c r="B30" s="17"/>
      <c r="F30" s="18"/>
    </row>
    <row r="31" spans="2:6" x14ac:dyDescent="0.25">
      <c r="B31" s="17"/>
      <c r="F31" s="18"/>
    </row>
    <row r="32" spans="2:6" x14ac:dyDescent="0.25">
      <c r="B32" s="17"/>
      <c r="F32" s="18"/>
    </row>
    <row r="33" spans="2:6" x14ac:dyDescent="0.25">
      <c r="B33" s="17"/>
      <c r="F33" s="18"/>
    </row>
    <row r="34" spans="2:6" ht="15.75" thickBot="1" x14ac:dyDescent="0.3">
      <c r="B34" s="19"/>
      <c r="C34" s="20"/>
      <c r="D34" s="20"/>
      <c r="E34" s="21"/>
      <c r="F34" s="22"/>
    </row>
  </sheetData>
  <mergeCells count="3">
    <mergeCell ref="B2:C5"/>
    <mergeCell ref="D3:E5"/>
    <mergeCell ref="D2:E2"/>
  </mergeCells>
  <pageMargins left="0.7" right="0.7" top="0.75" bottom="0.75" header="0.3" footer="0.3"/>
  <pageSetup paperSize="9" scale="6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A6E8B0-E5C2-4F71-B423-0D96E10131D8}">
  <dimension ref="B2:K15"/>
  <sheetViews>
    <sheetView workbookViewId="0">
      <selection activeCell="E26" sqref="E26"/>
    </sheetView>
  </sheetViews>
  <sheetFormatPr baseColWidth="10" defaultRowHeight="15" x14ac:dyDescent="0.25"/>
  <cols>
    <col min="3" max="3" width="19.28515625" customWidth="1"/>
    <col min="4" max="4" width="17.5703125" customWidth="1"/>
    <col min="5" max="5" width="16.7109375" style="5" customWidth="1"/>
    <col min="6" max="6" width="11.140625" customWidth="1"/>
    <col min="7" max="7" width="16.140625" customWidth="1"/>
    <col min="8" max="8" width="19.140625" customWidth="1"/>
  </cols>
  <sheetData>
    <row r="2" spans="2:11" x14ac:dyDescent="0.25">
      <c r="G2" s="45" t="s">
        <v>57</v>
      </c>
      <c r="H2" s="46"/>
      <c r="I2" s="46"/>
      <c r="J2" s="46"/>
      <c r="K2" s="47"/>
    </row>
    <row r="3" spans="2:11" ht="25.5" x14ac:dyDescent="0.25">
      <c r="B3" s="2" t="s">
        <v>39</v>
      </c>
      <c r="C3" s="2" t="s">
        <v>55</v>
      </c>
      <c r="D3" s="2" t="s">
        <v>56</v>
      </c>
      <c r="E3" s="2" t="s">
        <v>40</v>
      </c>
      <c r="F3" s="2"/>
      <c r="G3" s="7" t="s">
        <v>58</v>
      </c>
      <c r="H3" s="8"/>
      <c r="I3" s="9"/>
      <c r="J3" s="9"/>
      <c r="K3" s="9"/>
    </row>
    <row r="4" spans="2:11" x14ac:dyDescent="0.25">
      <c r="B4" s="3" t="s">
        <v>41</v>
      </c>
      <c r="C4" s="13">
        <v>250000000</v>
      </c>
      <c r="D4" s="13">
        <f>SUM(G4:K4)</f>
        <v>0</v>
      </c>
      <c r="E4" s="4">
        <f>_xlfn.PERCENTOF(D4,C4)</f>
        <v>0</v>
      </c>
      <c r="F4" s="6"/>
      <c r="G4" s="10"/>
      <c r="H4" s="10"/>
      <c r="I4" s="11"/>
      <c r="J4" s="11"/>
      <c r="K4" s="11"/>
    </row>
    <row r="5" spans="2:11" x14ac:dyDescent="0.25">
      <c r="B5" s="3" t="s">
        <v>42</v>
      </c>
      <c r="C5" s="13">
        <v>250000000</v>
      </c>
      <c r="D5" s="13">
        <f t="shared" ref="D5:D15" si="0">SUM(G5:K5)</f>
        <v>95000000</v>
      </c>
      <c r="E5" s="14">
        <f t="shared" ref="E5:E15" si="1">_xlfn.PERCENTOF(D5,C5)</f>
        <v>0.38</v>
      </c>
      <c r="F5" s="6"/>
      <c r="G5" s="10">
        <v>95000000</v>
      </c>
      <c r="H5" s="10"/>
      <c r="I5" s="11"/>
      <c r="J5" s="11"/>
      <c r="K5" s="11"/>
    </row>
    <row r="6" spans="2:11" x14ac:dyDescent="0.25">
      <c r="B6" s="3" t="s">
        <v>43</v>
      </c>
      <c r="C6" s="13">
        <v>250000000</v>
      </c>
      <c r="D6" s="13">
        <f t="shared" si="0"/>
        <v>0</v>
      </c>
      <c r="E6" s="14">
        <f t="shared" si="1"/>
        <v>0</v>
      </c>
      <c r="F6" s="6"/>
      <c r="G6" s="12"/>
      <c r="H6" s="12"/>
      <c r="I6" s="11"/>
      <c r="J6" s="11"/>
      <c r="K6" s="11"/>
    </row>
    <row r="7" spans="2:11" x14ac:dyDescent="0.25">
      <c r="B7" s="3" t="s">
        <v>46</v>
      </c>
      <c r="C7" s="13">
        <v>250000000</v>
      </c>
      <c r="D7" s="13">
        <f t="shared" si="0"/>
        <v>0</v>
      </c>
      <c r="E7" s="14">
        <f t="shared" si="1"/>
        <v>0</v>
      </c>
      <c r="F7" s="6"/>
      <c r="G7" s="11"/>
      <c r="H7" s="11"/>
      <c r="I7" s="11"/>
      <c r="J7" s="11"/>
      <c r="K7" s="11"/>
    </row>
    <row r="8" spans="2:11" x14ac:dyDescent="0.25">
      <c r="B8" s="3" t="s">
        <v>47</v>
      </c>
      <c r="C8" s="13">
        <v>250000000</v>
      </c>
      <c r="D8" s="13">
        <f t="shared" si="0"/>
        <v>0</v>
      </c>
      <c r="E8" s="14">
        <f t="shared" si="1"/>
        <v>0</v>
      </c>
      <c r="F8" s="6"/>
      <c r="G8" s="11"/>
      <c r="H8" s="11"/>
      <c r="I8" s="11"/>
      <c r="J8" s="11"/>
      <c r="K8" s="11"/>
    </row>
    <row r="9" spans="2:11" x14ac:dyDescent="0.25">
      <c r="B9" s="3" t="s">
        <v>48</v>
      </c>
      <c r="C9" s="13">
        <v>250000000</v>
      </c>
      <c r="D9" s="13">
        <f t="shared" si="0"/>
        <v>0</v>
      </c>
      <c r="E9" s="14">
        <f t="shared" si="1"/>
        <v>0</v>
      </c>
      <c r="F9" s="6"/>
      <c r="G9" s="11"/>
      <c r="H9" s="11"/>
      <c r="I9" s="11"/>
      <c r="J9" s="11"/>
      <c r="K9" s="11"/>
    </row>
    <row r="10" spans="2:11" x14ac:dyDescent="0.25">
      <c r="B10" s="3" t="s">
        <v>49</v>
      </c>
      <c r="C10" s="13">
        <v>250000000</v>
      </c>
      <c r="D10" s="13">
        <f t="shared" si="0"/>
        <v>0</v>
      </c>
      <c r="E10" s="14">
        <f t="shared" si="1"/>
        <v>0</v>
      </c>
      <c r="F10" s="6"/>
      <c r="G10" s="11"/>
      <c r="H10" s="11"/>
      <c r="I10" s="11"/>
      <c r="J10" s="11"/>
      <c r="K10" s="11"/>
    </row>
    <row r="11" spans="2:11" x14ac:dyDescent="0.25">
      <c r="B11" s="3" t="s">
        <v>50</v>
      </c>
      <c r="C11" s="13">
        <v>250000000</v>
      </c>
      <c r="D11" s="13">
        <f t="shared" si="0"/>
        <v>0</v>
      </c>
      <c r="E11" s="14">
        <f t="shared" si="1"/>
        <v>0</v>
      </c>
      <c r="F11" s="6"/>
      <c r="G11" s="11"/>
      <c r="H11" s="11"/>
      <c r="I11" s="11"/>
      <c r="J11" s="11"/>
      <c r="K11" s="11"/>
    </row>
    <row r="12" spans="2:11" x14ac:dyDescent="0.25">
      <c r="B12" s="3" t="s">
        <v>51</v>
      </c>
      <c r="C12" s="13">
        <v>250000000</v>
      </c>
      <c r="D12" s="13">
        <f t="shared" si="0"/>
        <v>0</v>
      </c>
      <c r="E12" s="14">
        <f t="shared" si="1"/>
        <v>0</v>
      </c>
      <c r="F12" s="6"/>
      <c r="G12" s="11"/>
      <c r="H12" s="11"/>
      <c r="I12" s="11"/>
      <c r="J12" s="11"/>
      <c r="K12" s="11"/>
    </row>
    <row r="13" spans="2:11" x14ac:dyDescent="0.25">
      <c r="B13" s="3" t="s">
        <v>52</v>
      </c>
      <c r="C13" s="13">
        <v>250000000</v>
      </c>
      <c r="D13" s="13">
        <f t="shared" si="0"/>
        <v>0</v>
      </c>
      <c r="E13" s="14">
        <f t="shared" si="1"/>
        <v>0</v>
      </c>
      <c r="F13" s="6"/>
      <c r="G13" s="11"/>
      <c r="H13" s="11"/>
      <c r="I13" s="11"/>
      <c r="J13" s="11"/>
      <c r="K13" s="11"/>
    </row>
    <row r="14" spans="2:11" x14ac:dyDescent="0.25">
      <c r="B14" s="3" t="s">
        <v>53</v>
      </c>
      <c r="C14" s="13">
        <v>250000000</v>
      </c>
      <c r="D14" s="13">
        <f t="shared" si="0"/>
        <v>0</v>
      </c>
      <c r="E14" s="14">
        <f t="shared" si="1"/>
        <v>0</v>
      </c>
      <c r="F14" s="6"/>
      <c r="G14" s="11"/>
      <c r="H14" s="11"/>
      <c r="I14" s="11"/>
      <c r="J14" s="11"/>
      <c r="K14" s="11"/>
    </row>
    <row r="15" spans="2:11" x14ac:dyDescent="0.25">
      <c r="B15" s="3" t="s">
        <v>54</v>
      </c>
      <c r="C15" s="13">
        <v>250000000</v>
      </c>
      <c r="D15" s="13">
        <f t="shared" si="0"/>
        <v>0</v>
      </c>
      <c r="E15" s="14">
        <f t="shared" si="1"/>
        <v>0</v>
      </c>
      <c r="F15" s="6"/>
      <c r="G15" s="11"/>
      <c r="H15" s="11"/>
      <c r="I15" s="11"/>
      <c r="J15" s="11"/>
      <c r="K15" s="11"/>
    </row>
  </sheetData>
  <mergeCells count="1">
    <mergeCell ref="G2:K2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 INDICADORES ESTRATEGICOS</vt:lpstr>
      <vt:lpstr>SEGUIMIENTO FACTURACION</vt:lpstr>
      <vt:lpstr>' INDICADORES ESTRATEGICOS'!Área_de_impresión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COINTECA SAS INGENIERIA</dc:creator>
  <cp:lastModifiedBy>MAYRA A. OCORO</cp:lastModifiedBy>
  <dcterms:created xsi:type="dcterms:W3CDTF">2026-02-20T17:12:10Z</dcterms:created>
  <dcterms:modified xsi:type="dcterms:W3CDTF">2026-03-24T16:08:32Z</dcterms:modified>
</cp:coreProperties>
</file>